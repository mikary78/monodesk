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FEB5E73-687F-44DD-BA03-C99FA35ED802}" xr6:coauthVersionLast="47" xr6:coauthVersionMax="47" xr10:uidLastSave="{00000000-0000-0000-0000-000000000000}"/>
  <bookViews>
    <workbookView xWindow="-120" yWindow="-120" windowWidth="20730" windowHeight="11160" tabRatio="873" xr2:uid="{00000000-000D-0000-FFFF-FFFF00000000}"/>
  </bookViews>
  <sheets>
    <sheet name="★보고서" sheetId="1" r:id="rId1"/>
    <sheet name="0.기초및고정비" sheetId="23" r:id="rId2"/>
    <sheet name="1.매출" sheetId="2" r:id="rId3"/>
    <sheet name="2-1.직원현황" sheetId="15" r:id="rId4"/>
    <sheet name="2-2.근무표" sheetId="3" r:id="rId5"/>
    <sheet name="2-3.근무시간" sheetId="30" state="hidden" r:id="rId6"/>
    <sheet name="3.원,부재료" sheetId="5" r:id="rId7"/>
    <sheet name="4.데일리단가원재료" sheetId="24" state="hidden" r:id="rId8"/>
    <sheet name="4.데일리단가원재료2" sheetId="26" state="hidden" r:id="rId9"/>
    <sheet name="5.법카,시재지출" sheetId="6" r:id="rId10"/>
    <sheet name="6.마감사항" sheetId="7" r:id="rId11"/>
    <sheet name="8-1.월초재고" sheetId="28" state="hidden" r:id="rId12"/>
    <sheet name="8-2.월말재고" sheetId="31" state="hidden" r:id="rId13"/>
    <sheet name="※계좌이체" sheetId="9" r:id="rId14"/>
  </sheets>
  <definedNames>
    <definedName name="_xlnm._FilterDatabase" localSheetId="2" hidden="1">'1.매출'!$A$3:$AC$36</definedName>
    <definedName name="_xlnm.Print_Area" localSheetId="0">★보고서!$B$2:$W$74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9" l="1"/>
  <c r="F30" i="1" l="1"/>
  <c r="F28" i="1"/>
  <c r="F25" i="1"/>
  <c r="F23" i="1"/>
  <c r="F21" i="1"/>
  <c r="F18" i="1"/>
  <c r="F16" i="1"/>
  <c r="F14" i="1"/>
  <c r="F12" i="1"/>
  <c r="N28" i="1" l="1"/>
  <c r="N26" i="1"/>
  <c r="P37" i="5"/>
  <c r="O37" i="5"/>
  <c r="P36" i="5"/>
  <c r="O36" i="5"/>
  <c r="P35" i="5"/>
  <c r="O35" i="5"/>
  <c r="P34" i="5"/>
  <c r="O34" i="5"/>
  <c r="P33" i="5"/>
  <c r="O33" i="5"/>
  <c r="P32" i="5"/>
  <c r="O32" i="5"/>
  <c r="P31" i="5"/>
  <c r="O31" i="5"/>
  <c r="P30" i="5"/>
  <c r="O30" i="5"/>
  <c r="P29" i="5"/>
  <c r="O29" i="5"/>
  <c r="P28" i="5"/>
  <c r="O28" i="5"/>
  <c r="P27" i="5"/>
  <c r="O27" i="5"/>
  <c r="P26" i="5"/>
  <c r="O26" i="5"/>
  <c r="P25" i="5"/>
  <c r="O25" i="5"/>
  <c r="P24" i="5"/>
  <c r="O24" i="5"/>
  <c r="P23" i="5"/>
  <c r="O23" i="5"/>
  <c r="P22" i="5"/>
  <c r="O22" i="5"/>
  <c r="P21" i="5"/>
  <c r="O21" i="5"/>
  <c r="P20" i="5"/>
  <c r="O20" i="5"/>
  <c r="P19" i="5"/>
  <c r="O19" i="5"/>
  <c r="P18" i="5"/>
  <c r="O18" i="5"/>
  <c r="P17" i="5"/>
  <c r="O17" i="5"/>
  <c r="P16" i="5"/>
  <c r="O16" i="5"/>
  <c r="P15" i="5"/>
  <c r="O15" i="5"/>
  <c r="P14" i="5"/>
  <c r="O14" i="5"/>
  <c r="P13" i="5"/>
  <c r="O13" i="5"/>
  <c r="P12" i="5"/>
  <c r="P11" i="5"/>
  <c r="O11" i="5"/>
  <c r="P10" i="5"/>
  <c r="O10" i="5"/>
  <c r="P9" i="5"/>
  <c r="O9" i="5"/>
  <c r="O8" i="5"/>
  <c r="CN38" i="26"/>
  <c r="CK38" i="26"/>
  <c r="CH38" i="26"/>
  <c r="CE38" i="26"/>
  <c r="CB38" i="26"/>
  <c r="BY38" i="26"/>
  <c r="BV38" i="26"/>
  <c r="BS38" i="26"/>
  <c r="BP38" i="26"/>
  <c r="BM38" i="26"/>
  <c r="BJ38" i="26"/>
  <c r="BG38" i="26"/>
  <c r="BD38" i="26"/>
  <c r="BA38" i="26"/>
  <c r="AX38" i="26"/>
  <c r="AU38" i="26"/>
  <c r="AR38" i="26"/>
  <c r="AO38" i="26"/>
  <c r="AL38" i="26"/>
  <c r="AI38" i="26"/>
  <c r="AF38" i="26"/>
  <c r="AC38" i="26"/>
  <c r="Z38" i="26"/>
  <c r="W38" i="26"/>
  <c r="T38" i="26"/>
  <c r="Q38" i="26"/>
  <c r="N38" i="26"/>
  <c r="K38" i="26"/>
  <c r="H38" i="26"/>
  <c r="CN38" i="24"/>
  <c r="CK38" i="24"/>
  <c r="CH38" i="24"/>
  <c r="CE38" i="24"/>
  <c r="CB38" i="24"/>
  <c r="BY38" i="24"/>
  <c r="BV38" i="24"/>
  <c r="BS38" i="24"/>
  <c r="BP38" i="24"/>
  <c r="BM38" i="24"/>
  <c r="BJ38" i="24"/>
  <c r="BG38" i="24"/>
  <c r="BD38" i="24"/>
  <c r="BA38" i="24"/>
  <c r="AX38" i="24"/>
  <c r="AU38" i="24"/>
  <c r="AR38" i="24"/>
  <c r="AO38" i="24"/>
  <c r="AL38" i="24"/>
  <c r="AI38" i="24"/>
  <c r="AF38" i="24"/>
  <c r="AC38" i="24"/>
  <c r="Z38" i="24"/>
  <c r="W38" i="24"/>
  <c r="T38" i="24"/>
  <c r="N38" i="24"/>
  <c r="K38" i="24"/>
  <c r="H38" i="24"/>
  <c r="E38" i="24"/>
  <c r="B38" i="24"/>
  <c r="O7" i="5" s="1"/>
  <c r="CP37" i="24"/>
  <c r="CM37" i="24"/>
  <c r="CJ37" i="24"/>
  <c r="CG37" i="24"/>
  <c r="CD37" i="24"/>
  <c r="CA37" i="24"/>
  <c r="BX37" i="24"/>
  <c r="BU37" i="24"/>
  <c r="BR37" i="24"/>
  <c r="BO37" i="24"/>
  <c r="BL37" i="24"/>
  <c r="BI37" i="24"/>
  <c r="BF37" i="24"/>
  <c r="BC37" i="24"/>
  <c r="AZ37" i="24"/>
  <c r="AW37" i="24"/>
  <c r="AT37" i="24"/>
  <c r="AQ37" i="24"/>
  <c r="AN37" i="24"/>
  <c r="AK37" i="24"/>
  <c r="AH37" i="24"/>
  <c r="AE37" i="24"/>
  <c r="AB37" i="24"/>
  <c r="Y37" i="24"/>
  <c r="V37" i="24"/>
  <c r="S37" i="24"/>
  <c r="P37" i="24"/>
  <c r="M37" i="24"/>
  <c r="J37" i="24"/>
  <c r="G37" i="24"/>
  <c r="D37" i="24"/>
  <c r="CP36" i="24"/>
  <c r="CM36" i="24"/>
  <c r="CJ36" i="24"/>
  <c r="CG36" i="24"/>
  <c r="CD36" i="24"/>
  <c r="CA36" i="24"/>
  <c r="BX36" i="24"/>
  <c r="BU36" i="24"/>
  <c r="BR36" i="24"/>
  <c r="BO36" i="24"/>
  <c r="BL36" i="24"/>
  <c r="BI36" i="24"/>
  <c r="BF36" i="24"/>
  <c r="BC36" i="24"/>
  <c r="AZ36" i="24"/>
  <c r="AW36" i="24"/>
  <c r="AT36" i="24"/>
  <c r="AQ36" i="24"/>
  <c r="AN36" i="24"/>
  <c r="AK36" i="24"/>
  <c r="AH36" i="24"/>
  <c r="AE36" i="24"/>
  <c r="AB36" i="24"/>
  <c r="Y36" i="24"/>
  <c r="V36" i="24"/>
  <c r="S36" i="24"/>
  <c r="P36" i="24"/>
  <c r="M36" i="24"/>
  <c r="J36" i="24"/>
  <c r="G36" i="24"/>
  <c r="D36" i="24"/>
  <c r="CP35" i="24"/>
  <c r="CM35" i="24"/>
  <c r="CJ35" i="24"/>
  <c r="CG35" i="24"/>
  <c r="CD35" i="24"/>
  <c r="CA35" i="24"/>
  <c r="BX35" i="24"/>
  <c r="BU35" i="24"/>
  <c r="BR35" i="24"/>
  <c r="BO35" i="24"/>
  <c r="BL35" i="24"/>
  <c r="BI35" i="24"/>
  <c r="BF35" i="24"/>
  <c r="BC35" i="24"/>
  <c r="AZ35" i="24"/>
  <c r="AW35" i="24"/>
  <c r="AT35" i="24"/>
  <c r="AQ35" i="24"/>
  <c r="AN35" i="24"/>
  <c r="AK35" i="24"/>
  <c r="AH35" i="24"/>
  <c r="AE35" i="24"/>
  <c r="AB35" i="24"/>
  <c r="Y35" i="24"/>
  <c r="V35" i="24"/>
  <c r="S35" i="24"/>
  <c r="P35" i="24"/>
  <c r="M35" i="24"/>
  <c r="J35" i="24"/>
  <c r="G35" i="24"/>
  <c r="D35" i="24"/>
  <c r="CP34" i="24"/>
  <c r="CM34" i="24"/>
  <c r="CJ34" i="24"/>
  <c r="CG34" i="24"/>
  <c r="CD34" i="24"/>
  <c r="CA34" i="24"/>
  <c r="BX34" i="24"/>
  <c r="BU34" i="24"/>
  <c r="BR34" i="24"/>
  <c r="BO34" i="24"/>
  <c r="BL34" i="24"/>
  <c r="BI34" i="24"/>
  <c r="BF34" i="24"/>
  <c r="BC34" i="24"/>
  <c r="AZ34" i="24"/>
  <c r="AW34" i="24"/>
  <c r="AT34" i="24"/>
  <c r="AQ34" i="24"/>
  <c r="AN34" i="24"/>
  <c r="AK34" i="24"/>
  <c r="AH34" i="24"/>
  <c r="AE34" i="24"/>
  <c r="AB34" i="24"/>
  <c r="Y34" i="24"/>
  <c r="V34" i="24"/>
  <c r="S34" i="24"/>
  <c r="P34" i="24"/>
  <c r="M34" i="24"/>
  <c r="J34" i="24"/>
  <c r="G34" i="24"/>
  <c r="D34" i="24"/>
  <c r="CP33" i="24"/>
  <c r="CM33" i="24"/>
  <c r="CJ33" i="24"/>
  <c r="CG33" i="24"/>
  <c r="CD33" i="24"/>
  <c r="CA33" i="24"/>
  <c r="BX33" i="24"/>
  <c r="BU33" i="24"/>
  <c r="BR33" i="24"/>
  <c r="BO33" i="24"/>
  <c r="BL33" i="24"/>
  <c r="BI33" i="24"/>
  <c r="BF33" i="24"/>
  <c r="BC33" i="24"/>
  <c r="AZ33" i="24"/>
  <c r="AW33" i="24"/>
  <c r="AT33" i="24"/>
  <c r="AQ33" i="24"/>
  <c r="AN33" i="24"/>
  <c r="AK33" i="24"/>
  <c r="AH33" i="24"/>
  <c r="AE33" i="24"/>
  <c r="AB33" i="24"/>
  <c r="Y33" i="24"/>
  <c r="V33" i="24"/>
  <c r="S33" i="24"/>
  <c r="P33" i="24"/>
  <c r="M33" i="24"/>
  <c r="J33" i="24"/>
  <c r="G33" i="24"/>
  <c r="D33" i="24"/>
  <c r="CP32" i="24"/>
  <c r="CM32" i="24"/>
  <c r="CJ32" i="24"/>
  <c r="CG32" i="24"/>
  <c r="CD32" i="24"/>
  <c r="CA32" i="24"/>
  <c r="BX32" i="24"/>
  <c r="BU32" i="24"/>
  <c r="BR32" i="24"/>
  <c r="BO32" i="24"/>
  <c r="BL32" i="24"/>
  <c r="BI32" i="24"/>
  <c r="BF32" i="24"/>
  <c r="BC32" i="24"/>
  <c r="AZ32" i="24"/>
  <c r="AW32" i="24"/>
  <c r="AT32" i="24"/>
  <c r="AQ32" i="24"/>
  <c r="AN32" i="24"/>
  <c r="AK32" i="24"/>
  <c r="AH32" i="24"/>
  <c r="AE32" i="24"/>
  <c r="AB32" i="24"/>
  <c r="Y32" i="24"/>
  <c r="V32" i="24"/>
  <c r="S32" i="24"/>
  <c r="P32" i="24"/>
  <c r="M32" i="24"/>
  <c r="J32" i="24"/>
  <c r="G32" i="24"/>
  <c r="D32" i="24"/>
  <c r="CP31" i="24"/>
  <c r="CM31" i="24"/>
  <c r="CJ31" i="24"/>
  <c r="CG31" i="24"/>
  <c r="CD31" i="24"/>
  <c r="CA31" i="24"/>
  <c r="BX31" i="24"/>
  <c r="BU31" i="24"/>
  <c r="BR31" i="24"/>
  <c r="BO31" i="24"/>
  <c r="BL31" i="24"/>
  <c r="BI31" i="24"/>
  <c r="BF31" i="24"/>
  <c r="BC31" i="24"/>
  <c r="AZ31" i="24"/>
  <c r="AW31" i="24"/>
  <c r="AT31" i="24"/>
  <c r="AQ31" i="24"/>
  <c r="AN31" i="24"/>
  <c r="AK31" i="24"/>
  <c r="AH31" i="24"/>
  <c r="AE31" i="24"/>
  <c r="AB31" i="24"/>
  <c r="Y31" i="24"/>
  <c r="V31" i="24"/>
  <c r="S31" i="24"/>
  <c r="P31" i="24"/>
  <c r="M31" i="24"/>
  <c r="J31" i="24"/>
  <c r="G31" i="24"/>
  <c r="D31" i="24"/>
  <c r="CP30" i="24"/>
  <c r="CM30" i="24"/>
  <c r="CJ30" i="24"/>
  <c r="CG30" i="24"/>
  <c r="CD30" i="24"/>
  <c r="CA30" i="24"/>
  <c r="BX30" i="24"/>
  <c r="BU30" i="24"/>
  <c r="BR30" i="24"/>
  <c r="BO30" i="24"/>
  <c r="BL30" i="24"/>
  <c r="BI30" i="24"/>
  <c r="BF30" i="24"/>
  <c r="BC30" i="24"/>
  <c r="AZ30" i="24"/>
  <c r="AW30" i="24"/>
  <c r="AT30" i="24"/>
  <c r="AQ30" i="24"/>
  <c r="AN30" i="24"/>
  <c r="AK30" i="24"/>
  <c r="AH30" i="24"/>
  <c r="AE30" i="24"/>
  <c r="AB30" i="24"/>
  <c r="Y30" i="24"/>
  <c r="V30" i="24"/>
  <c r="S30" i="24"/>
  <c r="P30" i="24"/>
  <c r="M30" i="24"/>
  <c r="J30" i="24"/>
  <c r="G30" i="24"/>
  <c r="D30" i="24"/>
  <c r="CP29" i="24"/>
  <c r="CM29" i="24"/>
  <c r="CJ29" i="24"/>
  <c r="CG29" i="24"/>
  <c r="CD29" i="24"/>
  <c r="CA29" i="24"/>
  <c r="BX29" i="24"/>
  <c r="BU29" i="24"/>
  <c r="BR29" i="24"/>
  <c r="BO29" i="24"/>
  <c r="BL29" i="24"/>
  <c r="BI29" i="24"/>
  <c r="BF29" i="24"/>
  <c r="BC29" i="24"/>
  <c r="AZ29" i="24"/>
  <c r="AW29" i="24"/>
  <c r="AT29" i="24"/>
  <c r="AQ29" i="24"/>
  <c r="AN29" i="24"/>
  <c r="AK29" i="24"/>
  <c r="AH29" i="24"/>
  <c r="AE29" i="24"/>
  <c r="AB29" i="24"/>
  <c r="Y29" i="24"/>
  <c r="V29" i="24"/>
  <c r="S29" i="24"/>
  <c r="P29" i="24"/>
  <c r="M29" i="24"/>
  <c r="J29" i="24"/>
  <c r="G29" i="24"/>
  <c r="D29" i="24"/>
  <c r="CP28" i="24"/>
  <c r="CM28" i="24"/>
  <c r="CJ28" i="24"/>
  <c r="CG28" i="24"/>
  <c r="CD28" i="24"/>
  <c r="CA28" i="24"/>
  <c r="BX28" i="24"/>
  <c r="BU28" i="24"/>
  <c r="BR28" i="24"/>
  <c r="BO28" i="24"/>
  <c r="BL28" i="24"/>
  <c r="BI28" i="24"/>
  <c r="BF28" i="24"/>
  <c r="BC28" i="24"/>
  <c r="AZ28" i="24"/>
  <c r="AW28" i="24"/>
  <c r="AT28" i="24"/>
  <c r="AQ28" i="24"/>
  <c r="AN28" i="24"/>
  <c r="AK28" i="24"/>
  <c r="AH28" i="24"/>
  <c r="AE28" i="24"/>
  <c r="AB28" i="24"/>
  <c r="Y28" i="24"/>
  <c r="V28" i="24"/>
  <c r="S28" i="24"/>
  <c r="P28" i="24"/>
  <c r="M28" i="24"/>
  <c r="J28" i="24"/>
  <c r="G28" i="24"/>
  <c r="D28" i="24"/>
  <c r="CP27" i="24"/>
  <c r="CM27" i="24"/>
  <c r="CJ27" i="24"/>
  <c r="CG27" i="24"/>
  <c r="CD27" i="24"/>
  <c r="CA27" i="24"/>
  <c r="BX27" i="24"/>
  <c r="BU27" i="24"/>
  <c r="BR27" i="24"/>
  <c r="BO27" i="24"/>
  <c r="BL27" i="24"/>
  <c r="BI27" i="24"/>
  <c r="BF27" i="24"/>
  <c r="BC27" i="24"/>
  <c r="AZ27" i="24"/>
  <c r="AW27" i="24"/>
  <c r="AT27" i="24"/>
  <c r="AQ27" i="24"/>
  <c r="AN27" i="24"/>
  <c r="AK27" i="24"/>
  <c r="AH27" i="24"/>
  <c r="AE27" i="24"/>
  <c r="AB27" i="24"/>
  <c r="Y27" i="24"/>
  <c r="V27" i="24"/>
  <c r="S27" i="24"/>
  <c r="P27" i="24"/>
  <c r="M27" i="24"/>
  <c r="J27" i="24"/>
  <c r="G27" i="24"/>
  <c r="D27" i="24"/>
  <c r="CP26" i="24"/>
  <c r="CM26" i="24"/>
  <c r="CJ26" i="24"/>
  <c r="CG26" i="24"/>
  <c r="CD26" i="24"/>
  <c r="CA26" i="24"/>
  <c r="BX26" i="24"/>
  <c r="BU26" i="24"/>
  <c r="BR26" i="24"/>
  <c r="BO26" i="24"/>
  <c r="BL26" i="24"/>
  <c r="BI26" i="24"/>
  <c r="BF26" i="24"/>
  <c r="BC26" i="24"/>
  <c r="AZ26" i="24"/>
  <c r="AW26" i="24"/>
  <c r="AT26" i="24"/>
  <c r="AQ26" i="24"/>
  <c r="AN26" i="24"/>
  <c r="AK26" i="24"/>
  <c r="AH26" i="24"/>
  <c r="AE26" i="24"/>
  <c r="AB26" i="24"/>
  <c r="Y26" i="24"/>
  <c r="V26" i="24"/>
  <c r="S26" i="24"/>
  <c r="P26" i="24"/>
  <c r="M26" i="24"/>
  <c r="J26" i="24"/>
  <c r="G26" i="24"/>
  <c r="D26" i="24"/>
  <c r="CP25" i="24"/>
  <c r="CM25" i="24"/>
  <c r="CJ25" i="24"/>
  <c r="CG25" i="24"/>
  <c r="CD25" i="24"/>
  <c r="CA25" i="24"/>
  <c r="BX25" i="24"/>
  <c r="BU25" i="24"/>
  <c r="BR25" i="24"/>
  <c r="BO25" i="24"/>
  <c r="BL25" i="24"/>
  <c r="BI25" i="24"/>
  <c r="BF25" i="24"/>
  <c r="BC25" i="24"/>
  <c r="AZ25" i="24"/>
  <c r="AW25" i="24"/>
  <c r="AT25" i="24"/>
  <c r="AQ25" i="24"/>
  <c r="AN25" i="24"/>
  <c r="AK25" i="24"/>
  <c r="AH25" i="24"/>
  <c r="AE25" i="24"/>
  <c r="AB25" i="24"/>
  <c r="Y25" i="24"/>
  <c r="V25" i="24"/>
  <c r="S25" i="24"/>
  <c r="P25" i="24"/>
  <c r="M25" i="24"/>
  <c r="J25" i="24"/>
  <c r="G25" i="24"/>
  <c r="D25" i="24"/>
  <c r="CP24" i="24"/>
  <c r="CM24" i="24"/>
  <c r="CJ24" i="24"/>
  <c r="CG24" i="24"/>
  <c r="CD24" i="24"/>
  <c r="CA24" i="24"/>
  <c r="BX24" i="24"/>
  <c r="BU24" i="24"/>
  <c r="BR24" i="24"/>
  <c r="BO24" i="24"/>
  <c r="BL24" i="24"/>
  <c r="BI24" i="24"/>
  <c r="BF24" i="24"/>
  <c r="BC24" i="24"/>
  <c r="AZ24" i="24"/>
  <c r="AW24" i="24"/>
  <c r="AT24" i="24"/>
  <c r="AQ24" i="24"/>
  <c r="AN24" i="24"/>
  <c r="AK24" i="24"/>
  <c r="AH24" i="24"/>
  <c r="AE24" i="24"/>
  <c r="AB24" i="24"/>
  <c r="Y24" i="24"/>
  <c r="V24" i="24"/>
  <c r="S24" i="24"/>
  <c r="P24" i="24"/>
  <c r="M24" i="24"/>
  <c r="J24" i="24"/>
  <c r="G24" i="24"/>
  <c r="D24" i="24"/>
  <c r="CP23" i="24"/>
  <c r="CM23" i="24"/>
  <c r="CJ23" i="24"/>
  <c r="CG23" i="24"/>
  <c r="CD23" i="24"/>
  <c r="CA23" i="24"/>
  <c r="BX23" i="24"/>
  <c r="BU23" i="24"/>
  <c r="BR23" i="24"/>
  <c r="BO23" i="24"/>
  <c r="BL23" i="24"/>
  <c r="BI23" i="24"/>
  <c r="BF23" i="24"/>
  <c r="BC23" i="24"/>
  <c r="AZ23" i="24"/>
  <c r="AW23" i="24"/>
  <c r="AT23" i="24"/>
  <c r="AQ23" i="24"/>
  <c r="AN23" i="24"/>
  <c r="AK23" i="24"/>
  <c r="AH23" i="24"/>
  <c r="AE23" i="24"/>
  <c r="AB23" i="24"/>
  <c r="Y23" i="24"/>
  <c r="V23" i="24"/>
  <c r="S23" i="24"/>
  <c r="P23" i="24"/>
  <c r="M23" i="24"/>
  <c r="J23" i="24"/>
  <c r="G23" i="24"/>
  <c r="D23" i="24"/>
  <c r="CP22" i="24"/>
  <c r="CM22" i="24"/>
  <c r="CJ22" i="24"/>
  <c r="CG22" i="24"/>
  <c r="CD22" i="24"/>
  <c r="CA22" i="24"/>
  <c r="BX22" i="24"/>
  <c r="BU22" i="24"/>
  <c r="BR22" i="24"/>
  <c r="BO22" i="24"/>
  <c r="BL22" i="24"/>
  <c r="BI22" i="24"/>
  <c r="BF22" i="24"/>
  <c r="BC22" i="24"/>
  <c r="AZ22" i="24"/>
  <c r="AW22" i="24"/>
  <c r="AT22" i="24"/>
  <c r="AQ22" i="24"/>
  <c r="AN22" i="24"/>
  <c r="AK22" i="24"/>
  <c r="AH22" i="24"/>
  <c r="AE22" i="24"/>
  <c r="AB22" i="24"/>
  <c r="Y22" i="24"/>
  <c r="V22" i="24"/>
  <c r="S22" i="24"/>
  <c r="P22" i="24"/>
  <c r="M22" i="24"/>
  <c r="J22" i="24"/>
  <c r="G22" i="24"/>
  <c r="D22" i="24"/>
  <c r="CP21" i="24"/>
  <c r="CM21" i="24"/>
  <c r="CJ21" i="24"/>
  <c r="CG21" i="24"/>
  <c r="CD21" i="24"/>
  <c r="CA21" i="24"/>
  <c r="BX21" i="24"/>
  <c r="BU21" i="24"/>
  <c r="BR21" i="24"/>
  <c r="BO21" i="24"/>
  <c r="BL21" i="24"/>
  <c r="BI21" i="24"/>
  <c r="BF21" i="24"/>
  <c r="BC21" i="24"/>
  <c r="AZ21" i="24"/>
  <c r="AW21" i="24"/>
  <c r="AT21" i="24"/>
  <c r="AQ21" i="24"/>
  <c r="AN21" i="24"/>
  <c r="AK21" i="24"/>
  <c r="AH21" i="24"/>
  <c r="AE21" i="24"/>
  <c r="AB21" i="24"/>
  <c r="Y21" i="24"/>
  <c r="V21" i="24"/>
  <c r="S21" i="24"/>
  <c r="P21" i="24"/>
  <c r="M21" i="24"/>
  <c r="J21" i="24"/>
  <c r="G21" i="24"/>
  <c r="D21" i="24"/>
  <c r="CP20" i="24"/>
  <c r="CM20" i="24"/>
  <c r="CJ20" i="24"/>
  <c r="CG20" i="24"/>
  <c r="CD20" i="24"/>
  <c r="CA20" i="24"/>
  <c r="BX20" i="24"/>
  <c r="BU20" i="24"/>
  <c r="BR20" i="24"/>
  <c r="BO20" i="24"/>
  <c r="BL20" i="24"/>
  <c r="BI20" i="24"/>
  <c r="BF20" i="24"/>
  <c r="BC20" i="24"/>
  <c r="AZ20" i="24"/>
  <c r="AW20" i="24"/>
  <c r="AT20" i="24"/>
  <c r="AQ20" i="24"/>
  <c r="AN20" i="24"/>
  <c r="AK20" i="24"/>
  <c r="AH20" i="24"/>
  <c r="AE20" i="24"/>
  <c r="AB20" i="24"/>
  <c r="Y20" i="24"/>
  <c r="V20" i="24"/>
  <c r="S20" i="24"/>
  <c r="P20" i="24"/>
  <c r="M20" i="24"/>
  <c r="J20" i="24"/>
  <c r="G20" i="24"/>
  <c r="D20" i="24"/>
  <c r="CP19" i="24"/>
  <c r="CM19" i="24"/>
  <c r="CJ19" i="24"/>
  <c r="CG19" i="24"/>
  <c r="CD19" i="24"/>
  <c r="CA19" i="24"/>
  <c r="BX19" i="24"/>
  <c r="BU19" i="24"/>
  <c r="BR19" i="24"/>
  <c r="BO19" i="24"/>
  <c r="BL19" i="24"/>
  <c r="BI19" i="24"/>
  <c r="BF19" i="24"/>
  <c r="BC19" i="24"/>
  <c r="AZ19" i="24"/>
  <c r="AW19" i="24"/>
  <c r="AT19" i="24"/>
  <c r="AQ19" i="24"/>
  <c r="AN19" i="24"/>
  <c r="AK19" i="24"/>
  <c r="AH19" i="24"/>
  <c r="AE19" i="24"/>
  <c r="AB19" i="24"/>
  <c r="Y19" i="24"/>
  <c r="V19" i="24"/>
  <c r="S19" i="24"/>
  <c r="P19" i="24"/>
  <c r="M19" i="24"/>
  <c r="J19" i="24"/>
  <c r="G19" i="24"/>
  <c r="D19" i="24"/>
  <c r="CP18" i="24"/>
  <c r="CM18" i="24"/>
  <c r="CJ18" i="24"/>
  <c r="CG18" i="24"/>
  <c r="CD18" i="24"/>
  <c r="CA18" i="24"/>
  <c r="BX18" i="24"/>
  <c r="BU18" i="24"/>
  <c r="BR18" i="24"/>
  <c r="BO18" i="24"/>
  <c r="BL18" i="24"/>
  <c r="BI18" i="24"/>
  <c r="BF18" i="24"/>
  <c r="BC18" i="24"/>
  <c r="AZ18" i="24"/>
  <c r="AW18" i="24"/>
  <c r="AT18" i="24"/>
  <c r="AQ18" i="24"/>
  <c r="AN18" i="24"/>
  <c r="AK18" i="24"/>
  <c r="AH18" i="24"/>
  <c r="AE18" i="24"/>
  <c r="AB18" i="24"/>
  <c r="Y18" i="24"/>
  <c r="V18" i="24"/>
  <c r="S18" i="24"/>
  <c r="P18" i="24"/>
  <c r="M18" i="24"/>
  <c r="J18" i="24"/>
  <c r="G18" i="24"/>
  <c r="D18" i="24"/>
  <c r="CP17" i="24"/>
  <c r="CM17" i="24"/>
  <c r="CJ17" i="24"/>
  <c r="CG17" i="24"/>
  <c r="CD17" i="24"/>
  <c r="CA17" i="24"/>
  <c r="BX17" i="24"/>
  <c r="BU17" i="24"/>
  <c r="BR17" i="24"/>
  <c r="BO17" i="24"/>
  <c r="BL17" i="24"/>
  <c r="BI17" i="24"/>
  <c r="BF17" i="24"/>
  <c r="BC17" i="24"/>
  <c r="AZ17" i="24"/>
  <c r="AW17" i="24"/>
  <c r="AT17" i="24"/>
  <c r="AQ17" i="24"/>
  <c r="AN17" i="24"/>
  <c r="AK17" i="24"/>
  <c r="AH17" i="24"/>
  <c r="AE17" i="24"/>
  <c r="AB17" i="24"/>
  <c r="Y17" i="24"/>
  <c r="V17" i="24"/>
  <c r="S17" i="24"/>
  <c r="P17" i="24"/>
  <c r="M17" i="24"/>
  <c r="J17" i="24"/>
  <c r="G17" i="24"/>
  <c r="D17" i="24"/>
  <c r="CP16" i="24"/>
  <c r="CM16" i="24"/>
  <c r="CJ16" i="24"/>
  <c r="CG16" i="24"/>
  <c r="CD16" i="24"/>
  <c r="CA16" i="24"/>
  <c r="BX16" i="24"/>
  <c r="BU16" i="24"/>
  <c r="BR16" i="24"/>
  <c r="BO16" i="24"/>
  <c r="BL16" i="24"/>
  <c r="BI16" i="24"/>
  <c r="BF16" i="24"/>
  <c r="BC16" i="24"/>
  <c r="AZ16" i="24"/>
  <c r="AW16" i="24"/>
  <c r="AT16" i="24"/>
  <c r="AQ16" i="24"/>
  <c r="AN16" i="24"/>
  <c r="AK16" i="24"/>
  <c r="AH16" i="24"/>
  <c r="AE16" i="24"/>
  <c r="AB16" i="24"/>
  <c r="Y16" i="24"/>
  <c r="V16" i="24"/>
  <c r="S16" i="24"/>
  <c r="P16" i="24"/>
  <c r="M16" i="24"/>
  <c r="J16" i="24"/>
  <c r="G16" i="24"/>
  <c r="D16" i="24"/>
  <c r="CP15" i="24"/>
  <c r="CM15" i="24"/>
  <c r="CJ15" i="24"/>
  <c r="CG15" i="24"/>
  <c r="CD15" i="24"/>
  <c r="CA15" i="24"/>
  <c r="BX15" i="24"/>
  <c r="BU15" i="24"/>
  <c r="BR15" i="24"/>
  <c r="BO15" i="24"/>
  <c r="BL15" i="24"/>
  <c r="BI15" i="24"/>
  <c r="BF15" i="24"/>
  <c r="BC15" i="24"/>
  <c r="AZ15" i="24"/>
  <c r="AW15" i="24"/>
  <c r="AT15" i="24"/>
  <c r="AQ15" i="24"/>
  <c r="AN15" i="24"/>
  <c r="AK15" i="24"/>
  <c r="AH15" i="24"/>
  <c r="AE15" i="24"/>
  <c r="AB15" i="24"/>
  <c r="Y15" i="24"/>
  <c r="V15" i="24"/>
  <c r="S15" i="24"/>
  <c r="P15" i="24"/>
  <c r="M15" i="24"/>
  <c r="J15" i="24"/>
  <c r="G15" i="24"/>
  <c r="D15" i="24"/>
  <c r="CP14" i="24"/>
  <c r="CM14" i="24"/>
  <c r="CJ14" i="24"/>
  <c r="CG14" i="24"/>
  <c r="CD14" i="24"/>
  <c r="CA14" i="24"/>
  <c r="BX14" i="24"/>
  <c r="BU14" i="24"/>
  <c r="BR14" i="24"/>
  <c r="BO14" i="24"/>
  <c r="BL14" i="24"/>
  <c r="BI14" i="24"/>
  <c r="BF14" i="24"/>
  <c r="BC14" i="24"/>
  <c r="AZ14" i="24"/>
  <c r="AW14" i="24"/>
  <c r="AT14" i="24"/>
  <c r="AQ14" i="24"/>
  <c r="AN14" i="24"/>
  <c r="AK14" i="24"/>
  <c r="AH14" i="24"/>
  <c r="AE14" i="24"/>
  <c r="AB14" i="24"/>
  <c r="Y14" i="24"/>
  <c r="V14" i="24"/>
  <c r="S14" i="24"/>
  <c r="P14" i="24"/>
  <c r="M14" i="24"/>
  <c r="J14" i="24"/>
  <c r="G14" i="24"/>
  <c r="D14" i="24"/>
  <c r="CP13" i="24"/>
  <c r="CM13" i="24"/>
  <c r="CJ13" i="24"/>
  <c r="CG13" i="24"/>
  <c r="CD13" i="24"/>
  <c r="CA13" i="24"/>
  <c r="BX13" i="24"/>
  <c r="BU13" i="24"/>
  <c r="BR13" i="24"/>
  <c r="BO13" i="24"/>
  <c r="BL13" i="24"/>
  <c r="BI13" i="24"/>
  <c r="BF13" i="24"/>
  <c r="BC13" i="24"/>
  <c r="AZ13" i="24"/>
  <c r="AW13" i="24"/>
  <c r="AT13" i="24"/>
  <c r="AQ13" i="24"/>
  <c r="AN13" i="24"/>
  <c r="AK13" i="24"/>
  <c r="AH13" i="24"/>
  <c r="AE13" i="24"/>
  <c r="AB13" i="24"/>
  <c r="Y13" i="24"/>
  <c r="V13" i="24"/>
  <c r="S13" i="24"/>
  <c r="P13" i="24"/>
  <c r="M13" i="24"/>
  <c r="J13" i="24"/>
  <c r="G13" i="24"/>
  <c r="D13" i="24"/>
  <c r="CP12" i="24"/>
  <c r="CM12" i="24"/>
  <c r="CJ12" i="24"/>
  <c r="CG12" i="24"/>
  <c r="CD12" i="24"/>
  <c r="CA12" i="24"/>
  <c r="BX12" i="24"/>
  <c r="BU12" i="24"/>
  <c r="BR12" i="24"/>
  <c r="BO12" i="24"/>
  <c r="BL12" i="24"/>
  <c r="BI12" i="24"/>
  <c r="BF12" i="24"/>
  <c r="BC12" i="24"/>
  <c r="AZ12" i="24"/>
  <c r="AW12" i="24"/>
  <c r="AT12" i="24"/>
  <c r="AQ12" i="24"/>
  <c r="AN12" i="24"/>
  <c r="AK12" i="24"/>
  <c r="AH12" i="24"/>
  <c r="AE12" i="24"/>
  <c r="AB12" i="24"/>
  <c r="Y12" i="24"/>
  <c r="V12" i="24"/>
  <c r="S12" i="24"/>
  <c r="P12" i="24"/>
  <c r="M12" i="24"/>
  <c r="J12" i="24"/>
  <c r="G12" i="24"/>
  <c r="D12" i="24"/>
  <c r="CP11" i="24"/>
  <c r="CM11" i="24"/>
  <c r="CJ11" i="24"/>
  <c r="CG11" i="24"/>
  <c r="CD11" i="24"/>
  <c r="CA11" i="24"/>
  <c r="BX11" i="24"/>
  <c r="BU11" i="24"/>
  <c r="BR11" i="24"/>
  <c r="BO11" i="24"/>
  <c r="BL11" i="24"/>
  <c r="BI11" i="24"/>
  <c r="BF11" i="24"/>
  <c r="BC11" i="24"/>
  <c r="AZ11" i="24"/>
  <c r="AW11" i="24"/>
  <c r="AT11" i="24"/>
  <c r="AQ11" i="24"/>
  <c r="AN11" i="24"/>
  <c r="AK11" i="24"/>
  <c r="AH11" i="24"/>
  <c r="AE11" i="24"/>
  <c r="AB11" i="24"/>
  <c r="Y11" i="24"/>
  <c r="V11" i="24"/>
  <c r="S11" i="24"/>
  <c r="P11" i="24"/>
  <c r="M11" i="24"/>
  <c r="J11" i="24"/>
  <c r="G11" i="24"/>
  <c r="D11" i="24"/>
  <c r="CP10" i="24"/>
  <c r="CM10" i="24"/>
  <c r="CJ10" i="24"/>
  <c r="CG10" i="24"/>
  <c r="CD10" i="24"/>
  <c r="CA10" i="24"/>
  <c r="BX10" i="24"/>
  <c r="BU10" i="24"/>
  <c r="BR10" i="24"/>
  <c r="BO10" i="24"/>
  <c r="BL10" i="24"/>
  <c r="BI10" i="24"/>
  <c r="BF10" i="24"/>
  <c r="BC10" i="24"/>
  <c r="AZ10" i="24"/>
  <c r="AW10" i="24"/>
  <c r="AT10" i="24"/>
  <c r="AQ10" i="24"/>
  <c r="AN10" i="24"/>
  <c r="AK10" i="24"/>
  <c r="AH10" i="24"/>
  <c r="AE10" i="24"/>
  <c r="AB10" i="24"/>
  <c r="Y10" i="24"/>
  <c r="V10" i="24"/>
  <c r="S10" i="24"/>
  <c r="P10" i="24"/>
  <c r="M10" i="24"/>
  <c r="J10" i="24"/>
  <c r="G10" i="24"/>
  <c r="D10" i="24"/>
  <c r="CP9" i="24"/>
  <c r="CM9" i="24"/>
  <c r="CJ9" i="24"/>
  <c r="CG9" i="24"/>
  <c r="CD9" i="24"/>
  <c r="CA9" i="24"/>
  <c r="BX9" i="24"/>
  <c r="BU9" i="24"/>
  <c r="BR9" i="24"/>
  <c r="BO9" i="24"/>
  <c r="BL9" i="24"/>
  <c r="BI9" i="24"/>
  <c r="BF9" i="24"/>
  <c r="BC9" i="24"/>
  <c r="AZ9" i="24"/>
  <c r="AW9" i="24"/>
  <c r="AT9" i="24"/>
  <c r="AQ9" i="24"/>
  <c r="AN9" i="24"/>
  <c r="AK9" i="24"/>
  <c r="AH9" i="24"/>
  <c r="AE9" i="24"/>
  <c r="AB9" i="24"/>
  <c r="Y9" i="24"/>
  <c r="V9" i="24"/>
  <c r="S9" i="24"/>
  <c r="P9" i="24"/>
  <c r="M9" i="24"/>
  <c r="J9" i="24"/>
  <c r="G9" i="24"/>
  <c r="D9" i="24"/>
  <c r="CP8" i="24"/>
  <c r="CM8" i="24"/>
  <c r="CJ8" i="24"/>
  <c r="CG8" i="24"/>
  <c r="CD8" i="24"/>
  <c r="CA8" i="24"/>
  <c r="BX8" i="24"/>
  <c r="BU8" i="24"/>
  <c r="BR8" i="24"/>
  <c r="BO8" i="24"/>
  <c r="BL8" i="24"/>
  <c r="BI8" i="24"/>
  <c r="BF8" i="24"/>
  <c r="BC8" i="24"/>
  <c r="AZ8" i="24"/>
  <c r="AW8" i="24"/>
  <c r="AT8" i="24"/>
  <c r="AQ8" i="24"/>
  <c r="AN8" i="24"/>
  <c r="AK8" i="24"/>
  <c r="AH8" i="24"/>
  <c r="AE8" i="24"/>
  <c r="AB8" i="24"/>
  <c r="Y8" i="24"/>
  <c r="V8" i="24"/>
  <c r="S8" i="24"/>
  <c r="P8" i="24"/>
  <c r="M8" i="24"/>
  <c r="J8" i="24"/>
  <c r="G8" i="24"/>
  <c r="D8" i="24"/>
  <c r="CP7" i="24"/>
  <c r="CM7" i="24"/>
  <c r="CJ7" i="24"/>
  <c r="CG7" i="24"/>
  <c r="CD7" i="24"/>
  <c r="CA7" i="24"/>
  <c r="BX7" i="24"/>
  <c r="BU7" i="24"/>
  <c r="BR7" i="24"/>
  <c r="BO7" i="24"/>
  <c r="BL7" i="24"/>
  <c r="BI7" i="24"/>
  <c r="BF7" i="24"/>
  <c r="BC7" i="24"/>
  <c r="AZ7" i="24"/>
  <c r="AW7" i="24"/>
  <c r="AT7" i="24"/>
  <c r="AQ7" i="24"/>
  <c r="AN7" i="24"/>
  <c r="AK7" i="24"/>
  <c r="AH7" i="24"/>
  <c r="AE7" i="24"/>
  <c r="AB7" i="24"/>
  <c r="Y7" i="24"/>
  <c r="V7" i="24"/>
  <c r="S7" i="24"/>
  <c r="P7" i="24"/>
  <c r="M7" i="24"/>
  <c r="J7" i="24"/>
  <c r="G7" i="24"/>
  <c r="D7" i="24"/>
  <c r="CP6" i="24"/>
  <c r="CM6" i="24"/>
  <c r="CJ6" i="24"/>
  <c r="CG6" i="24"/>
  <c r="CD6" i="24"/>
  <c r="CA6" i="24"/>
  <c r="BX6" i="24"/>
  <c r="BU6" i="24"/>
  <c r="BR6" i="24"/>
  <c r="BO6" i="24"/>
  <c r="BL6" i="24"/>
  <c r="BI6" i="24"/>
  <c r="BF6" i="24"/>
  <c r="BC6" i="24"/>
  <c r="AZ6" i="24"/>
  <c r="AW6" i="24"/>
  <c r="AT6" i="24"/>
  <c r="AQ6" i="24"/>
  <c r="AN6" i="24"/>
  <c r="AK6" i="24"/>
  <c r="AH6" i="24"/>
  <c r="AE6" i="24"/>
  <c r="AB6" i="24"/>
  <c r="Y6" i="24"/>
  <c r="V6" i="24"/>
  <c r="S6" i="24"/>
  <c r="P6" i="24"/>
  <c r="M6" i="24"/>
  <c r="J6" i="24"/>
  <c r="G6" i="24"/>
  <c r="D6" i="24"/>
  <c r="CP5" i="24"/>
  <c r="CM5" i="24"/>
  <c r="CJ5" i="24"/>
  <c r="CG5" i="24"/>
  <c r="CD5" i="24"/>
  <c r="CA5" i="24"/>
  <c r="BX5" i="24"/>
  <c r="BU5" i="24"/>
  <c r="BR5" i="24"/>
  <c r="BO5" i="24"/>
  <c r="BL5" i="24"/>
  <c r="BI5" i="24"/>
  <c r="BF5" i="24"/>
  <c r="BC5" i="24"/>
  <c r="AZ5" i="24"/>
  <c r="AW5" i="24"/>
  <c r="AT5" i="24"/>
  <c r="AQ5" i="24"/>
  <c r="AN5" i="24"/>
  <c r="AK5" i="24"/>
  <c r="AH5" i="24"/>
  <c r="AE5" i="24"/>
  <c r="AB5" i="24"/>
  <c r="Y5" i="24"/>
  <c r="V5" i="24"/>
  <c r="S5" i="24"/>
  <c r="P5" i="24"/>
  <c r="M5" i="24"/>
  <c r="J5" i="24"/>
  <c r="G5" i="24"/>
  <c r="D5" i="24"/>
  <c r="CP37" i="26"/>
  <c r="CP36" i="26"/>
  <c r="CP35" i="26"/>
  <c r="CP34" i="26"/>
  <c r="CP33" i="26"/>
  <c r="CP32" i="26"/>
  <c r="CP31" i="26"/>
  <c r="CP30" i="26"/>
  <c r="CP29" i="26"/>
  <c r="CP28" i="26"/>
  <c r="CP27" i="26"/>
  <c r="CP26" i="26"/>
  <c r="CP25" i="26"/>
  <c r="CP24" i="26"/>
  <c r="CP23" i="26"/>
  <c r="CP22" i="26"/>
  <c r="CP21" i="26"/>
  <c r="CP20" i="26"/>
  <c r="CP19" i="26"/>
  <c r="CP18" i="26"/>
  <c r="CP17" i="26"/>
  <c r="CP16" i="26"/>
  <c r="CP15" i="26"/>
  <c r="CP14" i="26"/>
  <c r="CP13" i="26"/>
  <c r="CP12" i="26"/>
  <c r="CP11" i="26"/>
  <c r="CP10" i="26"/>
  <c r="CP9" i="26"/>
  <c r="CP8" i="26"/>
  <c r="CP7" i="26"/>
  <c r="CP6" i="26"/>
  <c r="CP5" i="26"/>
  <c r="P159" i="6"/>
  <c r="N159" i="6"/>
  <c r="L159" i="6"/>
  <c r="J159" i="6"/>
  <c r="H159" i="6"/>
  <c r="P152" i="6"/>
  <c r="N152" i="6"/>
  <c r="L152" i="6"/>
  <c r="J152" i="6"/>
  <c r="H152" i="6"/>
  <c r="P145" i="6"/>
  <c r="N145" i="6"/>
  <c r="L145" i="6"/>
  <c r="J145" i="6"/>
  <c r="H145" i="6"/>
  <c r="P138" i="6"/>
  <c r="N138" i="6"/>
  <c r="L138" i="6"/>
  <c r="J138" i="6"/>
  <c r="H138" i="6"/>
  <c r="P131" i="6"/>
  <c r="N131" i="6"/>
  <c r="L131" i="6"/>
  <c r="J131" i="6"/>
  <c r="H131" i="6"/>
  <c r="P124" i="6"/>
  <c r="N124" i="6"/>
  <c r="L124" i="6"/>
  <c r="J124" i="6"/>
  <c r="H124" i="6"/>
  <c r="P117" i="6"/>
  <c r="N117" i="6"/>
  <c r="L117" i="6"/>
  <c r="J117" i="6"/>
  <c r="H117" i="6"/>
  <c r="P110" i="6"/>
  <c r="N110" i="6"/>
  <c r="L110" i="6"/>
  <c r="J110" i="6"/>
  <c r="H110" i="6"/>
  <c r="P103" i="6"/>
  <c r="N103" i="6"/>
  <c r="L103" i="6"/>
  <c r="J103" i="6"/>
  <c r="H103" i="6"/>
  <c r="P96" i="6"/>
  <c r="N96" i="6"/>
  <c r="L96" i="6"/>
  <c r="J96" i="6"/>
  <c r="H96" i="6"/>
  <c r="P89" i="6"/>
  <c r="N89" i="6"/>
  <c r="L89" i="6"/>
  <c r="J89" i="6"/>
  <c r="H89" i="6"/>
  <c r="P82" i="6"/>
  <c r="N82" i="6"/>
  <c r="L82" i="6"/>
  <c r="J82" i="6"/>
  <c r="H82" i="6"/>
  <c r="P75" i="6"/>
  <c r="N75" i="6"/>
  <c r="L75" i="6"/>
  <c r="J75" i="6"/>
  <c r="H75" i="6"/>
  <c r="P68" i="6"/>
  <c r="N68" i="6"/>
  <c r="L68" i="6"/>
  <c r="J68" i="6"/>
  <c r="H68" i="6"/>
  <c r="P61" i="6"/>
  <c r="N61" i="6"/>
  <c r="L61" i="6"/>
  <c r="J61" i="6"/>
  <c r="H61" i="6"/>
  <c r="P54" i="6"/>
  <c r="N54" i="6"/>
  <c r="L54" i="6"/>
  <c r="J54" i="6"/>
  <c r="H54" i="6"/>
  <c r="P47" i="6"/>
  <c r="N47" i="6"/>
  <c r="L47" i="6"/>
  <c r="J47" i="6"/>
  <c r="H47" i="6"/>
  <c r="P40" i="6"/>
  <c r="N40" i="6"/>
  <c r="L40" i="6"/>
  <c r="J40" i="6"/>
  <c r="H40" i="6"/>
  <c r="P33" i="6"/>
  <c r="N33" i="6"/>
  <c r="L33" i="6"/>
  <c r="J33" i="6"/>
  <c r="H33" i="6"/>
  <c r="P26" i="6"/>
  <c r="N26" i="6"/>
  <c r="L26" i="6"/>
  <c r="J26" i="6"/>
  <c r="H26" i="6"/>
  <c r="P19" i="6"/>
  <c r="N19" i="6"/>
  <c r="L19" i="6"/>
  <c r="J19" i="6"/>
  <c r="H19" i="6"/>
  <c r="CJ26" i="30"/>
  <c r="CG26" i="30"/>
  <c r="CD26" i="30"/>
  <c r="CA26" i="30"/>
  <c r="BX26" i="30"/>
  <c r="BU26" i="30"/>
  <c r="BR26" i="30"/>
  <c r="BO26" i="30"/>
  <c r="BL26" i="30"/>
  <c r="BI26" i="30"/>
  <c r="BF26" i="30"/>
  <c r="BC26" i="30"/>
  <c r="AZ26" i="30"/>
  <c r="AW26" i="30"/>
  <c r="AT26" i="30"/>
  <c r="AQ26" i="30"/>
  <c r="AN26" i="30"/>
  <c r="AK26" i="30"/>
  <c r="AH26" i="30"/>
  <c r="AE26" i="30"/>
  <c r="AB26" i="30"/>
  <c r="Y26" i="30"/>
  <c r="V26" i="30"/>
  <c r="S26" i="30"/>
  <c r="P26" i="30"/>
  <c r="M26" i="30"/>
  <c r="J26" i="30"/>
  <c r="CJ25" i="30"/>
  <c r="CG25" i="30"/>
  <c r="CD25" i="30"/>
  <c r="CA25" i="30"/>
  <c r="BX25" i="30"/>
  <c r="BU25" i="30"/>
  <c r="BR25" i="30"/>
  <c r="BO25" i="30"/>
  <c r="BL25" i="30"/>
  <c r="BI25" i="30"/>
  <c r="BF25" i="30"/>
  <c r="BC25" i="30"/>
  <c r="AZ25" i="30"/>
  <c r="AW25" i="30"/>
  <c r="AT25" i="30"/>
  <c r="AQ25" i="30"/>
  <c r="AN25" i="30"/>
  <c r="AK25" i="30"/>
  <c r="AH25" i="30"/>
  <c r="AE25" i="30"/>
  <c r="AB25" i="30"/>
  <c r="Y25" i="30"/>
  <c r="V25" i="30"/>
  <c r="S25" i="30"/>
  <c r="P25" i="30"/>
  <c r="M25" i="30"/>
  <c r="J25" i="30"/>
  <c r="CJ24" i="30"/>
  <c r="CG24" i="30"/>
  <c r="CD24" i="30"/>
  <c r="CA24" i="30"/>
  <c r="BX24" i="30"/>
  <c r="BU24" i="30"/>
  <c r="BR24" i="30"/>
  <c r="BO24" i="30"/>
  <c r="BL24" i="30"/>
  <c r="BI24" i="30"/>
  <c r="BF24" i="30"/>
  <c r="BC24" i="30"/>
  <c r="AZ24" i="30"/>
  <c r="AW24" i="30"/>
  <c r="AT24" i="30"/>
  <c r="AQ24" i="30"/>
  <c r="AN24" i="30"/>
  <c r="AK24" i="30"/>
  <c r="AH24" i="30"/>
  <c r="AE24" i="30"/>
  <c r="AB24" i="30"/>
  <c r="Y24" i="30"/>
  <c r="V24" i="30"/>
  <c r="S24" i="30"/>
  <c r="P24" i="30"/>
  <c r="M24" i="30"/>
  <c r="J24" i="30"/>
  <c r="CJ23" i="30"/>
  <c r="CG23" i="30"/>
  <c r="CD23" i="30"/>
  <c r="CA23" i="30"/>
  <c r="BX23" i="30"/>
  <c r="BU23" i="30"/>
  <c r="BR23" i="30"/>
  <c r="BO23" i="30"/>
  <c r="BL23" i="30"/>
  <c r="BI23" i="30"/>
  <c r="BF23" i="30"/>
  <c r="BC23" i="30"/>
  <c r="AZ23" i="30"/>
  <c r="AW23" i="30"/>
  <c r="AT23" i="30"/>
  <c r="AQ23" i="30"/>
  <c r="AN23" i="30"/>
  <c r="AK23" i="30"/>
  <c r="AH23" i="30"/>
  <c r="AE23" i="30"/>
  <c r="AB23" i="30"/>
  <c r="Y23" i="30"/>
  <c r="V23" i="30"/>
  <c r="S23" i="30"/>
  <c r="P23" i="30"/>
  <c r="M23" i="30"/>
  <c r="J23" i="30"/>
  <c r="CJ22" i="30"/>
  <c r="CG22" i="30"/>
  <c r="CD22" i="30"/>
  <c r="CA22" i="30"/>
  <c r="BX22" i="30"/>
  <c r="BU22" i="30"/>
  <c r="BR22" i="30"/>
  <c r="BO22" i="30"/>
  <c r="BL22" i="30"/>
  <c r="BI22" i="30"/>
  <c r="BF22" i="30"/>
  <c r="BC22" i="30"/>
  <c r="AZ22" i="30"/>
  <c r="AW22" i="30"/>
  <c r="AT22" i="30"/>
  <c r="AQ22" i="30"/>
  <c r="AN22" i="30"/>
  <c r="AK22" i="30"/>
  <c r="AH22" i="30"/>
  <c r="AE22" i="30"/>
  <c r="AB22" i="30"/>
  <c r="Y22" i="30"/>
  <c r="V22" i="30"/>
  <c r="S22" i="30"/>
  <c r="P22" i="30"/>
  <c r="M22" i="30"/>
  <c r="J22" i="30"/>
  <c r="CJ21" i="30"/>
  <c r="CG21" i="30"/>
  <c r="CD21" i="30"/>
  <c r="CA21" i="30"/>
  <c r="BX21" i="30"/>
  <c r="BU21" i="30"/>
  <c r="BR21" i="30"/>
  <c r="BO21" i="30"/>
  <c r="BL21" i="30"/>
  <c r="BI21" i="30"/>
  <c r="BF21" i="30"/>
  <c r="BC21" i="30"/>
  <c r="AZ21" i="30"/>
  <c r="AW21" i="30"/>
  <c r="AT21" i="30"/>
  <c r="AQ21" i="30"/>
  <c r="AN21" i="30"/>
  <c r="AK21" i="30"/>
  <c r="AH21" i="30"/>
  <c r="AE21" i="30"/>
  <c r="AB21" i="30"/>
  <c r="Y21" i="30"/>
  <c r="V21" i="30"/>
  <c r="S21" i="30"/>
  <c r="P21" i="30"/>
  <c r="M21" i="30"/>
  <c r="J21" i="30"/>
  <c r="CJ20" i="30"/>
  <c r="CG20" i="30"/>
  <c r="CD20" i="30"/>
  <c r="CA20" i="30"/>
  <c r="BX20" i="30"/>
  <c r="BU20" i="30"/>
  <c r="BR20" i="30"/>
  <c r="BO20" i="30"/>
  <c r="BL20" i="30"/>
  <c r="BI20" i="30"/>
  <c r="BF20" i="30"/>
  <c r="BC20" i="30"/>
  <c r="AZ20" i="30"/>
  <c r="AW20" i="30"/>
  <c r="AT20" i="30"/>
  <c r="AQ20" i="30"/>
  <c r="AN20" i="30"/>
  <c r="AK20" i="30"/>
  <c r="AH20" i="30"/>
  <c r="AE20" i="30"/>
  <c r="AB20" i="30"/>
  <c r="Y20" i="30"/>
  <c r="V20" i="30"/>
  <c r="S20" i="30"/>
  <c r="P20" i="30"/>
  <c r="M20" i="30"/>
  <c r="J20" i="30"/>
  <c r="CJ19" i="30"/>
  <c r="CG19" i="30"/>
  <c r="CD19" i="30"/>
  <c r="CA19" i="30"/>
  <c r="BX19" i="30"/>
  <c r="BU19" i="30"/>
  <c r="BR19" i="30"/>
  <c r="BO19" i="30"/>
  <c r="BL19" i="30"/>
  <c r="BI19" i="30"/>
  <c r="BF19" i="30"/>
  <c r="BC19" i="30"/>
  <c r="AZ19" i="30"/>
  <c r="AW19" i="30"/>
  <c r="AT19" i="30"/>
  <c r="AQ19" i="30"/>
  <c r="AN19" i="30"/>
  <c r="AK19" i="30"/>
  <c r="AH19" i="30"/>
  <c r="AE19" i="30"/>
  <c r="AB19" i="30"/>
  <c r="Y19" i="30"/>
  <c r="V19" i="30"/>
  <c r="S19" i="30"/>
  <c r="P19" i="30"/>
  <c r="M19" i="30"/>
  <c r="J19" i="30"/>
  <c r="CJ18" i="30"/>
  <c r="CG18" i="30"/>
  <c r="CD18" i="30"/>
  <c r="CA18" i="30"/>
  <c r="BX18" i="30"/>
  <c r="BU18" i="30"/>
  <c r="BR18" i="30"/>
  <c r="BO18" i="30"/>
  <c r="BL18" i="30"/>
  <c r="BI18" i="30"/>
  <c r="BF18" i="30"/>
  <c r="BC18" i="30"/>
  <c r="AZ18" i="30"/>
  <c r="AW18" i="30"/>
  <c r="AT18" i="30"/>
  <c r="AQ18" i="30"/>
  <c r="AN18" i="30"/>
  <c r="AK18" i="30"/>
  <c r="AH18" i="30"/>
  <c r="AE18" i="30"/>
  <c r="AB18" i="30"/>
  <c r="Y18" i="30"/>
  <c r="V18" i="30"/>
  <c r="S18" i="30"/>
  <c r="P18" i="30"/>
  <c r="M18" i="30"/>
  <c r="J18" i="30"/>
  <c r="CJ17" i="30"/>
  <c r="CG17" i="30"/>
  <c r="CD17" i="30"/>
  <c r="CA17" i="30"/>
  <c r="BX17" i="30"/>
  <c r="BU17" i="30"/>
  <c r="BR17" i="30"/>
  <c r="BO17" i="30"/>
  <c r="BL17" i="30"/>
  <c r="BI17" i="30"/>
  <c r="BF17" i="30"/>
  <c r="BC17" i="30"/>
  <c r="AZ17" i="30"/>
  <c r="AW17" i="30"/>
  <c r="AT17" i="30"/>
  <c r="AQ17" i="30"/>
  <c r="AN17" i="30"/>
  <c r="AK17" i="30"/>
  <c r="AH17" i="30"/>
  <c r="AE17" i="30"/>
  <c r="AB17" i="30"/>
  <c r="Y17" i="30"/>
  <c r="V17" i="30"/>
  <c r="S17" i="30"/>
  <c r="P17" i="30"/>
  <c r="M17" i="30"/>
  <c r="J17" i="30"/>
  <c r="CJ16" i="30"/>
  <c r="CG16" i="30"/>
  <c r="CD16" i="30"/>
  <c r="CA16" i="30"/>
  <c r="BX16" i="30"/>
  <c r="BU16" i="30"/>
  <c r="BR16" i="30"/>
  <c r="BO16" i="30"/>
  <c r="BL16" i="30"/>
  <c r="BI16" i="30"/>
  <c r="BF16" i="30"/>
  <c r="BC16" i="30"/>
  <c r="AZ16" i="30"/>
  <c r="AW16" i="30"/>
  <c r="AT16" i="30"/>
  <c r="AQ16" i="30"/>
  <c r="AN16" i="30"/>
  <c r="AK16" i="30"/>
  <c r="AH16" i="30"/>
  <c r="AE16" i="30"/>
  <c r="AB16" i="30"/>
  <c r="Y16" i="30"/>
  <c r="V16" i="30"/>
  <c r="S16" i="30"/>
  <c r="P16" i="30"/>
  <c r="M16" i="30"/>
  <c r="J16" i="30"/>
  <c r="CJ15" i="30"/>
  <c r="CG15" i="30"/>
  <c r="CD15" i="30"/>
  <c r="CA15" i="30"/>
  <c r="BX15" i="30"/>
  <c r="BU15" i="30"/>
  <c r="BR15" i="30"/>
  <c r="BO15" i="30"/>
  <c r="BL15" i="30"/>
  <c r="BI15" i="30"/>
  <c r="BF15" i="30"/>
  <c r="BC15" i="30"/>
  <c r="AZ15" i="30"/>
  <c r="AW15" i="30"/>
  <c r="AT15" i="30"/>
  <c r="AQ15" i="30"/>
  <c r="AN15" i="30"/>
  <c r="AK15" i="30"/>
  <c r="AH15" i="30"/>
  <c r="AE15" i="30"/>
  <c r="AB15" i="30"/>
  <c r="Y15" i="30"/>
  <c r="V15" i="30"/>
  <c r="S15" i="30"/>
  <c r="P15" i="30"/>
  <c r="M15" i="30"/>
  <c r="J15" i="30"/>
  <c r="CJ14" i="30"/>
  <c r="CG14" i="30"/>
  <c r="CD14" i="30"/>
  <c r="CA14" i="30"/>
  <c r="BX14" i="30"/>
  <c r="BU14" i="30"/>
  <c r="BR14" i="30"/>
  <c r="BO14" i="30"/>
  <c r="BL14" i="30"/>
  <c r="BI14" i="30"/>
  <c r="BF14" i="30"/>
  <c r="BC14" i="30"/>
  <c r="AZ14" i="30"/>
  <c r="AW14" i="30"/>
  <c r="AT14" i="30"/>
  <c r="AQ14" i="30"/>
  <c r="AN14" i="30"/>
  <c r="AK14" i="30"/>
  <c r="AH14" i="30"/>
  <c r="AE14" i="30"/>
  <c r="AB14" i="30"/>
  <c r="Y14" i="30"/>
  <c r="V14" i="30"/>
  <c r="S14" i="30"/>
  <c r="P14" i="30"/>
  <c r="M14" i="30"/>
  <c r="J14" i="30"/>
  <c r="CJ13" i="30"/>
  <c r="CG13" i="30"/>
  <c r="CD13" i="30"/>
  <c r="CA13" i="30"/>
  <c r="BX13" i="30"/>
  <c r="BU13" i="30"/>
  <c r="BR13" i="30"/>
  <c r="BO13" i="30"/>
  <c r="BL13" i="30"/>
  <c r="BI13" i="30"/>
  <c r="BF13" i="30"/>
  <c r="BC13" i="30"/>
  <c r="AZ13" i="30"/>
  <c r="AW13" i="30"/>
  <c r="AT13" i="30"/>
  <c r="AQ13" i="30"/>
  <c r="AN13" i="30"/>
  <c r="AK13" i="30"/>
  <c r="AH13" i="30"/>
  <c r="AE13" i="30"/>
  <c r="AB13" i="30"/>
  <c r="Y13" i="30"/>
  <c r="V13" i="30"/>
  <c r="S13" i="30"/>
  <c r="P13" i="30"/>
  <c r="M13" i="30"/>
  <c r="J13" i="30"/>
  <c r="CJ12" i="30"/>
  <c r="CG12" i="30"/>
  <c r="CD12" i="30"/>
  <c r="CA12" i="30"/>
  <c r="BX12" i="30"/>
  <c r="BU12" i="30"/>
  <c r="BR12" i="30"/>
  <c r="BO12" i="30"/>
  <c r="BL12" i="30"/>
  <c r="BI12" i="30"/>
  <c r="BF12" i="30"/>
  <c r="BC12" i="30"/>
  <c r="AZ12" i="30"/>
  <c r="AW12" i="30"/>
  <c r="AT12" i="30"/>
  <c r="AQ12" i="30"/>
  <c r="AN12" i="30"/>
  <c r="AK12" i="30"/>
  <c r="AH12" i="30"/>
  <c r="AE12" i="30"/>
  <c r="AB12" i="30"/>
  <c r="Y12" i="30"/>
  <c r="V12" i="30"/>
  <c r="S12" i="30"/>
  <c r="P12" i="30"/>
  <c r="M12" i="30"/>
  <c r="J12" i="30"/>
  <c r="CJ11" i="30"/>
  <c r="CG11" i="30"/>
  <c r="CD11" i="30"/>
  <c r="CA11" i="30"/>
  <c r="BX11" i="30"/>
  <c r="BU11" i="30"/>
  <c r="BR11" i="30"/>
  <c r="BO11" i="30"/>
  <c r="BL11" i="30"/>
  <c r="BI11" i="30"/>
  <c r="BF11" i="30"/>
  <c r="BC11" i="30"/>
  <c r="AZ11" i="30"/>
  <c r="AW11" i="30"/>
  <c r="AT11" i="30"/>
  <c r="AQ11" i="30"/>
  <c r="AN11" i="30"/>
  <c r="AK11" i="30"/>
  <c r="AH11" i="30"/>
  <c r="AE11" i="30"/>
  <c r="AB11" i="30"/>
  <c r="Y11" i="30"/>
  <c r="V11" i="30"/>
  <c r="S11" i="30"/>
  <c r="P11" i="30"/>
  <c r="M11" i="30"/>
  <c r="J11" i="30"/>
  <c r="CJ10" i="30"/>
  <c r="CG10" i="30"/>
  <c r="CD10" i="30"/>
  <c r="CA10" i="30"/>
  <c r="BX10" i="30"/>
  <c r="BU10" i="30"/>
  <c r="BR10" i="30"/>
  <c r="BO10" i="30"/>
  <c r="BL10" i="30"/>
  <c r="BI10" i="30"/>
  <c r="BF10" i="30"/>
  <c r="BC10" i="30"/>
  <c r="AZ10" i="30"/>
  <c r="AW10" i="30"/>
  <c r="AT10" i="30"/>
  <c r="AQ10" i="30"/>
  <c r="AN10" i="30"/>
  <c r="AK10" i="30"/>
  <c r="AH10" i="30"/>
  <c r="AE10" i="30"/>
  <c r="AB10" i="30"/>
  <c r="Y10" i="30"/>
  <c r="V10" i="30"/>
  <c r="S10" i="30"/>
  <c r="P10" i="30"/>
  <c r="M10" i="30"/>
  <c r="J10" i="30"/>
  <c r="CJ9" i="30"/>
  <c r="CG9" i="30"/>
  <c r="CD9" i="30"/>
  <c r="CA9" i="30"/>
  <c r="BX9" i="30"/>
  <c r="BU9" i="30"/>
  <c r="BR9" i="30"/>
  <c r="BO9" i="30"/>
  <c r="BL9" i="30"/>
  <c r="BI9" i="30"/>
  <c r="BF9" i="30"/>
  <c r="BC9" i="30"/>
  <c r="AZ9" i="30"/>
  <c r="AW9" i="30"/>
  <c r="AT9" i="30"/>
  <c r="AQ9" i="30"/>
  <c r="AN9" i="30"/>
  <c r="AK9" i="30"/>
  <c r="AH9" i="30"/>
  <c r="AE9" i="30"/>
  <c r="AB9" i="30"/>
  <c r="Y9" i="30"/>
  <c r="V9" i="30"/>
  <c r="S9" i="30"/>
  <c r="P9" i="30"/>
  <c r="M9" i="30"/>
  <c r="J9" i="30"/>
  <c r="CJ8" i="30"/>
  <c r="CG8" i="30"/>
  <c r="CD8" i="30"/>
  <c r="CA8" i="30"/>
  <c r="BX8" i="30"/>
  <c r="BU8" i="30"/>
  <c r="BR8" i="30"/>
  <c r="BO8" i="30"/>
  <c r="BL8" i="30"/>
  <c r="BI8" i="30"/>
  <c r="BF8" i="30"/>
  <c r="BC8" i="30"/>
  <c r="AZ8" i="30"/>
  <c r="AW8" i="30"/>
  <c r="AT8" i="30"/>
  <c r="AQ8" i="30"/>
  <c r="AN8" i="30"/>
  <c r="AK8" i="30"/>
  <c r="AH8" i="30"/>
  <c r="AE8" i="30"/>
  <c r="AB8" i="30"/>
  <c r="Y8" i="30"/>
  <c r="V8" i="30"/>
  <c r="S8" i="30"/>
  <c r="P8" i="30"/>
  <c r="M8" i="30"/>
  <c r="J8" i="30"/>
  <c r="CJ7" i="30"/>
  <c r="CG7" i="30"/>
  <c r="CD7" i="30"/>
  <c r="CA7" i="30"/>
  <c r="BX7" i="30"/>
  <c r="BU7" i="30"/>
  <c r="BR7" i="30"/>
  <c r="BO7" i="30"/>
  <c r="BL7" i="30"/>
  <c r="BI7" i="30"/>
  <c r="BF7" i="30"/>
  <c r="BC7" i="30"/>
  <c r="AZ7" i="30"/>
  <c r="AW7" i="30"/>
  <c r="AT7" i="30"/>
  <c r="AQ7" i="30"/>
  <c r="AN7" i="30"/>
  <c r="AK7" i="30"/>
  <c r="AH7" i="30"/>
  <c r="AE7" i="30"/>
  <c r="AB7" i="30"/>
  <c r="Y7" i="30"/>
  <c r="V7" i="30"/>
  <c r="S7" i="30"/>
  <c r="P7" i="30"/>
  <c r="M7" i="30"/>
  <c r="J7" i="30"/>
  <c r="CT27" i="30"/>
  <c r="CV26" i="30"/>
  <c r="CV25" i="30"/>
  <c r="CV24" i="30"/>
  <c r="CV23" i="30"/>
  <c r="CV22" i="30"/>
  <c r="CV21" i="30"/>
  <c r="CV20" i="30"/>
  <c r="CV19" i="30"/>
  <c r="CV18" i="30"/>
  <c r="CV17" i="30"/>
  <c r="CV16" i="30"/>
  <c r="CV15" i="30"/>
  <c r="CV14" i="30"/>
  <c r="CV13" i="30"/>
  <c r="CV12" i="30"/>
  <c r="CV11" i="30"/>
  <c r="CV10" i="30"/>
  <c r="CV9" i="30"/>
  <c r="CV8" i="30"/>
  <c r="CV7" i="30"/>
  <c r="CQ27" i="30"/>
  <c r="CS26" i="30"/>
  <c r="CS25" i="30"/>
  <c r="CS24" i="30"/>
  <c r="CS23" i="30"/>
  <c r="CS22" i="30"/>
  <c r="CS21" i="30"/>
  <c r="CS20" i="30"/>
  <c r="CS19" i="30"/>
  <c r="CS18" i="30"/>
  <c r="CS17" i="30"/>
  <c r="CS16" i="30"/>
  <c r="CS15" i="30"/>
  <c r="CS14" i="30"/>
  <c r="CS13" i="30"/>
  <c r="CS12" i="30"/>
  <c r="CS11" i="30"/>
  <c r="CS10" i="30"/>
  <c r="CS9" i="30"/>
  <c r="CS8" i="30"/>
  <c r="CS7" i="30"/>
  <c r="CK27" i="30"/>
  <c r="CM26" i="30"/>
  <c r="CM25" i="30"/>
  <c r="CM24" i="30"/>
  <c r="CM23" i="30"/>
  <c r="CM22" i="30"/>
  <c r="CM21" i="30"/>
  <c r="CM20" i="30"/>
  <c r="CM19" i="30"/>
  <c r="CM18" i="30"/>
  <c r="CM17" i="30"/>
  <c r="CM16" i="30"/>
  <c r="CM15" i="30"/>
  <c r="CM14" i="30"/>
  <c r="CM13" i="30"/>
  <c r="CM12" i="30"/>
  <c r="CM11" i="30"/>
  <c r="CM10" i="30"/>
  <c r="CM9" i="30"/>
  <c r="CM8" i="30"/>
  <c r="CM7" i="30"/>
  <c r="B41" i="3"/>
  <c r="B40" i="3"/>
  <c r="B39" i="3"/>
  <c r="B38" i="3"/>
  <c r="B37" i="3"/>
  <c r="B36" i="3"/>
  <c r="B35" i="3"/>
  <c r="Q38" i="24" l="1"/>
  <c r="O12" i="5" s="1"/>
  <c r="E35" i="2"/>
  <c r="D35" i="2" s="1"/>
  <c r="B35" i="2" s="1"/>
  <c r="C35" i="2"/>
  <c r="E34" i="2"/>
  <c r="D34" i="2"/>
  <c r="C34" i="2"/>
  <c r="B34" i="2"/>
  <c r="E33" i="2"/>
  <c r="D33" i="2"/>
  <c r="C33" i="2"/>
  <c r="B33" i="2"/>
  <c r="E32" i="2"/>
  <c r="D32" i="2" s="1"/>
  <c r="B32" i="2" s="1"/>
  <c r="C32" i="2"/>
  <c r="E31" i="2"/>
  <c r="D31" i="2"/>
  <c r="C31" i="2"/>
  <c r="B31" i="2"/>
  <c r="E30" i="2"/>
  <c r="D30" i="2"/>
  <c r="B30" i="2" s="1"/>
  <c r="C30" i="2"/>
  <c r="E29" i="2"/>
  <c r="D29" i="2" s="1"/>
  <c r="B29" i="2" s="1"/>
  <c r="C29" i="2"/>
  <c r="E28" i="2"/>
  <c r="D28" i="2" s="1"/>
  <c r="B28" i="2" s="1"/>
  <c r="E27" i="2"/>
  <c r="C27" i="2" s="1"/>
  <c r="D27" i="2"/>
  <c r="B27" i="2" s="1"/>
  <c r="E26" i="2"/>
  <c r="D26" i="2" s="1"/>
  <c r="B26" i="2" s="1"/>
  <c r="E25" i="2"/>
  <c r="D25" i="2" s="1"/>
  <c r="B25" i="2" s="1"/>
  <c r="C25" i="2"/>
  <c r="E24" i="2"/>
  <c r="D24" i="2"/>
  <c r="B24" i="2" s="1"/>
  <c r="C24" i="2"/>
  <c r="E23" i="2"/>
  <c r="D23" i="2" s="1"/>
  <c r="B23" i="2" s="1"/>
  <c r="E22" i="2"/>
  <c r="D22" i="2" s="1"/>
  <c r="B22" i="2" s="1"/>
  <c r="E21" i="2"/>
  <c r="C21" i="2" s="1"/>
  <c r="D21" i="2"/>
  <c r="B21" i="2" s="1"/>
  <c r="E20" i="2"/>
  <c r="D20" i="2" s="1"/>
  <c r="B20" i="2" s="1"/>
  <c r="E19" i="2"/>
  <c r="D19" i="2" s="1"/>
  <c r="B19" i="2" s="1"/>
  <c r="E18" i="2"/>
  <c r="D18" i="2"/>
  <c r="B18" i="2" s="1"/>
  <c r="C18" i="2"/>
  <c r="E17" i="2"/>
  <c r="D17" i="2" s="1"/>
  <c r="B17" i="2" s="1"/>
  <c r="C17" i="2"/>
  <c r="E16" i="2"/>
  <c r="C16" i="2" s="1"/>
  <c r="D16" i="2"/>
  <c r="B16" i="2" s="1"/>
  <c r="E15" i="2"/>
  <c r="D15" i="2" s="1"/>
  <c r="B15" i="2" s="1"/>
  <c r="E14" i="2"/>
  <c r="D14" i="2" s="1"/>
  <c r="B14" i="2" s="1"/>
  <c r="E13" i="2"/>
  <c r="D13" i="2" s="1"/>
  <c r="B13" i="2" s="1"/>
  <c r="C13" i="2"/>
  <c r="E12" i="2"/>
  <c r="D12" i="2" s="1"/>
  <c r="B12" i="2" s="1"/>
  <c r="E11" i="2"/>
  <c r="D11" i="2" s="1"/>
  <c r="B11" i="2" s="1"/>
  <c r="E10" i="2"/>
  <c r="D10" i="2" s="1"/>
  <c r="B10" i="2" s="1"/>
  <c r="E9" i="2"/>
  <c r="D9" i="2"/>
  <c r="C9" i="2"/>
  <c r="B9" i="2"/>
  <c r="E8" i="2"/>
  <c r="D8" i="2" s="1"/>
  <c r="B8" i="2" s="1"/>
  <c r="C8" i="2"/>
  <c r="E7" i="2"/>
  <c r="D7" i="2"/>
  <c r="B7" i="2" s="1"/>
  <c r="C7" i="2"/>
  <c r="E6" i="2"/>
  <c r="D6" i="2" s="1"/>
  <c r="B6" i="2" s="1"/>
  <c r="E5" i="2"/>
  <c r="D5" i="2" s="1"/>
  <c r="R36" i="2"/>
  <c r="H14" i="1" s="1"/>
  <c r="Q36" i="2"/>
  <c r="P36" i="2"/>
  <c r="O36" i="2"/>
  <c r="N36" i="2"/>
  <c r="M36" i="2"/>
  <c r="C28" i="2" l="1"/>
  <c r="C26" i="2"/>
  <c r="C23" i="2"/>
  <c r="C19" i="2"/>
  <c r="C22" i="2"/>
  <c r="C20" i="2"/>
  <c r="C15" i="2"/>
  <c r="C14" i="2"/>
  <c r="C12" i="2"/>
  <c r="C11" i="2"/>
  <c r="C10" i="2"/>
  <c r="C5" i="2"/>
  <c r="C6" i="2"/>
  <c r="E36" i="2"/>
  <c r="O191" i="9" l="1"/>
  <c r="M191" i="9"/>
  <c r="K191" i="9"/>
  <c r="I191" i="9"/>
  <c r="G191" i="9"/>
  <c r="O185" i="9"/>
  <c r="M185" i="9"/>
  <c r="K185" i="9"/>
  <c r="I185" i="9"/>
  <c r="G185" i="9"/>
  <c r="O179" i="9"/>
  <c r="M179" i="9"/>
  <c r="K179" i="9"/>
  <c r="I179" i="9"/>
  <c r="G179" i="9"/>
  <c r="O173" i="9"/>
  <c r="M173" i="9"/>
  <c r="K173" i="9"/>
  <c r="I173" i="9"/>
  <c r="G173" i="9"/>
  <c r="O167" i="9"/>
  <c r="M167" i="9"/>
  <c r="K167" i="9"/>
  <c r="I167" i="9"/>
  <c r="G167" i="9"/>
  <c r="O161" i="9"/>
  <c r="M161" i="9"/>
  <c r="K161" i="9"/>
  <c r="I161" i="9"/>
  <c r="G161" i="9"/>
  <c r="O155" i="9"/>
  <c r="M155" i="9"/>
  <c r="K155" i="9"/>
  <c r="I155" i="9"/>
  <c r="G155" i="9"/>
  <c r="O149" i="9"/>
  <c r="M149" i="9"/>
  <c r="K149" i="9"/>
  <c r="I149" i="9"/>
  <c r="G149" i="9"/>
  <c r="O143" i="9"/>
  <c r="M143" i="9"/>
  <c r="K143" i="9"/>
  <c r="I143" i="9"/>
  <c r="G143" i="9"/>
  <c r="O137" i="9"/>
  <c r="M137" i="9"/>
  <c r="K137" i="9"/>
  <c r="I137" i="9"/>
  <c r="G137" i="9"/>
  <c r="O131" i="9"/>
  <c r="M131" i="9"/>
  <c r="K131" i="9"/>
  <c r="I131" i="9"/>
  <c r="G131" i="9"/>
  <c r="O125" i="9"/>
  <c r="M125" i="9"/>
  <c r="K125" i="9"/>
  <c r="I125" i="9"/>
  <c r="G125" i="9"/>
  <c r="O119" i="9"/>
  <c r="M119" i="9"/>
  <c r="K119" i="9"/>
  <c r="I119" i="9"/>
  <c r="G119" i="9"/>
  <c r="O113" i="9"/>
  <c r="M113" i="9"/>
  <c r="K113" i="9"/>
  <c r="I113" i="9"/>
  <c r="G113" i="9"/>
  <c r="O107" i="9"/>
  <c r="M107" i="9"/>
  <c r="K107" i="9"/>
  <c r="I107" i="9"/>
  <c r="G107" i="9"/>
  <c r="O101" i="9"/>
  <c r="M101" i="9"/>
  <c r="K101" i="9"/>
  <c r="I101" i="9"/>
  <c r="G101" i="9"/>
  <c r="O95" i="9"/>
  <c r="M95" i="9"/>
  <c r="K95" i="9"/>
  <c r="I95" i="9"/>
  <c r="G95" i="9"/>
  <c r="O89" i="9"/>
  <c r="M89" i="9"/>
  <c r="K89" i="9"/>
  <c r="I89" i="9"/>
  <c r="G89" i="9"/>
  <c r="O83" i="9"/>
  <c r="M83" i="9"/>
  <c r="K83" i="9"/>
  <c r="I83" i="9"/>
  <c r="G83" i="9"/>
  <c r="O77" i="9"/>
  <c r="M77" i="9"/>
  <c r="K77" i="9"/>
  <c r="I77" i="9"/>
  <c r="G77" i="9"/>
  <c r="O71" i="9"/>
  <c r="M71" i="9"/>
  <c r="K71" i="9"/>
  <c r="I71" i="9"/>
  <c r="G71" i="9"/>
  <c r="O65" i="9"/>
  <c r="M65" i="9"/>
  <c r="K65" i="9"/>
  <c r="I65" i="9"/>
  <c r="G65" i="9"/>
  <c r="O59" i="9"/>
  <c r="M59" i="9"/>
  <c r="K59" i="9"/>
  <c r="I59" i="9"/>
  <c r="G59" i="9"/>
  <c r="O53" i="9"/>
  <c r="M53" i="9"/>
  <c r="K53" i="9"/>
  <c r="I53" i="9"/>
  <c r="G53" i="9"/>
  <c r="O47" i="9"/>
  <c r="M47" i="9"/>
  <c r="K47" i="9"/>
  <c r="I47" i="9"/>
  <c r="G47" i="9"/>
  <c r="O41" i="9"/>
  <c r="M41" i="9"/>
  <c r="K41" i="9"/>
  <c r="I41" i="9"/>
  <c r="G41" i="9"/>
  <c r="O35" i="9"/>
  <c r="M35" i="9"/>
  <c r="K35" i="9"/>
  <c r="I35" i="9"/>
  <c r="G35" i="9"/>
  <c r="O29" i="9"/>
  <c r="M29" i="9"/>
  <c r="K29" i="9"/>
  <c r="I29" i="9"/>
  <c r="G29" i="9"/>
  <c r="C19" i="3"/>
  <c r="C77" i="3" s="1"/>
  <c r="K36" i="2"/>
  <c r="AF6" i="2"/>
  <c r="AG6" i="2"/>
  <c r="AF7" i="2"/>
  <c r="AG7" i="2"/>
  <c r="AF8" i="2"/>
  <c r="AG8" i="2"/>
  <c r="AF9" i="2"/>
  <c r="AG9" i="2"/>
  <c r="AF10" i="2"/>
  <c r="AG10" i="2"/>
  <c r="AF11" i="2"/>
  <c r="AG11" i="2"/>
  <c r="AF12" i="2"/>
  <c r="AG12" i="2"/>
  <c r="AF13" i="2"/>
  <c r="AG13" i="2"/>
  <c r="AF14" i="2"/>
  <c r="AG14" i="2"/>
  <c r="AF15" i="2"/>
  <c r="AG15" i="2"/>
  <c r="AF16" i="2"/>
  <c r="AG16" i="2"/>
  <c r="AF17" i="2"/>
  <c r="AG17" i="2"/>
  <c r="AF18" i="2"/>
  <c r="AG18" i="2"/>
  <c r="AF19" i="2"/>
  <c r="AG19" i="2"/>
  <c r="AF20" i="2"/>
  <c r="AG20" i="2"/>
  <c r="AF21" i="2"/>
  <c r="AG21" i="2"/>
  <c r="AF22" i="2"/>
  <c r="AG22" i="2"/>
  <c r="AF23" i="2"/>
  <c r="AG23" i="2"/>
  <c r="AF24" i="2"/>
  <c r="AG24" i="2"/>
  <c r="AF25" i="2"/>
  <c r="AG25" i="2"/>
  <c r="AF26" i="2"/>
  <c r="AG26" i="2"/>
  <c r="AF27" i="2"/>
  <c r="AG27" i="2"/>
  <c r="AF28" i="2"/>
  <c r="AG28" i="2"/>
  <c r="AF29" i="2"/>
  <c r="AG29" i="2"/>
  <c r="AF30" i="2"/>
  <c r="AG30" i="2"/>
  <c r="AF31" i="2"/>
  <c r="AG31" i="2"/>
  <c r="AF32" i="2"/>
  <c r="AG32" i="2"/>
  <c r="AF33" i="2"/>
  <c r="AG33" i="2"/>
  <c r="AF34" i="2"/>
  <c r="AG34" i="2"/>
  <c r="AF35" i="2"/>
  <c r="AG35" i="2"/>
  <c r="E4" i="23" a="1"/>
  <c r="E4" i="23" s="1"/>
  <c r="D1" i="2"/>
  <c r="Q27" i="30"/>
  <c r="P27" i="15"/>
  <c r="S27" i="15" s="1"/>
  <c r="AA27" i="15" s="1"/>
  <c r="P26" i="15"/>
  <c r="S26" i="15" s="1"/>
  <c r="AA26" i="15" s="1"/>
  <c r="P25" i="15"/>
  <c r="S25" i="15" s="1"/>
  <c r="AA25" i="15" s="1"/>
  <c r="P24" i="15"/>
  <c r="S24" i="15" s="1"/>
  <c r="AA24" i="15" s="1"/>
  <c r="P23" i="15"/>
  <c r="S23" i="15" s="1"/>
  <c r="AA23" i="15" s="1"/>
  <c r="P22" i="15"/>
  <c r="S22" i="15" s="1"/>
  <c r="AA22" i="15" s="1"/>
  <c r="P21" i="15"/>
  <c r="S21" i="15" s="1"/>
  <c r="AA21" i="15" s="1"/>
  <c r="P20" i="15"/>
  <c r="S20" i="15" s="1"/>
  <c r="AA20" i="15" s="1"/>
  <c r="P19" i="15"/>
  <c r="S19" i="15" s="1"/>
  <c r="AA19" i="15" s="1"/>
  <c r="P18" i="15"/>
  <c r="S18" i="15" s="1"/>
  <c r="AA18" i="15" s="1"/>
  <c r="CP21" i="30"/>
  <c r="CP20" i="30"/>
  <c r="CP19" i="30"/>
  <c r="CP18" i="30"/>
  <c r="CP17" i="30"/>
  <c r="P14" i="15"/>
  <c r="X14" i="15" s="1"/>
  <c r="P13" i="15"/>
  <c r="S13" i="15" s="1"/>
  <c r="P12" i="15"/>
  <c r="U12" i="15" s="1"/>
  <c r="P11" i="15"/>
  <c r="S11" i="15" s="1"/>
  <c r="P10" i="15"/>
  <c r="W10" i="15" s="1"/>
  <c r="P9" i="15"/>
  <c r="S9" i="15" s="1"/>
  <c r="P8" i="15"/>
  <c r="S8" i="15" s="1"/>
  <c r="P7" i="15"/>
  <c r="S7" i="15" s="1"/>
  <c r="P6" i="15"/>
  <c r="S6" i="15" s="1"/>
  <c r="P5" i="15"/>
  <c r="X5" i="15" s="1"/>
  <c r="AW25" i="3"/>
  <c r="AV25" i="3"/>
  <c r="AU25" i="3"/>
  <c r="AW24" i="3"/>
  <c r="AV24" i="3"/>
  <c r="AU24" i="3"/>
  <c r="AW23" i="3"/>
  <c r="AV23" i="3"/>
  <c r="AU23" i="3"/>
  <c r="AW22" i="3"/>
  <c r="AV22" i="3"/>
  <c r="AU22" i="3"/>
  <c r="AW21" i="3"/>
  <c r="AV21" i="3"/>
  <c r="AU21" i="3"/>
  <c r="AW20" i="3"/>
  <c r="AV20" i="3"/>
  <c r="AU20" i="3"/>
  <c r="AW19" i="3"/>
  <c r="AV19" i="3"/>
  <c r="AU19" i="3"/>
  <c r="AW18" i="3"/>
  <c r="AV18" i="3"/>
  <c r="AU18" i="3"/>
  <c r="AW17" i="3"/>
  <c r="AV17" i="3"/>
  <c r="AU17" i="3"/>
  <c r="AV16" i="3"/>
  <c r="AW16" i="3"/>
  <c r="AU16" i="3"/>
  <c r="AS25" i="3"/>
  <c r="AR25" i="3"/>
  <c r="AQ25" i="3"/>
  <c r="AP25" i="3"/>
  <c r="AO25" i="3"/>
  <c r="AN25" i="3"/>
  <c r="AM25" i="3"/>
  <c r="AL25" i="3"/>
  <c r="AS24" i="3"/>
  <c r="AR24" i="3"/>
  <c r="AQ24" i="3"/>
  <c r="AP24" i="3"/>
  <c r="AO24" i="3"/>
  <c r="AN24" i="3"/>
  <c r="AM24" i="3"/>
  <c r="AL24" i="3"/>
  <c r="AS23" i="3"/>
  <c r="AR23" i="3"/>
  <c r="AQ23" i="3"/>
  <c r="AP23" i="3"/>
  <c r="AO23" i="3"/>
  <c r="AN23" i="3"/>
  <c r="AM23" i="3"/>
  <c r="AL23" i="3"/>
  <c r="AS22" i="3"/>
  <c r="AR22" i="3"/>
  <c r="AQ22" i="3"/>
  <c r="AP22" i="3"/>
  <c r="AO22" i="3"/>
  <c r="AN22" i="3"/>
  <c r="AM22" i="3"/>
  <c r="AL22" i="3"/>
  <c r="AS21" i="3"/>
  <c r="AR21" i="3"/>
  <c r="AQ21" i="3"/>
  <c r="AP21" i="3"/>
  <c r="AO21" i="3"/>
  <c r="AN21" i="3"/>
  <c r="AM21" i="3"/>
  <c r="AL21" i="3"/>
  <c r="AS20" i="3"/>
  <c r="AR20" i="3"/>
  <c r="AQ20" i="3"/>
  <c r="AP20" i="3"/>
  <c r="AO20" i="3"/>
  <c r="AN20" i="3"/>
  <c r="AM20" i="3"/>
  <c r="AL20" i="3"/>
  <c r="AS19" i="3"/>
  <c r="AR19" i="3"/>
  <c r="AQ19" i="3"/>
  <c r="AP19" i="3"/>
  <c r="AO19" i="3"/>
  <c r="AN19" i="3"/>
  <c r="AM19" i="3"/>
  <c r="AL19" i="3"/>
  <c r="AS18" i="3"/>
  <c r="AR18" i="3"/>
  <c r="AQ18" i="3"/>
  <c r="AP18" i="3"/>
  <c r="AO18" i="3"/>
  <c r="AN18" i="3"/>
  <c r="AM18" i="3"/>
  <c r="AL18" i="3"/>
  <c r="AS17" i="3"/>
  <c r="AR17" i="3"/>
  <c r="AQ17" i="3"/>
  <c r="AP17" i="3"/>
  <c r="AO17" i="3"/>
  <c r="AN17" i="3"/>
  <c r="AM17" i="3"/>
  <c r="AL17" i="3"/>
  <c r="AS16" i="3"/>
  <c r="AR16" i="3"/>
  <c r="AQ16" i="3"/>
  <c r="AP16" i="3"/>
  <c r="AO16" i="3"/>
  <c r="AN16" i="3"/>
  <c r="AM16" i="3"/>
  <c r="AL16" i="3"/>
  <c r="AW15" i="3"/>
  <c r="AV15" i="3"/>
  <c r="AU15" i="3"/>
  <c r="AS15" i="3"/>
  <c r="AR15" i="3"/>
  <c r="AQ15" i="3"/>
  <c r="AP15" i="3"/>
  <c r="AO15" i="3"/>
  <c r="AN15" i="3"/>
  <c r="AM15" i="3"/>
  <c r="AL15" i="3"/>
  <c r="F25" i="3"/>
  <c r="F83" i="3" s="1"/>
  <c r="E25" i="3"/>
  <c r="E83" i="3" s="1"/>
  <c r="D25" i="3"/>
  <c r="G26" i="30" s="1"/>
  <c r="C25" i="3"/>
  <c r="C83" i="3" s="1"/>
  <c r="B25" i="3"/>
  <c r="B83" i="3" s="1"/>
  <c r="F24" i="3"/>
  <c r="F82" i="3" s="1"/>
  <c r="E24" i="3"/>
  <c r="E82" i="3" s="1"/>
  <c r="D24" i="3"/>
  <c r="G25" i="30" s="1"/>
  <c r="C24" i="3"/>
  <c r="F25" i="30" s="1"/>
  <c r="B24" i="3"/>
  <c r="B82" i="3" s="1"/>
  <c r="F23" i="3"/>
  <c r="F81" i="3" s="1"/>
  <c r="E23" i="3"/>
  <c r="E81" i="3" s="1"/>
  <c r="D23" i="3"/>
  <c r="G24" i="30" s="1"/>
  <c r="C23" i="3"/>
  <c r="C81" i="3" s="1"/>
  <c r="B23" i="3"/>
  <c r="B81" i="3" s="1"/>
  <c r="F22" i="3"/>
  <c r="F80" i="3" s="1"/>
  <c r="E22" i="3"/>
  <c r="E80" i="3" s="1"/>
  <c r="D22" i="3"/>
  <c r="G23" i="30" s="1"/>
  <c r="C22" i="3"/>
  <c r="F23" i="30" s="1"/>
  <c r="B22" i="3"/>
  <c r="F21" i="3"/>
  <c r="F79" i="3" s="1"/>
  <c r="E21" i="3"/>
  <c r="E79" i="3" s="1"/>
  <c r="D21" i="3"/>
  <c r="D79" i="3" s="1"/>
  <c r="C21" i="3"/>
  <c r="C79" i="3" s="1"/>
  <c r="B21" i="3"/>
  <c r="F20" i="3"/>
  <c r="F78" i="3" s="1"/>
  <c r="E20" i="3"/>
  <c r="E78" i="3" s="1"/>
  <c r="D20" i="3"/>
  <c r="G21" i="30" s="1"/>
  <c r="C20" i="3"/>
  <c r="F21" i="30" s="1"/>
  <c r="B20" i="3"/>
  <c r="B78" i="3" s="1"/>
  <c r="F19" i="3"/>
  <c r="F77" i="3" s="1"/>
  <c r="E19" i="3"/>
  <c r="E77" i="3" s="1"/>
  <c r="D19" i="3"/>
  <c r="D77" i="3" s="1"/>
  <c r="B19" i="3"/>
  <c r="B77" i="3" s="1"/>
  <c r="F18" i="3"/>
  <c r="F76" i="3" s="1"/>
  <c r="E18" i="3"/>
  <c r="E76" i="3" s="1"/>
  <c r="D18" i="3"/>
  <c r="D76" i="3" s="1"/>
  <c r="C18" i="3"/>
  <c r="F19" i="30" s="1"/>
  <c r="B18" i="3"/>
  <c r="B76" i="3" s="1"/>
  <c r="F17" i="3"/>
  <c r="F75" i="3" s="1"/>
  <c r="E17" i="3"/>
  <c r="E75" i="3" s="1"/>
  <c r="D17" i="3"/>
  <c r="D75" i="3" s="1"/>
  <c r="C17" i="3"/>
  <c r="F18" i="30" s="1"/>
  <c r="B17" i="3"/>
  <c r="B75" i="3" s="1"/>
  <c r="F16" i="3"/>
  <c r="F74" i="3" s="1"/>
  <c r="E16" i="3"/>
  <c r="E74" i="3" s="1"/>
  <c r="D16" i="3"/>
  <c r="G17" i="30" s="1"/>
  <c r="C16" i="3"/>
  <c r="F17" i="30" s="1"/>
  <c r="B16" i="3"/>
  <c r="B74" i="3" s="1"/>
  <c r="F15" i="3"/>
  <c r="F73" i="3" s="1"/>
  <c r="E15" i="3"/>
  <c r="E73" i="3" s="1"/>
  <c r="D15" i="3"/>
  <c r="G16" i="30" s="1"/>
  <c r="C15" i="3"/>
  <c r="C73" i="3" s="1"/>
  <c r="B15" i="3"/>
  <c r="B73" i="3" s="1"/>
  <c r="CP26" i="30"/>
  <c r="CP25" i="30"/>
  <c r="CP24" i="30"/>
  <c r="CP23" i="30"/>
  <c r="CP22" i="30"/>
  <c r="CP16" i="30"/>
  <c r="CP15" i="30"/>
  <c r="CP14" i="30"/>
  <c r="CP13" i="30"/>
  <c r="CP12" i="30"/>
  <c r="CP11" i="30"/>
  <c r="CP10" i="30"/>
  <c r="CP9" i="30"/>
  <c r="CP8" i="30"/>
  <c r="CP7" i="30"/>
  <c r="P222" i="6"/>
  <c r="N222" i="6"/>
  <c r="L222" i="6"/>
  <c r="J222" i="6"/>
  <c r="H222" i="6"/>
  <c r="P215" i="6"/>
  <c r="N215" i="6"/>
  <c r="L215" i="6"/>
  <c r="J215" i="6"/>
  <c r="H215" i="6"/>
  <c r="P208" i="6"/>
  <c r="N208" i="6"/>
  <c r="L208" i="6"/>
  <c r="J208" i="6"/>
  <c r="H208" i="6"/>
  <c r="P201" i="6"/>
  <c r="N201" i="6"/>
  <c r="L201" i="6"/>
  <c r="J201" i="6"/>
  <c r="H201" i="6"/>
  <c r="P194" i="6"/>
  <c r="N194" i="6"/>
  <c r="L194" i="6"/>
  <c r="J194" i="6"/>
  <c r="H194" i="6"/>
  <c r="P187" i="6"/>
  <c r="N187" i="6"/>
  <c r="L187" i="6"/>
  <c r="J187" i="6"/>
  <c r="H187" i="6"/>
  <c r="P180" i="6"/>
  <c r="N180" i="6"/>
  <c r="L180" i="6"/>
  <c r="J180" i="6"/>
  <c r="H180" i="6"/>
  <c r="P173" i="6"/>
  <c r="N173" i="6"/>
  <c r="L173" i="6"/>
  <c r="J173" i="6"/>
  <c r="H173" i="6"/>
  <c r="P166" i="6"/>
  <c r="N166" i="6"/>
  <c r="L166" i="6"/>
  <c r="J166" i="6"/>
  <c r="H166" i="6"/>
  <c r="O23" i="9"/>
  <c r="M23" i="9"/>
  <c r="K23" i="9"/>
  <c r="I23" i="9"/>
  <c r="G23" i="9"/>
  <c r="O17" i="9"/>
  <c r="M17" i="9"/>
  <c r="K17" i="9"/>
  <c r="I17" i="9"/>
  <c r="G17" i="9"/>
  <c r="O11" i="9"/>
  <c r="M11" i="9"/>
  <c r="K11" i="9"/>
  <c r="I11" i="9"/>
  <c r="U10" i="15" l="1"/>
  <c r="V10" i="15" s="1"/>
  <c r="AY21" i="3"/>
  <c r="C78" i="3"/>
  <c r="X10" i="15"/>
  <c r="AY20" i="3"/>
  <c r="AY16" i="3"/>
  <c r="AY23" i="3"/>
  <c r="AY22" i="3"/>
  <c r="AY24" i="3"/>
  <c r="AY17" i="3"/>
  <c r="AY25" i="3"/>
  <c r="AY18" i="3"/>
  <c r="AY19" i="3"/>
  <c r="Y10" i="15"/>
  <c r="W12" i="15"/>
  <c r="U13" i="15"/>
  <c r="V13" i="15" s="1"/>
  <c r="U14" i="15"/>
  <c r="V14" i="15" s="1"/>
  <c r="W14" i="15"/>
  <c r="W13" i="15"/>
  <c r="X13" i="15"/>
  <c r="X12" i="15"/>
  <c r="X11" i="15"/>
  <c r="U11" i="15"/>
  <c r="V11" i="15" s="1"/>
  <c r="W11" i="15"/>
  <c r="U9" i="15"/>
  <c r="W9" i="15"/>
  <c r="X9" i="15"/>
  <c r="U8" i="15"/>
  <c r="V8" i="15" s="1"/>
  <c r="W8" i="15"/>
  <c r="X8" i="15"/>
  <c r="U7" i="15"/>
  <c r="V7" i="15" s="1"/>
  <c r="W7" i="15"/>
  <c r="X7" i="15"/>
  <c r="U6" i="15"/>
  <c r="V6" i="15" s="1"/>
  <c r="W6" i="15"/>
  <c r="X6" i="15"/>
  <c r="V12" i="15"/>
  <c r="F16" i="30"/>
  <c r="C76" i="3"/>
  <c r="F20" i="30"/>
  <c r="F24" i="30"/>
  <c r="C74" i="3"/>
  <c r="G19" i="30"/>
  <c r="D81" i="3"/>
  <c r="D83" i="3"/>
  <c r="E16" i="30"/>
  <c r="E20" i="30"/>
  <c r="E24" i="30"/>
  <c r="G18" i="30"/>
  <c r="D74" i="3"/>
  <c r="D78" i="3"/>
  <c r="B80" i="3"/>
  <c r="E17" i="30"/>
  <c r="E21" i="30"/>
  <c r="E25" i="30"/>
  <c r="G20" i="30"/>
  <c r="C80" i="3"/>
  <c r="C82" i="3"/>
  <c r="D80" i="3"/>
  <c r="D82" i="3"/>
  <c r="E18" i="30"/>
  <c r="E22" i="30"/>
  <c r="E26" i="30"/>
  <c r="G22" i="30"/>
  <c r="U5" i="15"/>
  <c r="V5" i="15" s="1"/>
  <c r="C75" i="3"/>
  <c r="B79" i="3"/>
  <c r="F22" i="30"/>
  <c r="F26" i="30"/>
  <c r="D73" i="3"/>
  <c r="E19" i="30"/>
  <c r="E23" i="30"/>
  <c r="W5" i="15"/>
  <c r="S12" i="15"/>
  <c r="S14" i="15"/>
  <c r="S10" i="15"/>
  <c r="S5" i="15"/>
  <c r="Y11" i="15" l="1"/>
  <c r="Y13" i="15"/>
  <c r="Y14" i="15"/>
  <c r="AA14" i="15" s="1"/>
  <c r="AY15" i="3" s="1"/>
  <c r="Y7" i="15"/>
  <c r="AA7" i="15" s="1"/>
  <c r="Y6" i="15"/>
  <c r="AA6" i="15" s="1"/>
  <c r="Y12" i="15"/>
  <c r="AA12" i="15" s="1"/>
  <c r="Y8" i="15"/>
  <c r="AA8" i="15" s="1"/>
  <c r="V9" i="15"/>
  <c r="Y9" i="15" s="1"/>
  <c r="AA9" i="15" s="1"/>
  <c r="AA10" i="15"/>
  <c r="AA13" i="15"/>
  <c r="Y5" i="15"/>
  <c r="AA5" i="15" s="1"/>
  <c r="AA11" i="15"/>
  <c r="BR37" i="26" l="1"/>
  <c r="BO37" i="26"/>
  <c r="BL37" i="26"/>
  <c r="BI37" i="26"/>
  <c r="BF37" i="26"/>
  <c r="BC37" i="26"/>
  <c r="AZ37" i="26"/>
  <c r="AW37" i="26"/>
  <c r="AT37" i="26"/>
  <c r="AQ37" i="26"/>
  <c r="AN37" i="26"/>
  <c r="AK37" i="26"/>
  <c r="AH37" i="26"/>
  <c r="AE37" i="26"/>
  <c r="AB37" i="26"/>
  <c r="Y37" i="26"/>
  <c r="V37" i="26"/>
  <c r="S37" i="26"/>
  <c r="P37" i="26"/>
  <c r="M37" i="26"/>
  <c r="J37" i="26"/>
  <c r="G37" i="26"/>
  <c r="D37" i="26"/>
  <c r="BR36" i="26"/>
  <c r="BO36" i="26"/>
  <c r="BL36" i="26"/>
  <c r="BI36" i="26"/>
  <c r="BF36" i="26"/>
  <c r="BC36" i="26"/>
  <c r="AZ36" i="26"/>
  <c r="AW36" i="26"/>
  <c r="AT36" i="26"/>
  <c r="AQ36" i="26"/>
  <c r="AN36" i="26"/>
  <c r="AK36" i="26"/>
  <c r="AH36" i="26"/>
  <c r="AE36" i="26"/>
  <c r="AB36" i="26"/>
  <c r="Y36" i="26"/>
  <c r="V36" i="26"/>
  <c r="S36" i="26"/>
  <c r="P36" i="26"/>
  <c r="M36" i="26"/>
  <c r="J36" i="26"/>
  <c r="G36" i="26"/>
  <c r="D36" i="26"/>
  <c r="BR35" i="26"/>
  <c r="BO35" i="26"/>
  <c r="BL35" i="26"/>
  <c r="BI35" i="26"/>
  <c r="BF35" i="26"/>
  <c r="BC35" i="26"/>
  <c r="AZ35" i="26"/>
  <c r="AW35" i="26"/>
  <c r="AT35" i="26"/>
  <c r="AQ35" i="26"/>
  <c r="AN35" i="26"/>
  <c r="AK35" i="26"/>
  <c r="AH35" i="26"/>
  <c r="AE35" i="26"/>
  <c r="AB35" i="26"/>
  <c r="Y35" i="26"/>
  <c r="V35" i="26"/>
  <c r="S35" i="26"/>
  <c r="P35" i="26"/>
  <c r="M35" i="26"/>
  <c r="J35" i="26"/>
  <c r="G35" i="26"/>
  <c r="D35" i="26"/>
  <c r="BR34" i="26"/>
  <c r="BO34" i="26"/>
  <c r="BL34" i="26"/>
  <c r="BI34" i="26"/>
  <c r="BF34" i="26"/>
  <c r="BC34" i="26"/>
  <c r="AZ34" i="26"/>
  <c r="AW34" i="26"/>
  <c r="AT34" i="26"/>
  <c r="AQ34" i="26"/>
  <c r="AN34" i="26"/>
  <c r="AK34" i="26"/>
  <c r="AH34" i="26"/>
  <c r="AE34" i="26"/>
  <c r="AB34" i="26"/>
  <c r="Y34" i="26"/>
  <c r="V34" i="26"/>
  <c r="S34" i="26"/>
  <c r="P34" i="26"/>
  <c r="M34" i="26"/>
  <c r="J34" i="26"/>
  <c r="G34" i="26"/>
  <c r="D34" i="26"/>
  <c r="BR33" i="26"/>
  <c r="BO33" i="26"/>
  <c r="BL33" i="26"/>
  <c r="BI33" i="26"/>
  <c r="BF33" i="26"/>
  <c r="BC33" i="26"/>
  <c r="AZ33" i="26"/>
  <c r="AW33" i="26"/>
  <c r="AT33" i="26"/>
  <c r="AQ33" i="26"/>
  <c r="AN33" i="26"/>
  <c r="AK33" i="26"/>
  <c r="AH33" i="26"/>
  <c r="AE33" i="26"/>
  <c r="AB33" i="26"/>
  <c r="Y33" i="26"/>
  <c r="V33" i="26"/>
  <c r="S33" i="26"/>
  <c r="P33" i="26"/>
  <c r="M33" i="26"/>
  <c r="J33" i="26"/>
  <c r="G33" i="26"/>
  <c r="D33" i="26"/>
  <c r="BR32" i="26"/>
  <c r="BO32" i="26"/>
  <c r="BL32" i="26"/>
  <c r="BI32" i="26"/>
  <c r="BF32" i="26"/>
  <c r="BC32" i="26"/>
  <c r="AZ32" i="26"/>
  <c r="AW32" i="26"/>
  <c r="AT32" i="26"/>
  <c r="AQ32" i="26"/>
  <c r="AN32" i="26"/>
  <c r="AK32" i="26"/>
  <c r="AH32" i="26"/>
  <c r="AE32" i="26"/>
  <c r="AB32" i="26"/>
  <c r="Y32" i="26"/>
  <c r="V32" i="26"/>
  <c r="S32" i="26"/>
  <c r="P32" i="26"/>
  <c r="M32" i="26"/>
  <c r="J32" i="26"/>
  <c r="G32" i="26"/>
  <c r="D32" i="26"/>
  <c r="BR31" i="26"/>
  <c r="BO31" i="26"/>
  <c r="BL31" i="26"/>
  <c r="BI31" i="26"/>
  <c r="BF31" i="26"/>
  <c r="BC31" i="26"/>
  <c r="AZ31" i="26"/>
  <c r="AW31" i="26"/>
  <c r="AT31" i="26"/>
  <c r="AQ31" i="26"/>
  <c r="AN31" i="26"/>
  <c r="AK31" i="26"/>
  <c r="AH31" i="26"/>
  <c r="AE31" i="26"/>
  <c r="AB31" i="26"/>
  <c r="Y31" i="26"/>
  <c r="V31" i="26"/>
  <c r="S31" i="26"/>
  <c r="P31" i="26"/>
  <c r="M31" i="26"/>
  <c r="J31" i="26"/>
  <c r="G31" i="26"/>
  <c r="D31" i="26"/>
  <c r="BR30" i="26"/>
  <c r="BO30" i="26"/>
  <c r="BL30" i="26"/>
  <c r="BI30" i="26"/>
  <c r="BF30" i="26"/>
  <c r="BC30" i="26"/>
  <c r="AZ30" i="26"/>
  <c r="AW30" i="26"/>
  <c r="AT30" i="26"/>
  <c r="AQ30" i="26"/>
  <c r="AN30" i="26"/>
  <c r="AK30" i="26"/>
  <c r="AH30" i="26"/>
  <c r="AE30" i="26"/>
  <c r="AB30" i="26"/>
  <c r="Y30" i="26"/>
  <c r="V30" i="26"/>
  <c r="S30" i="26"/>
  <c r="P30" i="26"/>
  <c r="M30" i="26"/>
  <c r="J30" i="26"/>
  <c r="G30" i="26"/>
  <c r="D30" i="26"/>
  <c r="BR29" i="26"/>
  <c r="BO29" i="26"/>
  <c r="BL29" i="26"/>
  <c r="BI29" i="26"/>
  <c r="BF29" i="26"/>
  <c r="BC29" i="26"/>
  <c r="AZ29" i="26"/>
  <c r="AW29" i="26"/>
  <c r="AT29" i="26"/>
  <c r="AQ29" i="26"/>
  <c r="AN29" i="26"/>
  <c r="AK29" i="26"/>
  <c r="AH29" i="26"/>
  <c r="AE29" i="26"/>
  <c r="AB29" i="26"/>
  <c r="Y29" i="26"/>
  <c r="V29" i="26"/>
  <c r="S29" i="26"/>
  <c r="P29" i="26"/>
  <c r="M29" i="26"/>
  <c r="J29" i="26"/>
  <c r="G29" i="26"/>
  <c r="D29" i="26"/>
  <c r="BR28" i="26"/>
  <c r="BO28" i="26"/>
  <c r="BL28" i="26"/>
  <c r="BI28" i="26"/>
  <c r="BF28" i="26"/>
  <c r="BC28" i="26"/>
  <c r="AZ28" i="26"/>
  <c r="AW28" i="26"/>
  <c r="AT28" i="26"/>
  <c r="AQ28" i="26"/>
  <c r="AN28" i="26"/>
  <c r="AK28" i="26"/>
  <c r="AH28" i="26"/>
  <c r="AE28" i="26"/>
  <c r="AB28" i="26"/>
  <c r="Y28" i="26"/>
  <c r="V28" i="26"/>
  <c r="S28" i="26"/>
  <c r="P28" i="26"/>
  <c r="M28" i="26"/>
  <c r="J28" i="26"/>
  <c r="G28" i="26"/>
  <c r="D28" i="26"/>
  <c r="BR27" i="26"/>
  <c r="BO27" i="26"/>
  <c r="BL27" i="26"/>
  <c r="BI27" i="26"/>
  <c r="BF27" i="26"/>
  <c r="BC27" i="26"/>
  <c r="AZ27" i="26"/>
  <c r="AW27" i="26"/>
  <c r="AT27" i="26"/>
  <c r="AQ27" i="26"/>
  <c r="AN27" i="26"/>
  <c r="AK27" i="26"/>
  <c r="AH27" i="26"/>
  <c r="AE27" i="26"/>
  <c r="AB27" i="26"/>
  <c r="Y27" i="26"/>
  <c r="V27" i="26"/>
  <c r="S27" i="26"/>
  <c r="P27" i="26"/>
  <c r="M27" i="26"/>
  <c r="J27" i="26"/>
  <c r="G27" i="26"/>
  <c r="D27" i="26"/>
  <c r="BR26" i="26"/>
  <c r="BO26" i="26"/>
  <c r="BL26" i="26"/>
  <c r="BI26" i="26"/>
  <c r="BF26" i="26"/>
  <c r="BC26" i="26"/>
  <c r="AZ26" i="26"/>
  <c r="AW26" i="26"/>
  <c r="AT26" i="26"/>
  <c r="AQ26" i="26"/>
  <c r="AN26" i="26"/>
  <c r="AK26" i="26"/>
  <c r="AH26" i="26"/>
  <c r="AE26" i="26"/>
  <c r="AB26" i="26"/>
  <c r="Y26" i="26"/>
  <c r="V26" i="26"/>
  <c r="S26" i="26"/>
  <c r="P26" i="26"/>
  <c r="M26" i="26"/>
  <c r="J26" i="26"/>
  <c r="G26" i="26"/>
  <c r="D26" i="26"/>
  <c r="BR25" i="26"/>
  <c r="BO25" i="26"/>
  <c r="BL25" i="26"/>
  <c r="BI25" i="26"/>
  <c r="BF25" i="26"/>
  <c r="BC25" i="26"/>
  <c r="AZ25" i="26"/>
  <c r="AW25" i="26"/>
  <c r="AT25" i="26"/>
  <c r="AQ25" i="26"/>
  <c r="AN25" i="26"/>
  <c r="AK25" i="26"/>
  <c r="AH25" i="26"/>
  <c r="AE25" i="26"/>
  <c r="AB25" i="26"/>
  <c r="Y25" i="26"/>
  <c r="V25" i="26"/>
  <c r="S25" i="26"/>
  <c r="P25" i="26"/>
  <c r="M25" i="26"/>
  <c r="J25" i="26"/>
  <c r="G25" i="26"/>
  <c r="D25" i="26"/>
  <c r="BR24" i="26"/>
  <c r="BO24" i="26"/>
  <c r="BL24" i="26"/>
  <c r="BI24" i="26"/>
  <c r="BF24" i="26"/>
  <c r="BC24" i="26"/>
  <c r="AZ24" i="26"/>
  <c r="AW24" i="26"/>
  <c r="AT24" i="26"/>
  <c r="AQ24" i="26"/>
  <c r="AN24" i="26"/>
  <c r="AK24" i="26"/>
  <c r="AH24" i="26"/>
  <c r="AE24" i="26"/>
  <c r="AB24" i="26"/>
  <c r="Y24" i="26"/>
  <c r="V24" i="26"/>
  <c r="S24" i="26"/>
  <c r="P24" i="26"/>
  <c r="M24" i="26"/>
  <c r="J24" i="26"/>
  <c r="G24" i="26"/>
  <c r="D24" i="26"/>
  <c r="BR23" i="26"/>
  <c r="BO23" i="26"/>
  <c r="BL23" i="26"/>
  <c r="BI23" i="26"/>
  <c r="BF23" i="26"/>
  <c r="BC23" i="26"/>
  <c r="AZ23" i="26"/>
  <c r="AW23" i="26"/>
  <c r="AT23" i="26"/>
  <c r="AQ23" i="26"/>
  <c r="AN23" i="26"/>
  <c r="AK23" i="26"/>
  <c r="AH23" i="26"/>
  <c r="AE23" i="26"/>
  <c r="AB23" i="26"/>
  <c r="Y23" i="26"/>
  <c r="V23" i="26"/>
  <c r="S23" i="26"/>
  <c r="P23" i="26"/>
  <c r="M23" i="26"/>
  <c r="J23" i="26"/>
  <c r="G23" i="26"/>
  <c r="D23" i="26"/>
  <c r="BR22" i="26"/>
  <c r="BO22" i="26"/>
  <c r="BL22" i="26"/>
  <c r="BI22" i="26"/>
  <c r="BF22" i="26"/>
  <c r="BC22" i="26"/>
  <c r="AZ22" i="26"/>
  <c r="AW22" i="26"/>
  <c r="AT22" i="26"/>
  <c r="AQ22" i="26"/>
  <c r="AN22" i="26"/>
  <c r="AK22" i="26"/>
  <c r="AH22" i="26"/>
  <c r="AE22" i="26"/>
  <c r="AB22" i="26"/>
  <c r="Y22" i="26"/>
  <c r="V22" i="26"/>
  <c r="S22" i="26"/>
  <c r="P22" i="26"/>
  <c r="M22" i="26"/>
  <c r="J22" i="26"/>
  <c r="G22" i="26"/>
  <c r="D22" i="26"/>
  <c r="BR21" i="26"/>
  <c r="BO21" i="26"/>
  <c r="BL21" i="26"/>
  <c r="BI21" i="26"/>
  <c r="BF21" i="26"/>
  <c r="BC21" i="26"/>
  <c r="AZ21" i="26"/>
  <c r="AW21" i="26"/>
  <c r="AT21" i="26"/>
  <c r="AQ21" i="26"/>
  <c r="AN21" i="26"/>
  <c r="AK21" i="26"/>
  <c r="AH21" i="26"/>
  <c r="AE21" i="26"/>
  <c r="AB21" i="26"/>
  <c r="Y21" i="26"/>
  <c r="V21" i="26"/>
  <c r="S21" i="26"/>
  <c r="P21" i="26"/>
  <c r="M21" i="26"/>
  <c r="J21" i="26"/>
  <c r="G21" i="26"/>
  <c r="D21" i="26"/>
  <c r="BR20" i="26"/>
  <c r="BO20" i="26"/>
  <c r="BL20" i="26"/>
  <c r="BI20" i="26"/>
  <c r="BF20" i="26"/>
  <c r="BC20" i="26"/>
  <c r="AZ20" i="26"/>
  <c r="AW20" i="26"/>
  <c r="AT20" i="26"/>
  <c r="AQ20" i="26"/>
  <c r="AN20" i="26"/>
  <c r="AK20" i="26"/>
  <c r="AH20" i="26"/>
  <c r="AE20" i="26"/>
  <c r="AB20" i="26"/>
  <c r="Y20" i="26"/>
  <c r="V20" i="26"/>
  <c r="S20" i="26"/>
  <c r="P20" i="26"/>
  <c r="M20" i="26"/>
  <c r="J20" i="26"/>
  <c r="G20" i="26"/>
  <c r="D20" i="26"/>
  <c r="BR19" i="26"/>
  <c r="BO19" i="26"/>
  <c r="BL19" i="26"/>
  <c r="BI19" i="26"/>
  <c r="BF19" i="26"/>
  <c r="BC19" i="26"/>
  <c r="AZ19" i="26"/>
  <c r="AW19" i="26"/>
  <c r="AT19" i="26"/>
  <c r="AQ19" i="26"/>
  <c r="AN19" i="26"/>
  <c r="AK19" i="26"/>
  <c r="AH19" i="26"/>
  <c r="AE19" i="26"/>
  <c r="AB19" i="26"/>
  <c r="Y19" i="26"/>
  <c r="V19" i="26"/>
  <c r="S19" i="26"/>
  <c r="P19" i="26"/>
  <c r="M19" i="26"/>
  <c r="J19" i="26"/>
  <c r="G19" i="26"/>
  <c r="D19" i="26"/>
  <c r="BR18" i="26"/>
  <c r="BO18" i="26"/>
  <c r="BL18" i="26"/>
  <c r="BI18" i="26"/>
  <c r="BF18" i="26"/>
  <c r="BC18" i="26"/>
  <c r="AZ18" i="26"/>
  <c r="AW18" i="26"/>
  <c r="AT18" i="26"/>
  <c r="AQ18" i="26"/>
  <c r="AN18" i="26"/>
  <c r="AK18" i="26"/>
  <c r="AH18" i="26"/>
  <c r="AE18" i="26"/>
  <c r="AB18" i="26"/>
  <c r="Y18" i="26"/>
  <c r="V18" i="26"/>
  <c r="S18" i="26"/>
  <c r="P18" i="26"/>
  <c r="M18" i="26"/>
  <c r="J18" i="26"/>
  <c r="G18" i="26"/>
  <c r="D18" i="26"/>
  <c r="BR17" i="26"/>
  <c r="BO17" i="26"/>
  <c r="BL17" i="26"/>
  <c r="BI17" i="26"/>
  <c r="BF17" i="26"/>
  <c r="BC17" i="26"/>
  <c r="AZ17" i="26"/>
  <c r="AW17" i="26"/>
  <c r="AT17" i="26"/>
  <c r="AQ17" i="26"/>
  <c r="AN17" i="26"/>
  <c r="AK17" i="26"/>
  <c r="AH17" i="26"/>
  <c r="AE17" i="26"/>
  <c r="AB17" i="26"/>
  <c r="Y17" i="26"/>
  <c r="V17" i="26"/>
  <c r="S17" i="26"/>
  <c r="P17" i="26"/>
  <c r="M17" i="26"/>
  <c r="J17" i="26"/>
  <c r="G17" i="26"/>
  <c r="D17" i="26"/>
  <c r="BR16" i="26"/>
  <c r="BO16" i="26"/>
  <c r="BL16" i="26"/>
  <c r="BI16" i="26"/>
  <c r="BF16" i="26"/>
  <c r="BC16" i="26"/>
  <c r="AZ16" i="26"/>
  <c r="AW16" i="26"/>
  <c r="AT16" i="26"/>
  <c r="AQ16" i="26"/>
  <c r="AN16" i="26"/>
  <c r="AK16" i="26"/>
  <c r="AH16" i="26"/>
  <c r="AE16" i="26"/>
  <c r="AB16" i="26"/>
  <c r="Y16" i="26"/>
  <c r="V16" i="26"/>
  <c r="S16" i="26"/>
  <c r="P16" i="26"/>
  <c r="M16" i="26"/>
  <c r="J16" i="26"/>
  <c r="G16" i="26"/>
  <c r="D16" i="26"/>
  <c r="BR15" i="26"/>
  <c r="BO15" i="26"/>
  <c r="BL15" i="26"/>
  <c r="BI15" i="26"/>
  <c r="BF15" i="26"/>
  <c r="BC15" i="26"/>
  <c r="AZ15" i="26"/>
  <c r="AW15" i="26"/>
  <c r="AT15" i="26"/>
  <c r="AQ15" i="26"/>
  <c r="AN15" i="26"/>
  <c r="AK15" i="26"/>
  <c r="AH15" i="26"/>
  <c r="AE15" i="26"/>
  <c r="AB15" i="26"/>
  <c r="Y15" i="26"/>
  <c r="V15" i="26"/>
  <c r="S15" i="26"/>
  <c r="P15" i="26"/>
  <c r="M15" i="26"/>
  <c r="J15" i="26"/>
  <c r="G15" i="26"/>
  <c r="D15" i="26"/>
  <c r="BR14" i="26"/>
  <c r="BO14" i="26"/>
  <c r="BL14" i="26"/>
  <c r="BI14" i="26"/>
  <c r="BF14" i="26"/>
  <c r="BC14" i="26"/>
  <c r="AZ14" i="26"/>
  <c r="AW14" i="26"/>
  <c r="AT14" i="26"/>
  <c r="AQ14" i="26"/>
  <c r="AN14" i="26"/>
  <c r="AK14" i="26"/>
  <c r="AH14" i="26"/>
  <c r="AE14" i="26"/>
  <c r="AB14" i="26"/>
  <c r="Y14" i="26"/>
  <c r="V14" i="26"/>
  <c r="S14" i="26"/>
  <c r="P14" i="26"/>
  <c r="M14" i="26"/>
  <c r="J14" i="26"/>
  <c r="G14" i="26"/>
  <c r="D14" i="26"/>
  <c r="BR13" i="26"/>
  <c r="BO13" i="26"/>
  <c r="BL13" i="26"/>
  <c r="BI13" i="26"/>
  <c r="BF13" i="26"/>
  <c r="BC13" i="26"/>
  <c r="AZ13" i="26"/>
  <c r="AW13" i="26"/>
  <c r="AT13" i="26"/>
  <c r="AQ13" i="26"/>
  <c r="AN13" i="26"/>
  <c r="AK13" i="26"/>
  <c r="AH13" i="26"/>
  <c r="AE13" i="26"/>
  <c r="AB13" i="26"/>
  <c r="Y13" i="26"/>
  <c r="V13" i="26"/>
  <c r="S13" i="26"/>
  <c r="P13" i="26"/>
  <c r="M13" i="26"/>
  <c r="J13" i="26"/>
  <c r="G13" i="26"/>
  <c r="D13" i="26"/>
  <c r="BR12" i="26"/>
  <c r="BO12" i="26"/>
  <c r="BL12" i="26"/>
  <c r="BI12" i="26"/>
  <c r="BF12" i="26"/>
  <c r="BC12" i="26"/>
  <c r="AZ12" i="26"/>
  <c r="AW12" i="26"/>
  <c r="AT12" i="26"/>
  <c r="AQ12" i="26"/>
  <c r="AN12" i="26"/>
  <c r="AK12" i="26"/>
  <c r="AH12" i="26"/>
  <c r="AE12" i="26"/>
  <c r="AB12" i="26"/>
  <c r="Y12" i="26"/>
  <c r="V12" i="26"/>
  <c r="S12" i="26"/>
  <c r="P12" i="26"/>
  <c r="M12" i="26"/>
  <c r="J12" i="26"/>
  <c r="G12" i="26"/>
  <c r="D12" i="26"/>
  <c r="BR11" i="26"/>
  <c r="BO11" i="26"/>
  <c r="BL11" i="26"/>
  <c r="BI11" i="26"/>
  <c r="BF11" i="26"/>
  <c r="BC11" i="26"/>
  <c r="AZ11" i="26"/>
  <c r="AW11" i="26"/>
  <c r="AT11" i="26"/>
  <c r="AQ11" i="26"/>
  <c r="AN11" i="26"/>
  <c r="AK11" i="26"/>
  <c r="AH11" i="26"/>
  <c r="AE11" i="26"/>
  <c r="AB11" i="26"/>
  <c r="Y11" i="26"/>
  <c r="V11" i="26"/>
  <c r="S11" i="26"/>
  <c r="P11" i="26"/>
  <c r="M11" i="26"/>
  <c r="J11" i="26"/>
  <c r="G11" i="26"/>
  <c r="D11" i="26"/>
  <c r="BR10" i="26"/>
  <c r="BO10" i="26"/>
  <c r="BL10" i="26"/>
  <c r="BI10" i="26"/>
  <c r="BF10" i="26"/>
  <c r="BC10" i="26"/>
  <c r="AZ10" i="26"/>
  <c r="AW10" i="26"/>
  <c r="AT10" i="26"/>
  <c r="AQ10" i="26"/>
  <c r="AN10" i="26"/>
  <c r="AK10" i="26"/>
  <c r="AH10" i="26"/>
  <c r="AE10" i="26"/>
  <c r="AB10" i="26"/>
  <c r="Y10" i="26"/>
  <c r="V10" i="26"/>
  <c r="S10" i="26"/>
  <c r="P10" i="26"/>
  <c r="M10" i="26"/>
  <c r="J10" i="26"/>
  <c r="G10" i="26"/>
  <c r="D10" i="26"/>
  <c r="BR9" i="26"/>
  <c r="BO9" i="26"/>
  <c r="BL9" i="26"/>
  <c r="BI9" i="26"/>
  <c r="BF9" i="26"/>
  <c r="BC9" i="26"/>
  <c r="AZ9" i="26"/>
  <c r="AW9" i="26"/>
  <c r="AT9" i="26"/>
  <c r="AQ9" i="26"/>
  <c r="AN9" i="26"/>
  <c r="AK9" i="26"/>
  <c r="AH9" i="26"/>
  <c r="AE9" i="26"/>
  <c r="AB9" i="26"/>
  <c r="Y9" i="26"/>
  <c r="V9" i="26"/>
  <c r="S9" i="26"/>
  <c r="P9" i="26"/>
  <c r="M9" i="26"/>
  <c r="J9" i="26"/>
  <c r="G9" i="26"/>
  <c r="D9" i="26"/>
  <c r="BR8" i="26"/>
  <c r="BO8" i="26"/>
  <c r="BL8" i="26"/>
  <c r="BI8" i="26"/>
  <c r="BF8" i="26"/>
  <c r="BC8" i="26"/>
  <c r="AZ8" i="26"/>
  <c r="AW8" i="26"/>
  <c r="AT8" i="26"/>
  <c r="AQ8" i="26"/>
  <c r="AN8" i="26"/>
  <c r="AK8" i="26"/>
  <c r="AH8" i="26"/>
  <c r="AE8" i="26"/>
  <c r="AB8" i="26"/>
  <c r="Y8" i="26"/>
  <c r="V8" i="26"/>
  <c r="S8" i="26"/>
  <c r="P8" i="26"/>
  <c r="M8" i="26"/>
  <c r="J8" i="26"/>
  <c r="G8" i="26"/>
  <c r="D8" i="26"/>
  <c r="BR7" i="26"/>
  <c r="BO7" i="26"/>
  <c r="BL7" i="26"/>
  <c r="BI7" i="26"/>
  <c r="BF7" i="26"/>
  <c r="BC7" i="26"/>
  <c r="AZ7" i="26"/>
  <c r="AW7" i="26"/>
  <c r="AT7" i="26"/>
  <c r="AQ7" i="26"/>
  <c r="AN7" i="26"/>
  <c r="AK7" i="26"/>
  <c r="AH7" i="26"/>
  <c r="AE7" i="26"/>
  <c r="AB7" i="26"/>
  <c r="Y7" i="26"/>
  <c r="V7" i="26"/>
  <c r="S7" i="26"/>
  <c r="P7" i="26"/>
  <c r="M7" i="26"/>
  <c r="J7" i="26"/>
  <c r="G7" i="26"/>
  <c r="D7" i="26"/>
  <c r="BR6" i="26"/>
  <c r="BO6" i="26"/>
  <c r="BL6" i="26"/>
  <c r="BI6" i="26"/>
  <c r="BF6" i="26"/>
  <c r="BC6" i="26"/>
  <c r="AZ6" i="26"/>
  <c r="AW6" i="26"/>
  <c r="AT6" i="26"/>
  <c r="AQ6" i="26"/>
  <c r="AN6" i="26"/>
  <c r="AK6" i="26"/>
  <c r="AH6" i="26"/>
  <c r="AE6" i="26"/>
  <c r="AB6" i="26"/>
  <c r="Y6" i="26"/>
  <c r="V6" i="26"/>
  <c r="S6" i="26"/>
  <c r="P6" i="26"/>
  <c r="M6" i="26"/>
  <c r="J6" i="26"/>
  <c r="G6" i="26"/>
  <c r="D6" i="26"/>
  <c r="BR5" i="26"/>
  <c r="BO5" i="26"/>
  <c r="BL5" i="26"/>
  <c r="BI5" i="26"/>
  <c r="BF5" i="26"/>
  <c r="BC5" i="26"/>
  <c r="AZ5" i="26"/>
  <c r="AW5" i="26"/>
  <c r="AT5" i="26"/>
  <c r="AQ5" i="26"/>
  <c r="AN5" i="26"/>
  <c r="AK5" i="26"/>
  <c r="AH5" i="26"/>
  <c r="AE5" i="26"/>
  <c r="AB5" i="26"/>
  <c r="Y5" i="26"/>
  <c r="V5" i="26"/>
  <c r="S5" i="26"/>
  <c r="P5" i="26"/>
  <c r="M5" i="26"/>
  <c r="J5" i="26"/>
  <c r="G5" i="26"/>
  <c r="D5" i="26"/>
  <c r="CJ46" i="30"/>
  <c r="CG46" i="30"/>
  <c r="CD46" i="30"/>
  <c r="CA46" i="30"/>
  <c r="BX46" i="30"/>
  <c r="BU46" i="30"/>
  <c r="BR46" i="30"/>
  <c r="BO46" i="30"/>
  <c r="BL46" i="30"/>
  <c r="BI46" i="30"/>
  <c r="BF46" i="30"/>
  <c r="BC46" i="30"/>
  <c r="AZ46" i="30"/>
  <c r="AW46" i="30"/>
  <c r="AT46" i="30"/>
  <c r="AQ46" i="30"/>
  <c r="AN46" i="30"/>
  <c r="AK46" i="30"/>
  <c r="AH46" i="30"/>
  <c r="AE46" i="30"/>
  <c r="AB46" i="30"/>
  <c r="Y46" i="30"/>
  <c r="V46" i="30"/>
  <c r="S46" i="30"/>
  <c r="CJ45" i="30"/>
  <c r="CG45" i="30"/>
  <c r="CD45" i="30"/>
  <c r="CA45" i="30"/>
  <c r="BX45" i="30"/>
  <c r="BU45" i="30"/>
  <c r="BR45" i="30"/>
  <c r="BO45" i="30"/>
  <c r="BL45" i="30"/>
  <c r="BI45" i="30"/>
  <c r="BF45" i="30"/>
  <c r="BC45" i="30"/>
  <c r="AZ45" i="30"/>
  <c r="AW45" i="30"/>
  <c r="AT45" i="30"/>
  <c r="AQ45" i="30"/>
  <c r="AN45" i="30"/>
  <c r="AK45" i="30"/>
  <c r="AH45" i="30"/>
  <c r="AE45" i="30"/>
  <c r="AB45" i="30"/>
  <c r="Y45" i="30"/>
  <c r="V45" i="30"/>
  <c r="S45" i="30"/>
  <c r="CJ44" i="30"/>
  <c r="CG44" i="30"/>
  <c r="CD44" i="30"/>
  <c r="CA44" i="30"/>
  <c r="BX44" i="30"/>
  <c r="BU44" i="30"/>
  <c r="BR44" i="30"/>
  <c r="BO44" i="30"/>
  <c r="BL44" i="30"/>
  <c r="BI44" i="30"/>
  <c r="BF44" i="30"/>
  <c r="BC44" i="30"/>
  <c r="AZ44" i="30"/>
  <c r="AW44" i="30"/>
  <c r="AT44" i="30"/>
  <c r="AQ44" i="30"/>
  <c r="AN44" i="30"/>
  <c r="AK44" i="30"/>
  <c r="AH44" i="30"/>
  <c r="AE44" i="30"/>
  <c r="AB44" i="30"/>
  <c r="Y44" i="30"/>
  <c r="V44" i="30"/>
  <c r="S44" i="30"/>
  <c r="CJ43" i="30"/>
  <c r="CG43" i="30"/>
  <c r="CD43" i="30"/>
  <c r="CA43" i="30"/>
  <c r="BX43" i="30"/>
  <c r="BU43" i="30"/>
  <c r="BR43" i="30"/>
  <c r="BO43" i="30"/>
  <c r="BL43" i="30"/>
  <c r="BI43" i="30"/>
  <c r="BF43" i="30"/>
  <c r="BC43" i="30"/>
  <c r="AZ43" i="30"/>
  <c r="AW43" i="30"/>
  <c r="AT43" i="30"/>
  <c r="AQ43" i="30"/>
  <c r="AN43" i="30"/>
  <c r="AK43" i="30"/>
  <c r="AH43" i="30"/>
  <c r="AE43" i="30"/>
  <c r="AB43" i="30"/>
  <c r="Y43" i="30"/>
  <c r="V43" i="30"/>
  <c r="S43" i="30"/>
  <c r="CJ42" i="30"/>
  <c r="CG42" i="30"/>
  <c r="CD42" i="30"/>
  <c r="CA42" i="30"/>
  <c r="BX42" i="30"/>
  <c r="BU42" i="30"/>
  <c r="BR42" i="30"/>
  <c r="BO42" i="30"/>
  <c r="BL42" i="30"/>
  <c r="BI42" i="30"/>
  <c r="BF42" i="30"/>
  <c r="BC42" i="30"/>
  <c r="AZ42" i="30"/>
  <c r="AW42" i="30"/>
  <c r="AT42" i="30"/>
  <c r="AQ42" i="30"/>
  <c r="AN42" i="30"/>
  <c r="AK42" i="30"/>
  <c r="AH42" i="30"/>
  <c r="AE42" i="30"/>
  <c r="AB42" i="30"/>
  <c r="Y42" i="30"/>
  <c r="V42" i="30"/>
  <c r="S42" i="30"/>
  <c r="CJ41" i="30"/>
  <c r="CG41" i="30"/>
  <c r="CD41" i="30"/>
  <c r="CA41" i="30"/>
  <c r="BX41" i="30"/>
  <c r="BU41" i="30"/>
  <c r="BR41" i="30"/>
  <c r="BO41" i="30"/>
  <c r="BL41" i="30"/>
  <c r="BI41" i="30"/>
  <c r="BF41" i="30"/>
  <c r="BC41" i="30"/>
  <c r="AZ41" i="30"/>
  <c r="AW41" i="30"/>
  <c r="AT41" i="30"/>
  <c r="AQ41" i="30"/>
  <c r="AN41" i="30"/>
  <c r="AK41" i="30"/>
  <c r="AH41" i="30"/>
  <c r="AE41" i="30"/>
  <c r="AB41" i="30"/>
  <c r="Y41" i="30"/>
  <c r="V41" i="30"/>
  <c r="S41" i="30"/>
  <c r="CJ40" i="30"/>
  <c r="CG40" i="30"/>
  <c r="CD40" i="30"/>
  <c r="CA40" i="30"/>
  <c r="BX40" i="30"/>
  <c r="BU40" i="30"/>
  <c r="BR40" i="30"/>
  <c r="BO40" i="30"/>
  <c r="BL40" i="30"/>
  <c r="BI40" i="30"/>
  <c r="BF40" i="30"/>
  <c r="BC40" i="30"/>
  <c r="AZ40" i="30"/>
  <c r="AW40" i="30"/>
  <c r="AT40" i="30"/>
  <c r="AQ40" i="30"/>
  <c r="AN40" i="30"/>
  <c r="AK40" i="30"/>
  <c r="AH40" i="30"/>
  <c r="AE40" i="30"/>
  <c r="AB40" i="30"/>
  <c r="Y40" i="30"/>
  <c r="V40" i="30"/>
  <c r="S40" i="30"/>
  <c r="CJ39" i="30"/>
  <c r="CG39" i="30"/>
  <c r="CD39" i="30"/>
  <c r="CA39" i="30"/>
  <c r="BX39" i="30"/>
  <c r="BU39" i="30"/>
  <c r="BR39" i="30"/>
  <c r="BO39" i="30"/>
  <c r="BL39" i="30"/>
  <c r="BI39" i="30"/>
  <c r="BF39" i="30"/>
  <c r="BC39" i="30"/>
  <c r="AZ39" i="30"/>
  <c r="AW39" i="30"/>
  <c r="AT39" i="30"/>
  <c r="AQ39" i="30"/>
  <c r="AN39" i="30"/>
  <c r="AK39" i="30"/>
  <c r="AH39" i="30"/>
  <c r="AE39" i="30"/>
  <c r="AB39" i="30"/>
  <c r="Y39" i="30"/>
  <c r="V39" i="30"/>
  <c r="S39" i="30"/>
  <c r="CJ38" i="30"/>
  <c r="CG38" i="30"/>
  <c r="CD38" i="30"/>
  <c r="CA38" i="30"/>
  <c r="BX38" i="30"/>
  <c r="BU38" i="30"/>
  <c r="BR38" i="30"/>
  <c r="BO38" i="30"/>
  <c r="BL38" i="30"/>
  <c r="BI38" i="30"/>
  <c r="BF38" i="30"/>
  <c r="BC38" i="30"/>
  <c r="AZ38" i="30"/>
  <c r="AW38" i="30"/>
  <c r="AT38" i="30"/>
  <c r="AQ38" i="30"/>
  <c r="AN38" i="30"/>
  <c r="AK38" i="30"/>
  <c r="AH38" i="30"/>
  <c r="AE38" i="30"/>
  <c r="AB38" i="30"/>
  <c r="Y38" i="30"/>
  <c r="V38" i="30"/>
  <c r="S38" i="30"/>
  <c r="CJ37" i="30"/>
  <c r="CG37" i="30"/>
  <c r="CD37" i="30"/>
  <c r="CA37" i="30"/>
  <c r="BX37" i="30"/>
  <c r="BU37" i="30"/>
  <c r="BR37" i="30"/>
  <c r="BO37" i="30"/>
  <c r="BL37" i="30"/>
  <c r="BI37" i="30"/>
  <c r="BF37" i="30"/>
  <c r="BC37" i="30"/>
  <c r="AZ37" i="30"/>
  <c r="AW37" i="30"/>
  <c r="AT37" i="30"/>
  <c r="AQ37" i="30"/>
  <c r="AN37" i="30"/>
  <c r="AK37" i="30"/>
  <c r="AH37" i="30"/>
  <c r="AE37" i="30"/>
  <c r="AB37" i="30"/>
  <c r="Y37" i="30"/>
  <c r="V37" i="30"/>
  <c r="S37" i="30"/>
  <c r="CJ36" i="30"/>
  <c r="CG36" i="30"/>
  <c r="CD36" i="30"/>
  <c r="CA36" i="30"/>
  <c r="BX36" i="30"/>
  <c r="BU36" i="30"/>
  <c r="BR36" i="30"/>
  <c r="BO36" i="30"/>
  <c r="BL36" i="30"/>
  <c r="BI36" i="30"/>
  <c r="BF36" i="30"/>
  <c r="BC36" i="30"/>
  <c r="AZ36" i="30"/>
  <c r="AW36" i="30"/>
  <c r="AT36" i="30"/>
  <c r="AQ36" i="30"/>
  <c r="AN36" i="30"/>
  <c r="AK36" i="30"/>
  <c r="AH36" i="30"/>
  <c r="AE36" i="30"/>
  <c r="AB36" i="30"/>
  <c r="Y36" i="30"/>
  <c r="V36" i="30"/>
  <c r="S36" i="30"/>
  <c r="CJ35" i="30"/>
  <c r="CG35" i="30"/>
  <c r="CD35" i="30"/>
  <c r="CA35" i="30"/>
  <c r="BX35" i="30"/>
  <c r="BU35" i="30"/>
  <c r="BR35" i="30"/>
  <c r="BO35" i="30"/>
  <c r="BL35" i="30"/>
  <c r="BI35" i="30"/>
  <c r="BF35" i="30"/>
  <c r="BC35" i="30"/>
  <c r="AZ35" i="30"/>
  <c r="AW35" i="30"/>
  <c r="AT35" i="30"/>
  <c r="AQ35" i="30"/>
  <c r="AN35" i="30"/>
  <c r="AK35" i="30"/>
  <c r="AH35" i="30"/>
  <c r="AE35" i="30"/>
  <c r="AB35" i="30"/>
  <c r="Y35" i="30"/>
  <c r="V35" i="30"/>
  <c r="S35" i="30"/>
  <c r="CJ34" i="30"/>
  <c r="CG34" i="30"/>
  <c r="CD34" i="30"/>
  <c r="CA34" i="30"/>
  <c r="BX34" i="30"/>
  <c r="BU34" i="30"/>
  <c r="BR34" i="30"/>
  <c r="BO34" i="30"/>
  <c r="BL34" i="30"/>
  <c r="BI34" i="30"/>
  <c r="BF34" i="30"/>
  <c r="BC34" i="30"/>
  <c r="AZ34" i="30"/>
  <c r="AW34" i="30"/>
  <c r="AT34" i="30"/>
  <c r="AQ34" i="30"/>
  <c r="AN34" i="30"/>
  <c r="AK34" i="30"/>
  <c r="AH34" i="30"/>
  <c r="AE34" i="30"/>
  <c r="AB34" i="30"/>
  <c r="Y34" i="30"/>
  <c r="V34" i="30"/>
  <c r="S34" i="30"/>
  <c r="CJ33" i="30"/>
  <c r="CG33" i="30"/>
  <c r="CD33" i="30"/>
  <c r="CA33" i="30"/>
  <c r="BX33" i="30"/>
  <c r="BU33" i="30"/>
  <c r="BR33" i="30"/>
  <c r="BO33" i="30"/>
  <c r="BL33" i="30"/>
  <c r="BI33" i="30"/>
  <c r="BF33" i="30"/>
  <c r="BC33" i="30"/>
  <c r="AZ33" i="30"/>
  <c r="AW33" i="30"/>
  <c r="AT33" i="30"/>
  <c r="AQ33" i="30"/>
  <c r="AN33" i="30"/>
  <c r="AK33" i="30"/>
  <c r="AH33" i="30"/>
  <c r="AE33" i="30"/>
  <c r="AB33" i="30"/>
  <c r="Y33" i="30"/>
  <c r="V33" i="30"/>
  <c r="S33" i="30"/>
  <c r="CJ32" i="30"/>
  <c r="CG32" i="30"/>
  <c r="CD32" i="30"/>
  <c r="CA32" i="30"/>
  <c r="BX32" i="30"/>
  <c r="BU32" i="30"/>
  <c r="BR32" i="30"/>
  <c r="BO32" i="30"/>
  <c r="BL32" i="30"/>
  <c r="BI32" i="30"/>
  <c r="BF32" i="30"/>
  <c r="BC32" i="30"/>
  <c r="AZ32" i="30"/>
  <c r="AW32" i="30"/>
  <c r="AT32" i="30"/>
  <c r="AQ32" i="30"/>
  <c r="AN32" i="30"/>
  <c r="AK32" i="30"/>
  <c r="AH32" i="30"/>
  <c r="AE32" i="30"/>
  <c r="AB32" i="30"/>
  <c r="Y32" i="30"/>
  <c r="V32" i="30"/>
  <c r="S32" i="30"/>
  <c r="M46" i="30"/>
  <c r="M45" i="30"/>
  <c r="M44" i="30"/>
  <c r="M43" i="30"/>
  <c r="M42" i="30"/>
  <c r="M41" i="30"/>
  <c r="M40" i="30"/>
  <c r="M39" i="30"/>
  <c r="M38" i="30"/>
  <c r="M37" i="30"/>
  <c r="M36" i="30"/>
  <c r="M35" i="30"/>
  <c r="M34" i="30"/>
  <c r="M33" i="30"/>
  <c r="M32" i="30"/>
  <c r="B38" i="26" l="1"/>
  <c r="P7" i="5" s="1"/>
  <c r="E38" i="26"/>
  <c r="P8" i="5" s="1"/>
  <c r="E174" i="9"/>
  <c r="E168" i="9"/>
  <c r="E162" i="9"/>
  <c r="E156" i="9"/>
  <c r="E150" i="9"/>
  <c r="E144" i="9"/>
  <c r="E138" i="9"/>
  <c r="E132" i="9"/>
  <c r="E126" i="9"/>
  <c r="E120" i="9"/>
  <c r="E114" i="9"/>
  <c r="E108" i="9"/>
  <c r="E102" i="9"/>
  <c r="E96" i="9"/>
  <c r="E90" i="9"/>
  <c r="E84" i="9"/>
  <c r="E78" i="9"/>
  <c r="E72" i="9"/>
  <c r="E66" i="9"/>
  <c r="E60" i="9"/>
  <c r="E54" i="9"/>
  <c r="E48" i="9"/>
  <c r="E42" i="9"/>
  <c r="E36" i="9"/>
  <c r="E30" i="9"/>
  <c r="E24" i="9"/>
  <c r="E18" i="9"/>
  <c r="E12" i="9"/>
  <c r="E6" i="9"/>
  <c r="CM34" i="26"/>
  <c r="CJ34" i="26"/>
  <c r="CG34" i="26"/>
  <c r="CD34" i="26"/>
  <c r="CA34" i="26"/>
  <c r="BX34" i="26"/>
  <c r="BU34" i="26"/>
  <c r="CM33" i="26"/>
  <c r="CJ33" i="26"/>
  <c r="CG33" i="26"/>
  <c r="CD33" i="26"/>
  <c r="CA33" i="26"/>
  <c r="BX33" i="26"/>
  <c r="BU33" i="26"/>
  <c r="CM32" i="26"/>
  <c r="CJ32" i="26"/>
  <c r="CG32" i="26"/>
  <c r="CD32" i="26"/>
  <c r="CA32" i="26"/>
  <c r="BX32" i="26"/>
  <c r="BU32" i="26"/>
  <c r="CM31" i="26"/>
  <c r="CJ31" i="26"/>
  <c r="CG31" i="26"/>
  <c r="CD31" i="26"/>
  <c r="CA31" i="26"/>
  <c r="BX31" i="26"/>
  <c r="BU31" i="26"/>
  <c r="CM30" i="26"/>
  <c r="CJ30" i="26"/>
  <c r="CG30" i="26"/>
  <c r="CD30" i="26"/>
  <c r="CA30" i="26"/>
  <c r="BX30" i="26"/>
  <c r="BU30" i="26"/>
  <c r="CM29" i="26"/>
  <c r="CJ29" i="26"/>
  <c r="CG29" i="26"/>
  <c r="CD29" i="26"/>
  <c r="CA29" i="26"/>
  <c r="BX29" i="26"/>
  <c r="BU29" i="26"/>
  <c r="N3" i="1" l="1"/>
  <c r="E1" i="30" l="1"/>
  <c r="N14" i="1"/>
  <c r="M10" i="1"/>
  <c r="N24" i="1"/>
  <c r="P4" i="5"/>
  <c r="M18" i="1" s="1"/>
  <c r="O4" i="5"/>
  <c r="M16" i="1" s="1"/>
  <c r="M12" i="1"/>
  <c r="S27" i="5"/>
  <c r="D156" i="9"/>
  <c r="E186" i="9"/>
  <c r="E180" i="9"/>
  <c r="D168" i="9"/>
  <c r="D162" i="9"/>
  <c r="D150" i="9"/>
  <c r="D144" i="9"/>
  <c r="D138" i="9"/>
  <c r="D132" i="9"/>
  <c r="D126" i="9"/>
  <c r="D120" i="9"/>
  <c r="D114" i="9"/>
  <c r="D108" i="9"/>
  <c r="D102" i="9"/>
  <c r="D96" i="9"/>
  <c r="D90" i="9"/>
  <c r="D84" i="9"/>
  <c r="D78" i="9"/>
  <c r="D72" i="9"/>
  <c r="D66" i="9"/>
  <c r="D60" i="9"/>
  <c r="D54" i="9"/>
  <c r="D48" i="9"/>
  <c r="D42" i="9"/>
  <c r="D36" i="9"/>
  <c r="D30" i="9"/>
  <c r="D12" i="9"/>
  <c r="F209" i="6"/>
  <c r="E209" i="6"/>
  <c r="C209" i="6"/>
  <c r="B209" i="6"/>
  <c r="F202" i="6"/>
  <c r="C202" i="6"/>
  <c r="B202" i="6"/>
  <c r="F195" i="6"/>
  <c r="C195" i="6"/>
  <c r="B195" i="6"/>
  <c r="F188" i="6"/>
  <c r="C188" i="6"/>
  <c r="F181" i="6"/>
  <c r="C181" i="6"/>
  <c r="B181" i="6"/>
  <c r="F174" i="6"/>
  <c r="D174" i="6"/>
  <c r="C174" i="6"/>
  <c r="B174" i="6"/>
  <c r="F167" i="6"/>
  <c r="C167" i="6"/>
  <c r="B167" i="6"/>
  <c r="B160" i="6"/>
  <c r="E153" i="6"/>
  <c r="B153" i="6"/>
  <c r="C146" i="6"/>
  <c r="B146" i="6"/>
  <c r="C139" i="6"/>
  <c r="B139" i="6"/>
  <c r="F132" i="6"/>
  <c r="C132" i="6"/>
  <c r="B132" i="6"/>
  <c r="F125" i="6"/>
  <c r="C125" i="6"/>
  <c r="B125" i="6"/>
  <c r="F118" i="6"/>
  <c r="D118" i="6"/>
  <c r="C118" i="6"/>
  <c r="B118" i="6"/>
  <c r="C111" i="6"/>
  <c r="B111" i="6"/>
  <c r="F104" i="6"/>
  <c r="C104" i="6"/>
  <c r="B104" i="6"/>
  <c r="E97" i="6"/>
  <c r="C97" i="6"/>
  <c r="B97" i="6"/>
  <c r="F90" i="6"/>
  <c r="C90" i="6"/>
  <c r="B90" i="6"/>
  <c r="E83" i="6"/>
  <c r="C83" i="6"/>
  <c r="B83" i="6"/>
  <c r="F76" i="6"/>
  <c r="C76" i="6"/>
  <c r="F69" i="6"/>
  <c r="C69" i="6"/>
  <c r="B69" i="6"/>
  <c r="F62" i="6"/>
  <c r="D62" i="6"/>
  <c r="C62" i="6"/>
  <c r="B62" i="6"/>
  <c r="C55" i="6"/>
  <c r="B55" i="6"/>
  <c r="F48" i="6"/>
  <c r="C48" i="6"/>
  <c r="B48" i="6"/>
  <c r="F41" i="6"/>
  <c r="E41" i="6"/>
  <c r="C41" i="6"/>
  <c r="B41" i="6"/>
  <c r="F34" i="6"/>
  <c r="C34" i="6"/>
  <c r="B34" i="6"/>
  <c r="F27" i="6"/>
  <c r="C27" i="6"/>
  <c r="B27" i="6"/>
  <c r="F20" i="6"/>
  <c r="F216" i="6"/>
  <c r="E216" i="6"/>
  <c r="B216" i="6"/>
  <c r="D216" i="6"/>
  <c r="C216" i="6"/>
  <c r="D209" i="6"/>
  <c r="E202" i="6"/>
  <c r="D202" i="6"/>
  <c r="E195" i="6"/>
  <c r="D195" i="6"/>
  <c r="E188" i="6"/>
  <c r="D188" i="6"/>
  <c r="B188" i="6"/>
  <c r="E181" i="6"/>
  <c r="D181" i="6"/>
  <c r="E174" i="6"/>
  <c r="E167" i="6"/>
  <c r="D167" i="6"/>
  <c r="F160" i="6"/>
  <c r="E160" i="6"/>
  <c r="D160" i="6"/>
  <c r="C160" i="6"/>
  <c r="F153" i="6"/>
  <c r="D153" i="6"/>
  <c r="C153" i="6"/>
  <c r="F146" i="6"/>
  <c r="E146" i="6"/>
  <c r="D146" i="6"/>
  <c r="F139" i="6"/>
  <c r="E139" i="6"/>
  <c r="D139" i="6"/>
  <c r="E132" i="6"/>
  <c r="D132" i="6"/>
  <c r="E125" i="6"/>
  <c r="D125" i="6"/>
  <c r="E118" i="6"/>
  <c r="F111" i="6"/>
  <c r="E111" i="6"/>
  <c r="D111" i="6"/>
  <c r="E104" i="6"/>
  <c r="D104" i="6"/>
  <c r="F97" i="6"/>
  <c r="D97" i="6"/>
  <c r="E90" i="6"/>
  <c r="D90" i="6"/>
  <c r="F83" i="6"/>
  <c r="D83" i="6"/>
  <c r="E76" i="6"/>
  <c r="D76" i="6"/>
  <c r="B76" i="6"/>
  <c r="E69" i="6"/>
  <c r="D69" i="6"/>
  <c r="E62" i="6"/>
  <c r="F55" i="6"/>
  <c r="E55" i="6"/>
  <c r="D55" i="6"/>
  <c r="E48" i="6"/>
  <c r="D48" i="6"/>
  <c r="D41" i="6"/>
  <c r="E34" i="6"/>
  <c r="D34" i="6"/>
  <c r="E27" i="6"/>
  <c r="D27" i="6"/>
  <c r="E20" i="6"/>
  <c r="D20" i="6"/>
  <c r="C20" i="6"/>
  <c r="B20" i="6"/>
  <c r="F13" i="6"/>
  <c r="E13" i="6"/>
  <c r="D13" i="6"/>
  <c r="C13" i="6"/>
  <c r="B13" i="6"/>
  <c r="H12" i="6"/>
  <c r="J12" i="6"/>
  <c r="L12" i="6"/>
  <c r="D6" i="6" s="1"/>
  <c r="P12" i="6"/>
  <c r="F6" i="6" s="1"/>
  <c r="R30" i="1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8" i="3"/>
  <c r="G57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AR14" i="3"/>
  <c r="AQ14" i="3"/>
  <c r="AP14" i="3"/>
  <c r="AO14" i="3"/>
  <c r="AR13" i="3"/>
  <c r="AQ13" i="3"/>
  <c r="AP13" i="3"/>
  <c r="AO13" i="3"/>
  <c r="AR12" i="3"/>
  <c r="AQ12" i="3"/>
  <c r="AP12" i="3"/>
  <c r="AO12" i="3"/>
  <c r="AR11" i="3"/>
  <c r="AQ11" i="3"/>
  <c r="AP11" i="3"/>
  <c r="AO11" i="3"/>
  <c r="AR10" i="3"/>
  <c r="AQ10" i="3"/>
  <c r="AP10" i="3"/>
  <c r="AO10" i="3"/>
  <c r="AR9" i="3"/>
  <c r="AQ9" i="3"/>
  <c r="AP9" i="3"/>
  <c r="AO9" i="3"/>
  <c r="AR8" i="3"/>
  <c r="AQ8" i="3"/>
  <c r="AP8" i="3"/>
  <c r="AO8" i="3"/>
  <c r="AR7" i="3"/>
  <c r="AQ7" i="3"/>
  <c r="AP7" i="3"/>
  <c r="AO7" i="3"/>
  <c r="AO6" i="3"/>
  <c r="AP6" i="3"/>
  <c r="AR6" i="3"/>
  <c r="AQ6" i="3"/>
  <c r="N46" i="1" l="1"/>
  <c r="S14" i="5"/>
  <c r="F223" i="6"/>
  <c r="N54" i="1"/>
  <c r="N38" i="1"/>
  <c r="N34" i="1"/>
  <c r="N42" i="1"/>
  <c r="N32" i="1"/>
  <c r="N40" i="1"/>
  <c r="N44" i="1"/>
  <c r="N36" i="1"/>
  <c r="D223" i="6"/>
  <c r="R54" i="1" s="1"/>
  <c r="O192" i="9"/>
  <c r="P223" i="6"/>
  <c r="N30" i="1"/>
  <c r="AL55" i="3"/>
  <c r="AL52" i="3"/>
  <c r="AL57" i="3"/>
  <c r="AL54" i="3"/>
  <c r="AL56" i="3"/>
  <c r="AL51" i="3"/>
  <c r="AL58" i="3"/>
  <c r="AL53" i="3"/>
  <c r="AL59" i="3"/>
  <c r="N12" i="6" l="1"/>
  <c r="D186" i="9"/>
  <c r="D180" i="9"/>
  <c r="D174" i="9"/>
  <c r="D24" i="9"/>
  <c r="D18" i="9"/>
  <c r="D6" i="9"/>
  <c r="AS14" i="3"/>
  <c r="AS13" i="3"/>
  <c r="AS12" i="3"/>
  <c r="AS11" i="3"/>
  <c r="AS10" i="3"/>
  <c r="AS9" i="3"/>
  <c r="AS8" i="3"/>
  <c r="AS7" i="3"/>
  <c r="AS6" i="3"/>
  <c r="AW14" i="3"/>
  <c r="AV14" i="3"/>
  <c r="AU14" i="3"/>
  <c r="AW13" i="3"/>
  <c r="AV13" i="3"/>
  <c r="AU13" i="3"/>
  <c r="AW12" i="3"/>
  <c r="AV12" i="3"/>
  <c r="AU12" i="3"/>
  <c r="AW11" i="3"/>
  <c r="AV11" i="3"/>
  <c r="AU11" i="3"/>
  <c r="AW10" i="3"/>
  <c r="AV10" i="3"/>
  <c r="AU10" i="3"/>
  <c r="AW9" i="3"/>
  <c r="AV9" i="3"/>
  <c r="AU9" i="3"/>
  <c r="AW8" i="3"/>
  <c r="AV8" i="3"/>
  <c r="AU8" i="3"/>
  <c r="AW7" i="3"/>
  <c r="AV7" i="3"/>
  <c r="AU7" i="3"/>
  <c r="AW6" i="3"/>
  <c r="AV6" i="3"/>
  <c r="AU6" i="3"/>
  <c r="D192" i="9" l="1"/>
  <c r="R58" i="1" s="1"/>
  <c r="N10" i="1"/>
  <c r="N12" i="1"/>
  <c r="F14" i="3"/>
  <c r="F72" i="3" s="1"/>
  <c r="E14" i="3"/>
  <c r="E72" i="3" s="1"/>
  <c r="D14" i="3"/>
  <c r="C14" i="3"/>
  <c r="F13" i="3"/>
  <c r="F71" i="3" s="1"/>
  <c r="E13" i="3"/>
  <c r="E71" i="3" s="1"/>
  <c r="D13" i="3"/>
  <c r="C13" i="3"/>
  <c r="F12" i="3"/>
  <c r="F70" i="3" s="1"/>
  <c r="E12" i="3"/>
  <c r="E70" i="3" s="1"/>
  <c r="D12" i="3"/>
  <c r="C12" i="3"/>
  <c r="F11" i="3"/>
  <c r="E11" i="3"/>
  <c r="D11" i="3"/>
  <c r="G12" i="30" s="1"/>
  <c r="C11" i="3"/>
  <c r="F12" i="30" s="1"/>
  <c r="F10" i="3"/>
  <c r="E10" i="3"/>
  <c r="D10" i="3"/>
  <c r="G11" i="30" s="1"/>
  <c r="C10" i="3"/>
  <c r="F11" i="30" s="1"/>
  <c r="F9" i="3"/>
  <c r="E9" i="3"/>
  <c r="D9" i="3"/>
  <c r="G10" i="30" s="1"/>
  <c r="C9" i="3"/>
  <c r="F10" i="30" s="1"/>
  <c r="F8" i="3"/>
  <c r="E8" i="3"/>
  <c r="D8" i="3"/>
  <c r="G9" i="30" s="1"/>
  <c r="C8" i="3"/>
  <c r="F9" i="30" s="1"/>
  <c r="F7" i="3"/>
  <c r="E7" i="3"/>
  <c r="D7" i="3"/>
  <c r="G8" i="30" s="1"/>
  <c r="C7" i="3"/>
  <c r="F8" i="30" s="1"/>
  <c r="B14" i="3"/>
  <c r="AY14" i="3" s="1"/>
  <c r="B13" i="3"/>
  <c r="AY13" i="3" s="1"/>
  <c r="B12" i="3"/>
  <c r="AY12" i="3" s="1"/>
  <c r="B11" i="3"/>
  <c r="AY11" i="3" s="1"/>
  <c r="B10" i="3"/>
  <c r="AY10" i="3" s="1"/>
  <c r="B9" i="3"/>
  <c r="AY9" i="3" s="1"/>
  <c r="B8" i="3"/>
  <c r="AY8" i="3" s="1"/>
  <c r="B7" i="3"/>
  <c r="AY7" i="3" s="1"/>
  <c r="F6" i="3"/>
  <c r="E6" i="3"/>
  <c r="D6" i="3"/>
  <c r="G7" i="30" s="1"/>
  <c r="C6" i="3"/>
  <c r="F7" i="30" s="1"/>
  <c r="B6" i="3"/>
  <c r="AY6" i="3" s="1"/>
  <c r="E7" i="30" l="1"/>
  <c r="E11" i="30"/>
  <c r="E12" i="30"/>
  <c r="F15" i="30"/>
  <c r="C72" i="3"/>
  <c r="F13" i="30"/>
  <c r="C70" i="3"/>
  <c r="G13" i="30"/>
  <c r="D70" i="3"/>
  <c r="G15" i="30"/>
  <c r="D72" i="3"/>
  <c r="E15" i="30"/>
  <c r="E8" i="30"/>
  <c r="F14" i="30"/>
  <c r="C71" i="3"/>
  <c r="E9" i="30"/>
  <c r="D71" i="3"/>
  <c r="G14" i="30"/>
  <c r="E10" i="30"/>
  <c r="B72" i="3"/>
  <c r="E14" i="30"/>
  <c r="B71" i="3"/>
  <c r="E13" i="30"/>
  <c r="B70" i="3"/>
  <c r="B34" i="3" l="1"/>
  <c r="Q70" i="28"/>
  <c r="Q69" i="28"/>
  <c r="Q68" i="28"/>
  <c r="Q67" i="28"/>
  <c r="Q65" i="28"/>
  <c r="Q64" i="28"/>
  <c r="Q63" i="28"/>
  <c r="Q62" i="28"/>
  <c r="Q61" i="28"/>
  <c r="Q60" i="28"/>
  <c r="Q59" i="28"/>
  <c r="Q58" i="28"/>
  <c r="Q57" i="28"/>
  <c r="AZ56" i="28"/>
  <c r="AS56" i="28"/>
  <c r="AL56" i="28"/>
  <c r="AE56" i="28"/>
  <c r="X56" i="28"/>
  <c r="Q56" i="28"/>
  <c r="AZ55" i="28"/>
  <c r="AS55" i="28"/>
  <c r="AL55" i="28"/>
  <c r="AE55" i="28"/>
  <c r="X55" i="28"/>
  <c r="Q55" i="28"/>
  <c r="AZ54" i="28"/>
  <c r="AS54" i="28"/>
  <c r="AL54" i="28"/>
  <c r="AE54" i="28"/>
  <c r="X54" i="28"/>
  <c r="Q54" i="28"/>
  <c r="AZ53" i="28"/>
  <c r="AS53" i="28"/>
  <c r="AL53" i="28"/>
  <c r="AE53" i="28"/>
  <c r="X53" i="28"/>
  <c r="Q53" i="28"/>
  <c r="AZ52" i="28"/>
  <c r="AS52" i="28"/>
  <c r="AL52" i="28"/>
  <c r="AE52" i="28"/>
  <c r="X52" i="28"/>
  <c r="Q52" i="28"/>
  <c r="AZ51" i="28"/>
  <c r="AS51" i="28"/>
  <c r="AL51" i="28"/>
  <c r="AE51" i="28"/>
  <c r="X51" i="28"/>
  <c r="Q51" i="28"/>
  <c r="AZ50" i="28"/>
  <c r="AS50" i="28"/>
  <c r="AL50" i="28"/>
  <c r="AE50" i="28"/>
  <c r="X50" i="28"/>
  <c r="Q50" i="28"/>
  <c r="AZ49" i="28"/>
  <c r="AS49" i="28"/>
  <c r="AL49" i="28"/>
  <c r="AE49" i="28"/>
  <c r="X49" i="28"/>
  <c r="Q49" i="28"/>
  <c r="AZ48" i="28"/>
  <c r="AS48" i="28"/>
  <c r="AL48" i="28"/>
  <c r="AE48" i="28"/>
  <c r="X48" i="28"/>
  <c r="Q48" i="28"/>
  <c r="AZ47" i="28"/>
  <c r="AS47" i="28"/>
  <c r="AL47" i="28"/>
  <c r="AE47" i="28"/>
  <c r="X47" i="28"/>
  <c r="Q47" i="28"/>
  <c r="AZ46" i="28"/>
  <c r="AS46" i="28"/>
  <c r="AL46" i="28"/>
  <c r="AE46" i="28"/>
  <c r="X46" i="28"/>
  <c r="Q46" i="28"/>
  <c r="AZ45" i="28"/>
  <c r="AS45" i="28"/>
  <c r="AL45" i="28"/>
  <c r="AE45" i="28"/>
  <c r="X45" i="28"/>
  <c r="Q45" i="28"/>
  <c r="AZ44" i="28"/>
  <c r="AS44" i="28"/>
  <c r="AL44" i="28"/>
  <c r="AE44" i="28"/>
  <c r="X44" i="28"/>
  <c r="Q44" i="28"/>
  <c r="AZ43" i="28"/>
  <c r="AS43" i="28"/>
  <c r="AL43" i="28"/>
  <c r="AE43" i="28"/>
  <c r="X43" i="28"/>
  <c r="Q43" i="28"/>
  <c r="AZ42" i="28"/>
  <c r="AS42" i="28"/>
  <c r="AL42" i="28"/>
  <c r="AE42" i="28"/>
  <c r="X42" i="28"/>
  <c r="Q42" i="28"/>
  <c r="AZ41" i="28"/>
  <c r="AS41" i="28"/>
  <c r="AL41" i="28"/>
  <c r="AE41" i="28"/>
  <c r="X41" i="28"/>
  <c r="Q41" i="28"/>
  <c r="AZ40" i="28"/>
  <c r="AS40" i="28"/>
  <c r="AL40" i="28"/>
  <c r="AE40" i="28"/>
  <c r="X40" i="28"/>
  <c r="Q40" i="28"/>
  <c r="AZ39" i="28"/>
  <c r="AS39" i="28"/>
  <c r="AL39" i="28"/>
  <c r="AE39" i="28"/>
  <c r="X39" i="28"/>
  <c r="Q39" i="28"/>
  <c r="AZ38" i="28"/>
  <c r="AS38" i="28"/>
  <c r="AL38" i="28"/>
  <c r="AE38" i="28"/>
  <c r="X38" i="28"/>
  <c r="Q38" i="28"/>
  <c r="AZ37" i="28"/>
  <c r="AS37" i="28"/>
  <c r="AL37" i="28"/>
  <c r="AE37" i="28"/>
  <c r="X37" i="28"/>
  <c r="Q37" i="28"/>
  <c r="AZ36" i="28"/>
  <c r="AS36" i="28"/>
  <c r="AL36" i="28"/>
  <c r="AE36" i="28"/>
  <c r="X36" i="28"/>
  <c r="Q36" i="28"/>
  <c r="AZ35" i="28"/>
  <c r="AS35" i="28"/>
  <c r="AL35" i="28"/>
  <c r="AE35" i="28"/>
  <c r="X35" i="28"/>
  <c r="Q35" i="28"/>
  <c r="AZ34" i="28"/>
  <c r="AS34" i="28"/>
  <c r="AL34" i="28"/>
  <c r="AE34" i="28"/>
  <c r="X34" i="28"/>
  <c r="Q34" i="28"/>
  <c r="AZ33" i="28"/>
  <c r="AS33" i="28"/>
  <c r="AL33" i="28"/>
  <c r="AE33" i="28"/>
  <c r="X33" i="28"/>
  <c r="Q33" i="28"/>
  <c r="AZ32" i="28"/>
  <c r="AS32" i="28"/>
  <c r="AL32" i="28"/>
  <c r="AE32" i="28"/>
  <c r="X32" i="28"/>
  <c r="Q32" i="28"/>
  <c r="AZ31" i="28"/>
  <c r="AS31" i="28"/>
  <c r="AL31" i="28"/>
  <c r="AE31" i="28"/>
  <c r="X31" i="28"/>
  <c r="Q31" i="28"/>
  <c r="AZ30" i="28"/>
  <c r="AS30" i="28"/>
  <c r="AL30" i="28"/>
  <c r="AE30" i="28"/>
  <c r="X30" i="28"/>
  <c r="Q30" i="28"/>
  <c r="AZ29" i="28"/>
  <c r="AS29" i="28"/>
  <c r="AL29" i="28"/>
  <c r="AE29" i="28"/>
  <c r="X29" i="28"/>
  <c r="Q29" i="28"/>
  <c r="AZ28" i="28"/>
  <c r="AS28" i="28"/>
  <c r="AL28" i="28"/>
  <c r="AE28" i="28"/>
  <c r="X28" i="28"/>
  <c r="Q28" i="28"/>
  <c r="AZ27" i="28"/>
  <c r="AS27" i="28"/>
  <c r="AL27" i="28"/>
  <c r="AE27" i="28"/>
  <c r="X27" i="28"/>
  <c r="Q27" i="28"/>
  <c r="AZ26" i="28"/>
  <c r="AS26" i="28"/>
  <c r="AL26" i="28"/>
  <c r="AE26" i="28"/>
  <c r="X26" i="28"/>
  <c r="Q26" i="28"/>
  <c r="AZ25" i="28"/>
  <c r="AS25" i="28"/>
  <c r="AL25" i="28"/>
  <c r="AE25" i="28"/>
  <c r="X25" i="28"/>
  <c r="Q25" i="28"/>
  <c r="AZ24" i="28"/>
  <c r="AS24" i="28"/>
  <c r="AL24" i="28"/>
  <c r="AE24" i="28"/>
  <c r="X24" i="28"/>
  <c r="Q24" i="28"/>
  <c r="AZ23" i="28"/>
  <c r="AS23" i="28"/>
  <c r="AL23" i="28"/>
  <c r="AE23" i="28"/>
  <c r="X23" i="28"/>
  <c r="Q23" i="28"/>
  <c r="AZ22" i="28"/>
  <c r="AS22" i="28"/>
  <c r="AL22" i="28"/>
  <c r="AE22" i="28"/>
  <c r="X22" i="28"/>
  <c r="Q22" i="28"/>
  <c r="AZ21" i="28"/>
  <c r="AS21" i="28"/>
  <c r="AL21" i="28"/>
  <c r="AE21" i="28"/>
  <c r="X21" i="28"/>
  <c r="Q21" i="28"/>
  <c r="AZ20" i="28"/>
  <c r="AS20" i="28"/>
  <c r="AL20" i="28"/>
  <c r="AE20" i="28"/>
  <c r="X20" i="28"/>
  <c r="Q20" i="28"/>
  <c r="AZ19" i="28"/>
  <c r="AS19" i="28"/>
  <c r="AL19" i="28"/>
  <c r="AE19" i="28"/>
  <c r="X19" i="28"/>
  <c r="Q19" i="28"/>
  <c r="AZ18" i="28"/>
  <c r="AS18" i="28"/>
  <c r="AL18" i="28"/>
  <c r="AE18" i="28"/>
  <c r="X18" i="28"/>
  <c r="Q18" i="28"/>
  <c r="AZ17" i="28"/>
  <c r="AS17" i="28"/>
  <c r="AL17" i="28"/>
  <c r="AE17" i="28"/>
  <c r="X17" i="28"/>
  <c r="Q17" i="28"/>
  <c r="AZ16" i="28"/>
  <c r="AS16" i="28"/>
  <c r="AL16" i="28"/>
  <c r="AE16" i="28"/>
  <c r="X16" i="28"/>
  <c r="Q16" i="28"/>
  <c r="AZ15" i="28"/>
  <c r="AS15" i="28"/>
  <c r="AL15" i="28"/>
  <c r="AE15" i="28"/>
  <c r="X15" i="28"/>
  <c r="Q15" i="28"/>
  <c r="AZ14" i="28"/>
  <c r="AS14" i="28"/>
  <c r="AL14" i="28"/>
  <c r="AE14" i="28"/>
  <c r="X14" i="28"/>
  <c r="Q14" i="28"/>
  <c r="AZ13" i="28"/>
  <c r="AS13" i="28"/>
  <c r="AL13" i="28"/>
  <c r="AE13" i="28"/>
  <c r="X13" i="28"/>
  <c r="Q13" i="28"/>
  <c r="AZ12" i="28"/>
  <c r="AS12" i="28"/>
  <c r="AL12" i="28"/>
  <c r="AE12" i="28"/>
  <c r="X12" i="28"/>
  <c r="Q12" i="28"/>
  <c r="AZ11" i="28"/>
  <c r="AS11" i="28"/>
  <c r="AL11" i="28"/>
  <c r="AE11" i="28"/>
  <c r="X11" i="28"/>
  <c r="Q11" i="28"/>
  <c r="AZ10" i="28"/>
  <c r="AS10" i="28"/>
  <c r="AL10" i="28"/>
  <c r="AE10" i="28"/>
  <c r="X10" i="28"/>
  <c r="Q10" i="28"/>
  <c r="AZ9" i="28"/>
  <c r="AS9" i="28"/>
  <c r="AL9" i="28"/>
  <c r="AE9" i="28"/>
  <c r="X9" i="28"/>
  <c r="Q9" i="28"/>
  <c r="AZ8" i="28"/>
  <c r="AS8" i="28"/>
  <c r="AL8" i="28"/>
  <c r="AE8" i="28"/>
  <c r="X8" i="28"/>
  <c r="Q8" i="28"/>
  <c r="J38" i="5" l="1"/>
  <c r="R24" i="1" s="1"/>
  <c r="I38" i="5"/>
  <c r="H38" i="5"/>
  <c r="G38" i="5"/>
  <c r="D38" i="5"/>
  <c r="R12" i="1" s="1"/>
  <c r="L38" i="5"/>
  <c r="K38" i="5"/>
  <c r="R28" i="1" s="1"/>
  <c r="AZ122" i="28"/>
  <c r="AS122" i="28"/>
  <c r="AL122" i="28"/>
  <c r="AE122" i="28"/>
  <c r="X122" i="28"/>
  <c r="Q122" i="28"/>
  <c r="J122" i="28"/>
  <c r="AZ121" i="28"/>
  <c r="AS121" i="28"/>
  <c r="AL121" i="28"/>
  <c r="AE121" i="28"/>
  <c r="X121" i="28"/>
  <c r="Q121" i="28"/>
  <c r="J121" i="28"/>
  <c r="AZ120" i="28"/>
  <c r="AS120" i="28"/>
  <c r="AL120" i="28"/>
  <c r="AE120" i="28"/>
  <c r="X120" i="28"/>
  <c r="Q120" i="28"/>
  <c r="J120" i="28"/>
  <c r="AZ119" i="28"/>
  <c r="AS119" i="28"/>
  <c r="AL119" i="28"/>
  <c r="AE119" i="28"/>
  <c r="X119" i="28"/>
  <c r="Q119" i="28"/>
  <c r="J119" i="28"/>
  <c r="AZ118" i="28"/>
  <c r="AS118" i="28"/>
  <c r="AL118" i="28"/>
  <c r="AE118" i="28"/>
  <c r="X118" i="28"/>
  <c r="Q118" i="28"/>
  <c r="J118" i="28"/>
  <c r="AZ117" i="28"/>
  <c r="AS117" i="28"/>
  <c r="AL117" i="28"/>
  <c r="AE117" i="28"/>
  <c r="X117" i="28"/>
  <c r="Q117" i="28"/>
  <c r="J117" i="28"/>
  <c r="AZ116" i="28"/>
  <c r="AS116" i="28"/>
  <c r="AL116" i="28"/>
  <c r="AE116" i="28"/>
  <c r="X116" i="28"/>
  <c r="Q116" i="28"/>
  <c r="J116" i="28"/>
  <c r="AZ115" i="28"/>
  <c r="AS115" i="28"/>
  <c r="AL115" i="28"/>
  <c r="AE115" i="28"/>
  <c r="X115" i="28"/>
  <c r="Q115" i="28"/>
  <c r="J115" i="28"/>
  <c r="AZ114" i="28"/>
  <c r="AS114" i="28"/>
  <c r="AL114" i="28"/>
  <c r="AE114" i="28"/>
  <c r="X114" i="28"/>
  <c r="Q114" i="28"/>
  <c r="J114" i="28"/>
  <c r="AZ113" i="28"/>
  <c r="AS113" i="28"/>
  <c r="AL113" i="28"/>
  <c r="AE113" i="28"/>
  <c r="X113" i="28"/>
  <c r="Q113" i="28"/>
  <c r="J113" i="28"/>
  <c r="AZ112" i="28"/>
  <c r="AS112" i="28"/>
  <c r="AL112" i="28"/>
  <c r="AE112" i="28"/>
  <c r="X112" i="28"/>
  <c r="Q112" i="28"/>
  <c r="J112" i="28"/>
  <c r="AZ111" i="28"/>
  <c r="AS111" i="28"/>
  <c r="AL111" i="28"/>
  <c r="AE111" i="28"/>
  <c r="X111" i="28"/>
  <c r="Q111" i="28"/>
  <c r="J111" i="28"/>
  <c r="AZ110" i="28"/>
  <c r="AS110" i="28"/>
  <c r="AL110" i="28"/>
  <c r="AE110" i="28"/>
  <c r="X110" i="28"/>
  <c r="Q110" i="28"/>
  <c r="J110" i="28"/>
  <c r="AZ109" i="28"/>
  <c r="AS109" i="28"/>
  <c r="AL109" i="28"/>
  <c r="AE109" i="28"/>
  <c r="X109" i="28"/>
  <c r="Q109" i="28"/>
  <c r="J109" i="28"/>
  <c r="AZ108" i="28"/>
  <c r="AS108" i="28"/>
  <c r="AL108" i="28"/>
  <c r="AE108" i="28"/>
  <c r="X108" i="28"/>
  <c r="Q108" i="28"/>
  <c r="J108" i="28"/>
  <c r="AZ107" i="28"/>
  <c r="AS107" i="28"/>
  <c r="AL107" i="28"/>
  <c r="AE107" i="28"/>
  <c r="X107" i="28"/>
  <c r="Q107" i="28"/>
  <c r="J107" i="28"/>
  <c r="AZ106" i="28"/>
  <c r="AS106" i="28"/>
  <c r="AL106" i="28"/>
  <c r="AE106" i="28"/>
  <c r="X106" i="28"/>
  <c r="Q106" i="28"/>
  <c r="J106" i="28"/>
  <c r="AZ105" i="28"/>
  <c r="AS105" i="28"/>
  <c r="AL105" i="28"/>
  <c r="AE105" i="28"/>
  <c r="X105" i="28"/>
  <c r="Q105" i="28"/>
  <c r="J105" i="28"/>
  <c r="AZ104" i="28"/>
  <c r="AS104" i="28"/>
  <c r="AL104" i="28"/>
  <c r="AE104" i="28"/>
  <c r="X104" i="28"/>
  <c r="Q104" i="28"/>
  <c r="J104" i="28"/>
  <c r="AZ103" i="28"/>
  <c r="AS103" i="28"/>
  <c r="AL103" i="28"/>
  <c r="AE103" i="28"/>
  <c r="X103" i="28"/>
  <c r="Q103" i="28"/>
  <c r="J103" i="28"/>
  <c r="AZ102" i="28"/>
  <c r="AS102" i="28"/>
  <c r="AL102" i="28"/>
  <c r="AE102" i="28"/>
  <c r="X102" i="28"/>
  <c r="Q102" i="28"/>
  <c r="J102" i="28"/>
  <c r="AZ101" i="28"/>
  <c r="AS101" i="28"/>
  <c r="AL101" i="28"/>
  <c r="AE101" i="28"/>
  <c r="X101" i="28"/>
  <c r="Q101" i="28"/>
  <c r="J101" i="28"/>
  <c r="AZ100" i="28"/>
  <c r="AS100" i="28"/>
  <c r="AL100" i="28"/>
  <c r="AE100" i="28"/>
  <c r="X100" i="28"/>
  <c r="Q100" i="28"/>
  <c r="J100" i="28"/>
  <c r="AZ99" i="28"/>
  <c r="AS99" i="28"/>
  <c r="AL99" i="28"/>
  <c r="AE99" i="28"/>
  <c r="X99" i="28"/>
  <c r="Q99" i="28"/>
  <c r="J99" i="28"/>
  <c r="AZ98" i="28"/>
  <c r="AS98" i="28"/>
  <c r="AL98" i="28"/>
  <c r="AE98" i="28"/>
  <c r="X98" i="28"/>
  <c r="Q98" i="28"/>
  <c r="J98" i="28"/>
  <c r="AZ97" i="28"/>
  <c r="AS97" i="28"/>
  <c r="AL97" i="28"/>
  <c r="AE97" i="28"/>
  <c r="X97" i="28"/>
  <c r="Q97" i="28"/>
  <c r="J97" i="28"/>
  <c r="AZ96" i="28"/>
  <c r="AS96" i="28"/>
  <c r="AL96" i="28"/>
  <c r="AE96" i="28"/>
  <c r="X96" i="28"/>
  <c r="Q96" i="28"/>
  <c r="J96" i="28"/>
  <c r="AZ95" i="28"/>
  <c r="AS95" i="28"/>
  <c r="AL95" i="28"/>
  <c r="AE95" i="28"/>
  <c r="X95" i="28"/>
  <c r="Q95" i="28"/>
  <c r="J95" i="28"/>
  <c r="AZ94" i="28"/>
  <c r="AS94" i="28"/>
  <c r="AL94" i="28"/>
  <c r="AE94" i="28"/>
  <c r="X94" i="28"/>
  <c r="Q94" i="28"/>
  <c r="J94" i="28"/>
  <c r="AZ93" i="28"/>
  <c r="AS93" i="28"/>
  <c r="AL93" i="28"/>
  <c r="AE93" i="28"/>
  <c r="X93" i="28"/>
  <c r="Q93" i="28"/>
  <c r="J93" i="28"/>
  <c r="AZ92" i="28"/>
  <c r="AS92" i="28"/>
  <c r="AL92" i="28"/>
  <c r="AE92" i="28"/>
  <c r="X92" i="28"/>
  <c r="Q92" i="28"/>
  <c r="J92" i="28"/>
  <c r="AZ91" i="28"/>
  <c r="AS91" i="28"/>
  <c r="AL91" i="28"/>
  <c r="AE91" i="28"/>
  <c r="X91" i="28"/>
  <c r="Q91" i="28"/>
  <c r="J91" i="28"/>
  <c r="AZ90" i="28"/>
  <c r="AS90" i="28"/>
  <c r="AL90" i="28"/>
  <c r="AE90" i="28"/>
  <c r="X90" i="28"/>
  <c r="Q90" i="28"/>
  <c r="J90" i="28"/>
  <c r="AZ89" i="28"/>
  <c r="AS89" i="28"/>
  <c r="AL89" i="28"/>
  <c r="AE89" i="28"/>
  <c r="X89" i="28"/>
  <c r="Q89" i="28"/>
  <c r="J89" i="28"/>
  <c r="AZ88" i="28"/>
  <c r="AS88" i="28"/>
  <c r="AL88" i="28"/>
  <c r="AE88" i="28"/>
  <c r="X88" i="28"/>
  <c r="Q88" i="28"/>
  <c r="J88" i="28"/>
  <c r="AZ87" i="28"/>
  <c r="AS87" i="28"/>
  <c r="AL87" i="28"/>
  <c r="AE87" i="28"/>
  <c r="X87" i="28"/>
  <c r="Q87" i="28"/>
  <c r="J87" i="28"/>
  <c r="AZ86" i="28"/>
  <c r="AS86" i="28"/>
  <c r="AL86" i="28"/>
  <c r="AE86" i="28"/>
  <c r="X86" i="28"/>
  <c r="Q86" i="28"/>
  <c r="J86" i="28"/>
  <c r="AZ85" i="28"/>
  <c r="AS85" i="28"/>
  <c r="AL85" i="28"/>
  <c r="AE85" i="28"/>
  <c r="X85" i="28"/>
  <c r="Q85" i="28"/>
  <c r="J85" i="28"/>
  <c r="AZ84" i="28"/>
  <c r="AS84" i="28"/>
  <c r="AL84" i="28"/>
  <c r="AE84" i="28"/>
  <c r="X84" i="28"/>
  <c r="Q84" i="28"/>
  <c r="J84" i="28"/>
  <c r="AZ83" i="28"/>
  <c r="AS83" i="28"/>
  <c r="AL83" i="28"/>
  <c r="AE83" i="28"/>
  <c r="X83" i="28"/>
  <c r="Q83" i="28"/>
  <c r="J83" i="28"/>
  <c r="AZ82" i="28"/>
  <c r="AS82" i="28"/>
  <c r="AL82" i="28"/>
  <c r="AE82" i="28"/>
  <c r="X82" i="28"/>
  <c r="Q82" i="28"/>
  <c r="J82" i="28"/>
  <c r="AZ81" i="28"/>
  <c r="AS81" i="28"/>
  <c r="AL81" i="28"/>
  <c r="AE81" i="28"/>
  <c r="X81" i="28"/>
  <c r="Q81" i="28"/>
  <c r="J81" i="28"/>
  <c r="AZ80" i="28"/>
  <c r="AS80" i="28"/>
  <c r="AL80" i="28"/>
  <c r="AE80" i="28"/>
  <c r="X80" i="28"/>
  <c r="Q80" i="28"/>
  <c r="J80" i="28"/>
  <c r="AZ79" i="28"/>
  <c r="AS79" i="28"/>
  <c r="AL79" i="28"/>
  <c r="AE79" i="28"/>
  <c r="X79" i="28"/>
  <c r="Q79" i="28"/>
  <c r="J79" i="28"/>
  <c r="AZ78" i="28"/>
  <c r="AS78" i="28"/>
  <c r="AL78" i="28"/>
  <c r="AE78" i="28"/>
  <c r="X78" i="28"/>
  <c r="Q78" i="28"/>
  <c r="J78" i="28"/>
  <c r="AZ77" i="28"/>
  <c r="AS77" i="28"/>
  <c r="AL77" i="28"/>
  <c r="AE77" i="28"/>
  <c r="X77" i="28"/>
  <c r="Q77" i="28"/>
  <c r="J77" i="28"/>
  <c r="AZ76" i="28"/>
  <c r="AS76" i="28"/>
  <c r="AL76" i="28"/>
  <c r="AE76" i="28"/>
  <c r="X76" i="28"/>
  <c r="Q76" i="28"/>
  <c r="J76" i="28"/>
  <c r="AZ75" i="28"/>
  <c r="AS75" i="28"/>
  <c r="AL75" i="28"/>
  <c r="AE75" i="28"/>
  <c r="X75" i="28"/>
  <c r="Q75" i="28"/>
  <c r="J75" i="28"/>
  <c r="AZ74" i="28"/>
  <c r="AS74" i="28"/>
  <c r="AL74" i="28"/>
  <c r="AE74" i="28"/>
  <c r="X74" i="28"/>
  <c r="Q74" i="28"/>
  <c r="J74" i="28"/>
  <c r="AZ73" i="28"/>
  <c r="AS73" i="28"/>
  <c r="AL73" i="28"/>
  <c r="AE73" i="28"/>
  <c r="X73" i="28"/>
  <c r="Q73" i="28"/>
  <c r="J73" i="28"/>
  <c r="AZ72" i="28"/>
  <c r="AS72" i="28"/>
  <c r="AL72" i="28"/>
  <c r="AE72" i="28"/>
  <c r="X72" i="28"/>
  <c r="Q72" i="28"/>
  <c r="J72" i="28"/>
  <c r="AZ71" i="28"/>
  <c r="AS71" i="28"/>
  <c r="AL71" i="28"/>
  <c r="AE71" i="28"/>
  <c r="X71" i="28"/>
  <c r="Q71" i="28"/>
  <c r="J71" i="28"/>
  <c r="AZ70" i="28"/>
  <c r="AS70" i="28"/>
  <c r="AL70" i="28"/>
  <c r="AE70" i="28"/>
  <c r="X70" i="28"/>
  <c r="J70" i="28"/>
  <c r="AZ69" i="28"/>
  <c r="AS69" i="28"/>
  <c r="AL69" i="28"/>
  <c r="AE69" i="28"/>
  <c r="X69" i="28"/>
  <c r="J69" i="28"/>
  <c r="AZ68" i="28"/>
  <c r="AS68" i="28"/>
  <c r="AL68" i="28"/>
  <c r="AE68" i="28"/>
  <c r="X68" i="28"/>
  <c r="J68" i="28"/>
  <c r="AZ67" i="28"/>
  <c r="AS67" i="28"/>
  <c r="AL67" i="28"/>
  <c r="AE67" i="28"/>
  <c r="X67" i="28"/>
  <c r="J67" i="28"/>
  <c r="AZ66" i="28"/>
  <c r="AS66" i="28"/>
  <c r="AL66" i="28"/>
  <c r="AE66" i="28"/>
  <c r="X66" i="28"/>
  <c r="Q66" i="28"/>
  <c r="J66" i="28"/>
  <c r="AZ65" i="28"/>
  <c r="AS65" i="28"/>
  <c r="AL65" i="28"/>
  <c r="AE65" i="28"/>
  <c r="X65" i="28"/>
  <c r="J65" i="28"/>
  <c r="AZ64" i="28"/>
  <c r="AS64" i="28"/>
  <c r="AL64" i="28"/>
  <c r="AE64" i="28"/>
  <c r="X64" i="28"/>
  <c r="J64" i="28"/>
  <c r="AZ63" i="28"/>
  <c r="AS63" i="28"/>
  <c r="AL63" i="28"/>
  <c r="AE63" i="28"/>
  <c r="X63" i="28"/>
  <c r="J63" i="28"/>
  <c r="AZ62" i="28"/>
  <c r="AS62" i="28"/>
  <c r="AL62" i="28"/>
  <c r="AE62" i="28"/>
  <c r="X62" i="28"/>
  <c r="J62" i="28"/>
  <c r="AZ61" i="28"/>
  <c r="AS61" i="28"/>
  <c r="AL61" i="28"/>
  <c r="AE61" i="28"/>
  <c r="X61" i="28"/>
  <c r="J61" i="28"/>
  <c r="AZ60" i="28"/>
  <c r="AS60" i="28"/>
  <c r="AL60" i="28"/>
  <c r="AE60" i="28"/>
  <c r="X60" i="28"/>
  <c r="J60" i="28"/>
  <c r="AZ59" i="28"/>
  <c r="AS59" i="28"/>
  <c r="AL59" i="28"/>
  <c r="AE59" i="28"/>
  <c r="X59" i="28"/>
  <c r="J59" i="28"/>
  <c r="AZ58" i="28"/>
  <c r="AS58" i="28"/>
  <c r="AL58" i="28"/>
  <c r="AE58" i="28"/>
  <c r="X58" i="28"/>
  <c r="J58" i="28"/>
  <c r="AZ57" i="28"/>
  <c r="AS57" i="28"/>
  <c r="AL57" i="28"/>
  <c r="AE57" i="28"/>
  <c r="X57" i="28"/>
  <c r="J57" i="28"/>
  <c r="J56" i="28"/>
  <c r="J55" i="28"/>
  <c r="J54" i="28"/>
  <c r="J53" i="28"/>
  <c r="J52" i="28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N26" i="3"/>
  <c r="AW33" i="3"/>
  <c r="AV33" i="3"/>
  <c r="AU33" i="3"/>
  <c r="AW32" i="3"/>
  <c r="AV32" i="3"/>
  <c r="AU32" i="3"/>
  <c r="AM36" i="3"/>
  <c r="AM35" i="3"/>
  <c r="AM34" i="3"/>
  <c r="AM33" i="3"/>
  <c r="AM32" i="3"/>
  <c r="AM31" i="3"/>
  <c r="B33" i="3"/>
  <c r="B32" i="3"/>
  <c r="B31" i="3"/>
  <c r="J105" i="31"/>
  <c r="J104" i="31"/>
  <c r="J103" i="31"/>
  <c r="Q8" i="31"/>
  <c r="X8" i="31"/>
  <c r="AE8" i="31"/>
  <c r="AL8" i="31"/>
  <c r="AS8" i="31"/>
  <c r="AZ8" i="31"/>
  <c r="AW31" i="3"/>
  <c r="AV31" i="3"/>
  <c r="AU31" i="3"/>
  <c r="AL31" i="3"/>
  <c r="AW34" i="3"/>
  <c r="AV34" i="3"/>
  <c r="AU34" i="3"/>
  <c r="AL34" i="3"/>
  <c r="AL33" i="3"/>
  <c r="AL32" i="3"/>
  <c r="F31" i="3"/>
  <c r="F32" i="3"/>
  <c r="AN33" i="3" l="1"/>
  <c r="AN34" i="3"/>
  <c r="AN32" i="3"/>
  <c r="AN31" i="3"/>
  <c r="Q46" i="31"/>
  <c r="Q45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Q47" i="31"/>
  <c r="Q44" i="31"/>
  <c r="Q43" i="31"/>
  <c r="Q42" i="31"/>
  <c r="Q41" i="31"/>
  <c r="Q40" i="31"/>
  <c r="Q39" i="31"/>
  <c r="Q38" i="31"/>
  <c r="Q37" i="31"/>
  <c r="Q36" i="31"/>
  <c r="Q35" i="31"/>
  <c r="Q34" i="31"/>
  <c r="Q33" i="31"/>
  <c r="Q32" i="31"/>
  <c r="Q31" i="31"/>
  <c r="Q30" i="31"/>
  <c r="Q29" i="31"/>
  <c r="Q28" i="31"/>
  <c r="Q27" i="31"/>
  <c r="Q26" i="31"/>
  <c r="Q25" i="31"/>
  <c r="Q24" i="31"/>
  <c r="Q23" i="31"/>
  <c r="Q22" i="31"/>
  <c r="Q21" i="31"/>
  <c r="Q20" i="31"/>
  <c r="Q19" i="31"/>
  <c r="Q18" i="31"/>
  <c r="Q17" i="31"/>
  <c r="Q16" i="31"/>
  <c r="Q15" i="31"/>
  <c r="Q14" i="31"/>
  <c r="Q13" i="31"/>
  <c r="Q12" i="31"/>
  <c r="Q11" i="31"/>
  <c r="Q10" i="31"/>
  <c r="Q9" i="31"/>
  <c r="J8" i="31"/>
  <c r="AK26" i="3" l="1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M26" i="3"/>
  <c r="L26" i="3"/>
  <c r="K26" i="3"/>
  <c r="J26" i="3"/>
  <c r="I26" i="3"/>
  <c r="H26" i="3"/>
  <c r="G26" i="3"/>
  <c r="CV46" i="30" l="1"/>
  <c r="CS46" i="30"/>
  <c r="CP46" i="30"/>
  <c r="CM46" i="30"/>
  <c r="P46" i="30"/>
  <c r="J46" i="30"/>
  <c r="G46" i="30"/>
  <c r="F46" i="30"/>
  <c r="CV45" i="30"/>
  <c r="CS45" i="30"/>
  <c r="CP45" i="30"/>
  <c r="CM45" i="30"/>
  <c r="P45" i="30"/>
  <c r="J45" i="30"/>
  <c r="G45" i="30"/>
  <c r="F45" i="30"/>
  <c r="CV44" i="30"/>
  <c r="CS44" i="30"/>
  <c r="CP44" i="30"/>
  <c r="CM44" i="30"/>
  <c r="P44" i="30"/>
  <c r="J44" i="30"/>
  <c r="G44" i="30"/>
  <c r="F44" i="30"/>
  <c r="CV43" i="30"/>
  <c r="CS43" i="30"/>
  <c r="CP43" i="30"/>
  <c r="CM43" i="30"/>
  <c r="P43" i="30"/>
  <c r="J43" i="30"/>
  <c r="G43" i="30"/>
  <c r="F43" i="30"/>
  <c r="CV42" i="30"/>
  <c r="CS42" i="30"/>
  <c r="CP42" i="30"/>
  <c r="CM42" i="30"/>
  <c r="P42" i="30"/>
  <c r="J42" i="30"/>
  <c r="G42" i="30"/>
  <c r="F42" i="30"/>
  <c r="CV41" i="30"/>
  <c r="CS41" i="30"/>
  <c r="CP41" i="30"/>
  <c r="CM41" i="30"/>
  <c r="P41" i="30"/>
  <c r="J41" i="30"/>
  <c r="G41" i="30"/>
  <c r="F41" i="30"/>
  <c r="AZ122" i="31" l="1"/>
  <c r="AS122" i="31"/>
  <c r="AL122" i="31"/>
  <c r="AE122" i="31"/>
  <c r="X122" i="31"/>
  <c r="Q122" i="31"/>
  <c r="J122" i="31"/>
  <c r="AZ121" i="31"/>
  <c r="AS121" i="31"/>
  <c r="AL121" i="31"/>
  <c r="AE121" i="31"/>
  <c r="X121" i="31"/>
  <c r="Q121" i="31"/>
  <c r="J121" i="31"/>
  <c r="AZ120" i="31"/>
  <c r="AS120" i="31"/>
  <c r="AL120" i="31"/>
  <c r="AE120" i="31"/>
  <c r="X120" i="31"/>
  <c r="Q120" i="31"/>
  <c r="J120" i="31"/>
  <c r="AZ119" i="31"/>
  <c r="AS119" i="31"/>
  <c r="AL119" i="31"/>
  <c r="AE119" i="31"/>
  <c r="X119" i="31"/>
  <c r="Q119" i="31"/>
  <c r="J119" i="31"/>
  <c r="AZ118" i="31"/>
  <c r="AS118" i="31"/>
  <c r="AL118" i="31"/>
  <c r="AE118" i="31"/>
  <c r="X118" i="31"/>
  <c r="Q118" i="31"/>
  <c r="J118" i="31"/>
  <c r="AZ117" i="31"/>
  <c r="AS117" i="31"/>
  <c r="AL117" i="31"/>
  <c r="AE117" i="31"/>
  <c r="X117" i="31"/>
  <c r="Q117" i="31"/>
  <c r="J117" i="31"/>
  <c r="AZ116" i="31"/>
  <c r="AS116" i="31"/>
  <c r="AL116" i="31"/>
  <c r="AE116" i="31"/>
  <c r="X116" i="31"/>
  <c r="Q116" i="31"/>
  <c r="J116" i="31"/>
  <c r="AZ115" i="31"/>
  <c r="AS115" i="31"/>
  <c r="AL115" i="31"/>
  <c r="AE115" i="31"/>
  <c r="X115" i="31"/>
  <c r="Q115" i="31"/>
  <c r="J115" i="31"/>
  <c r="AZ114" i="31"/>
  <c r="AS114" i="31"/>
  <c r="AL114" i="31"/>
  <c r="AE114" i="31"/>
  <c r="X114" i="31"/>
  <c r="Q114" i="31"/>
  <c r="J114" i="31"/>
  <c r="AZ113" i="31"/>
  <c r="AS113" i="31"/>
  <c r="AL113" i="31"/>
  <c r="AE113" i="31"/>
  <c r="X113" i="31"/>
  <c r="Q113" i="31"/>
  <c r="J113" i="31"/>
  <c r="AZ112" i="31"/>
  <c r="AS112" i="31"/>
  <c r="AL112" i="31"/>
  <c r="AE112" i="31"/>
  <c r="X112" i="31"/>
  <c r="Q112" i="31"/>
  <c r="J112" i="31"/>
  <c r="AZ111" i="31"/>
  <c r="AS111" i="31"/>
  <c r="AL111" i="31"/>
  <c r="AE111" i="31"/>
  <c r="X111" i="31"/>
  <c r="Q111" i="31"/>
  <c r="J111" i="31"/>
  <c r="AZ110" i="31"/>
  <c r="AS110" i="31"/>
  <c r="AL110" i="31"/>
  <c r="AE110" i="31"/>
  <c r="X110" i="31"/>
  <c r="Q110" i="31"/>
  <c r="J110" i="31"/>
  <c r="AZ109" i="31"/>
  <c r="AS109" i="31"/>
  <c r="AL109" i="31"/>
  <c r="AE109" i="31"/>
  <c r="X109" i="31"/>
  <c r="Q109" i="31"/>
  <c r="J109" i="31"/>
  <c r="AZ108" i="31"/>
  <c r="AS108" i="31"/>
  <c r="AL108" i="31"/>
  <c r="AE108" i="31"/>
  <c r="X108" i="31"/>
  <c r="Q108" i="31"/>
  <c r="J108" i="31"/>
  <c r="AZ107" i="31"/>
  <c r="AS107" i="31"/>
  <c r="AL107" i="31"/>
  <c r="AE107" i="31"/>
  <c r="X107" i="31"/>
  <c r="Q107" i="31"/>
  <c r="J107" i="31"/>
  <c r="AZ106" i="31"/>
  <c r="AS106" i="31"/>
  <c r="AL106" i="31"/>
  <c r="AE106" i="31"/>
  <c r="X106" i="31"/>
  <c r="Q106" i="31"/>
  <c r="J106" i="31"/>
  <c r="AZ105" i="31"/>
  <c r="AS105" i="31"/>
  <c r="AL105" i="31"/>
  <c r="AE105" i="31"/>
  <c r="X105" i="31"/>
  <c r="Q105" i="31"/>
  <c r="AZ104" i="31"/>
  <c r="AS104" i="31"/>
  <c r="AL104" i="31"/>
  <c r="AE104" i="31"/>
  <c r="X104" i="31"/>
  <c r="Q104" i="31"/>
  <c r="AZ103" i="31"/>
  <c r="AS103" i="31"/>
  <c r="AL103" i="31"/>
  <c r="AE103" i="31"/>
  <c r="X103" i="31"/>
  <c r="Q103" i="31"/>
  <c r="AZ102" i="31"/>
  <c r="AS102" i="31"/>
  <c r="AL102" i="31"/>
  <c r="AE102" i="31"/>
  <c r="X102" i="31"/>
  <c r="Q102" i="31"/>
  <c r="AZ101" i="31"/>
  <c r="AS101" i="31"/>
  <c r="AL101" i="31"/>
  <c r="AE101" i="31"/>
  <c r="X101" i="31"/>
  <c r="Q101" i="31"/>
  <c r="AZ100" i="31"/>
  <c r="AS100" i="31"/>
  <c r="AL100" i="31"/>
  <c r="AE100" i="31"/>
  <c r="X100" i="31"/>
  <c r="Q100" i="31"/>
  <c r="AZ99" i="31"/>
  <c r="AS99" i="31"/>
  <c r="AL99" i="31"/>
  <c r="AE99" i="31"/>
  <c r="X99" i="31"/>
  <c r="Q99" i="31"/>
  <c r="AZ98" i="31"/>
  <c r="AS98" i="31"/>
  <c r="AL98" i="31"/>
  <c r="AE98" i="31"/>
  <c r="X98" i="31"/>
  <c r="Q98" i="31"/>
  <c r="AZ97" i="31"/>
  <c r="AS97" i="31"/>
  <c r="AL97" i="31"/>
  <c r="AE97" i="31"/>
  <c r="X97" i="31"/>
  <c r="Q97" i="31"/>
  <c r="AZ96" i="31"/>
  <c r="AS96" i="31"/>
  <c r="AL96" i="31"/>
  <c r="AE96" i="31"/>
  <c r="X96" i="31"/>
  <c r="Q96" i="31"/>
  <c r="AZ95" i="31"/>
  <c r="AS95" i="31"/>
  <c r="AL95" i="31"/>
  <c r="AE95" i="31"/>
  <c r="X95" i="31"/>
  <c r="Q95" i="31"/>
  <c r="AZ94" i="31"/>
  <c r="AS94" i="31"/>
  <c r="AL94" i="31"/>
  <c r="AE94" i="31"/>
  <c r="X94" i="31"/>
  <c r="Q94" i="31"/>
  <c r="AZ93" i="31"/>
  <c r="AS93" i="31"/>
  <c r="AL93" i="31"/>
  <c r="AE93" i="31"/>
  <c r="X93" i="31"/>
  <c r="Q93" i="31"/>
  <c r="AZ92" i="31"/>
  <c r="AS92" i="31"/>
  <c r="AL92" i="31"/>
  <c r="AE92" i="31"/>
  <c r="X92" i="31"/>
  <c r="Q92" i="31"/>
  <c r="AZ91" i="31"/>
  <c r="AS91" i="31"/>
  <c r="AL91" i="31"/>
  <c r="AE91" i="31"/>
  <c r="X91" i="31"/>
  <c r="Q91" i="31"/>
  <c r="AZ90" i="31"/>
  <c r="AS90" i="31"/>
  <c r="AL90" i="31"/>
  <c r="AE90" i="31"/>
  <c r="X90" i="31"/>
  <c r="Q90" i="31"/>
  <c r="AZ89" i="31"/>
  <c r="AS89" i="31"/>
  <c r="AL89" i="31"/>
  <c r="AE89" i="31"/>
  <c r="X89" i="31"/>
  <c r="Q89" i="31"/>
  <c r="AZ88" i="31"/>
  <c r="AS88" i="31"/>
  <c r="AL88" i="31"/>
  <c r="AE88" i="31"/>
  <c r="X88" i="31"/>
  <c r="Q88" i="31"/>
  <c r="AZ87" i="31"/>
  <c r="AS87" i="31"/>
  <c r="AL87" i="31"/>
  <c r="AE87" i="31"/>
  <c r="X87" i="31"/>
  <c r="Q87" i="31"/>
  <c r="AZ86" i="31"/>
  <c r="AS86" i="31"/>
  <c r="AL86" i="31"/>
  <c r="AE86" i="31"/>
  <c r="X86" i="31"/>
  <c r="Q86" i="31"/>
  <c r="AZ85" i="31"/>
  <c r="AS85" i="31"/>
  <c r="AL85" i="31"/>
  <c r="AE85" i="31"/>
  <c r="X85" i="31"/>
  <c r="Q85" i="31"/>
  <c r="AZ84" i="31"/>
  <c r="AS84" i="31"/>
  <c r="AL84" i="31"/>
  <c r="AE84" i="31"/>
  <c r="X84" i="31"/>
  <c r="Q84" i="31"/>
  <c r="AZ83" i="31"/>
  <c r="AS83" i="31"/>
  <c r="AL83" i="31"/>
  <c r="AE83" i="31"/>
  <c r="X83" i="31"/>
  <c r="Q83" i="31"/>
  <c r="AZ82" i="31"/>
  <c r="AS82" i="31"/>
  <c r="AL82" i="31"/>
  <c r="AE82" i="31"/>
  <c r="X82" i="31"/>
  <c r="Q82" i="31"/>
  <c r="AZ81" i="31"/>
  <c r="AS81" i="31"/>
  <c r="AL81" i="31"/>
  <c r="AE81" i="31"/>
  <c r="X81" i="31"/>
  <c r="Q81" i="31"/>
  <c r="AZ80" i="31"/>
  <c r="AS80" i="31"/>
  <c r="AL80" i="31"/>
  <c r="AE80" i="31"/>
  <c r="X80" i="31"/>
  <c r="Q80" i="31"/>
  <c r="AZ79" i="31"/>
  <c r="AS79" i="31"/>
  <c r="AL79" i="31"/>
  <c r="AE79" i="31"/>
  <c r="X79" i="31"/>
  <c r="Q79" i="31"/>
  <c r="AZ78" i="31"/>
  <c r="AS78" i="31"/>
  <c r="AL78" i="31"/>
  <c r="AE78" i="31"/>
  <c r="X78" i="31"/>
  <c r="Q78" i="31"/>
  <c r="AZ77" i="31"/>
  <c r="AS77" i="31"/>
  <c r="AL77" i="31"/>
  <c r="AE77" i="31"/>
  <c r="X77" i="31"/>
  <c r="Q77" i="31"/>
  <c r="AZ76" i="31"/>
  <c r="AS76" i="31"/>
  <c r="AL76" i="31"/>
  <c r="AE76" i="31"/>
  <c r="X76" i="31"/>
  <c r="Q76" i="31"/>
  <c r="AZ75" i="31"/>
  <c r="AS75" i="31"/>
  <c r="AL75" i="31"/>
  <c r="AE75" i="31"/>
  <c r="X75" i="31"/>
  <c r="Q75" i="31"/>
  <c r="AZ74" i="31"/>
  <c r="AS74" i="31"/>
  <c r="AL74" i="31"/>
  <c r="AE74" i="31"/>
  <c r="X74" i="31"/>
  <c r="Q74" i="31"/>
  <c r="AZ73" i="31"/>
  <c r="AS73" i="31"/>
  <c r="AL73" i="31"/>
  <c r="AE73" i="31"/>
  <c r="X73" i="31"/>
  <c r="Q73" i="31"/>
  <c r="AZ72" i="31"/>
  <c r="AS72" i="31"/>
  <c r="AL72" i="31"/>
  <c r="AE72" i="31"/>
  <c r="X72" i="31"/>
  <c r="Q72" i="31"/>
  <c r="AZ71" i="31"/>
  <c r="AS71" i="31"/>
  <c r="AL71" i="31"/>
  <c r="AE71" i="31"/>
  <c r="X71" i="31"/>
  <c r="Q71" i="31"/>
  <c r="AZ70" i="31"/>
  <c r="AS70" i="31"/>
  <c r="AL70" i="31"/>
  <c r="AE70" i="31"/>
  <c r="X70" i="31"/>
  <c r="Q70" i="31"/>
  <c r="AZ69" i="31"/>
  <c r="AS69" i="31"/>
  <c r="AL69" i="31"/>
  <c r="AE69" i="31"/>
  <c r="X69" i="31"/>
  <c r="Q69" i="31"/>
  <c r="AZ68" i="31"/>
  <c r="AS68" i="31"/>
  <c r="AL68" i="31"/>
  <c r="AE68" i="31"/>
  <c r="X68" i="31"/>
  <c r="Q68" i="31"/>
  <c r="AZ67" i="31"/>
  <c r="AS67" i="31"/>
  <c r="AL67" i="31"/>
  <c r="AE67" i="31"/>
  <c r="X67" i="31"/>
  <c r="Q67" i="31"/>
  <c r="AZ66" i="31"/>
  <c r="AS66" i="31"/>
  <c r="AL66" i="31"/>
  <c r="AE66" i="31"/>
  <c r="X66" i="31"/>
  <c r="Q66" i="31"/>
  <c r="AZ65" i="31"/>
  <c r="AS65" i="31"/>
  <c r="AL65" i="31"/>
  <c r="AE65" i="31"/>
  <c r="X65" i="31"/>
  <c r="Q65" i="31"/>
  <c r="AZ64" i="31"/>
  <c r="AS64" i="31"/>
  <c r="AL64" i="31"/>
  <c r="AE64" i="31"/>
  <c r="X64" i="31"/>
  <c r="Q64" i="31"/>
  <c r="AZ63" i="31"/>
  <c r="AS63" i="31"/>
  <c r="AL63" i="31"/>
  <c r="AE63" i="31"/>
  <c r="X63" i="31"/>
  <c r="Q63" i="31"/>
  <c r="AZ62" i="31"/>
  <c r="AS62" i="31"/>
  <c r="AL62" i="31"/>
  <c r="AE62" i="31"/>
  <c r="X62" i="31"/>
  <c r="Q62" i="31"/>
  <c r="AZ61" i="31"/>
  <c r="AS61" i="31"/>
  <c r="AL61" i="31"/>
  <c r="AE61" i="31"/>
  <c r="X61" i="31"/>
  <c r="Q61" i="31"/>
  <c r="AZ60" i="31"/>
  <c r="AS60" i="31"/>
  <c r="AL60" i="31"/>
  <c r="AE60" i="31"/>
  <c r="X60" i="31"/>
  <c r="Q60" i="31"/>
  <c r="AZ59" i="31"/>
  <c r="AS59" i="31"/>
  <c r="AL59" i="31"/>
  <c r="AE59" i="31"/>
  <c r="X59" i="31"/>
  <c r="Q59" i="31"/>
  <c r="AZ58" i="31"/>
  <c r="AS58" i="31"/>
  <c r="AL58" i="31"/>
  <c r="AE58" i="31"/>
  <c r="X58" i="31"/>
  <c r="Q58" i="31"/>
  <c r="AZ57" i="31"/>
  <c r="AS57" i="31"/>
  <c r="AL57" i="31"/>
  <c r="AE57" i="31"/>
  <c r="X57" i="31"/>
  <c r="Q57" i="31"/>
  <c r="AZ56" i="31"/>
  <c r="AS56" i="31"/>
  <c r="AL56" i="31"/>
  <c r="AE56" i="31"/>
  <c r="X56" i="31"/>
  <c r="Q56" i="31"/>
  <c r="AZ55" i="31"/>
  <c r="AS55" i="31"/>
  <c r="AL55" i="31"/>
  <c r="AE55" i="31"/>
  <c r="X55" i="31"/>
  <c r="Q55" i="31"/>
  <c r="AZ54" i="31"/>
  <c r="AS54" i="31"/>
  <c r="AL54" i="31"/>
  <c r="AE54" i="31"/>
  <c r="X54" i="31"/>
  <c r="Q54" i="31"/>
  <c r="AZ53" i="31"/>
  <c r="AS53" i="31"/>
  <c r="AL53" i="31"/>
  <c r="AE53" i="31"/>
  <c r="X53" i="31"/>
  <c r="Q53" i="31"/>
  <c r="AZ52" i="31"/>
  <c r="AS52" i="31"/>
  <c r="AL52" i="31"/>
  <c r="AE52" i="31"/>
  <c r="X52" i="31"/>
  <c r="Q52" i="31"/>
  <c r="AZ51" i="31"/>
  <c r="AS51" i="31"/>
  <c r="AL51" i="31"/>
  <c r="AE51" i="31"/>
  <c r="X51" i="31"/>
  <c r="Q51" i="31"/>
  <c r="AZ50" i="31"/>
  <c r="AS50" i="31"/>
  <c r="AL50" i="31"/>
  <c r="AE50" i="31"/>
  <c r="X50" i="31"/>
  <c r="Q50" i="31"/>
  <c r="AZ49" i="31"/>
  <c r="AS49" i="31"/>
  <c r="AL49" i="31"/>
  <c r="AE49" i="31"/>
  <c r="X49" i="31"/>
  <c r="Q49" i="31"/>
  <c r="AZ48" i="31"/>
  <c r="AS48" i="31"/>
  <c r="AL48" i="31"/>
  <c r="AE48" i="31"/>
  <c r="X48" i="31"/>
  <c r="Q48" i="31"/>
  <c r="AZ47" i="31"/>
  <c r="AS47" i="31"/>
  <c r="AL47" i="31"/>
  <c r="AE47" i="31"/>
  <c r="X47" i="31"/>
  <c r="AZ46" i="31"/>
  <c r="AS46" i="31"/>
  <c r="AL46" i="31"/>
  <c r="AE46" i="31"/>
  <c r="X46" i="31"/>
  <c r="AZ45" i="31"/>
  <c r="AS45" i="31"/>
  <c r="AL45" i="31"/>
  <c r="AE45" i="31"/>
  <c r="X45" i="31"/>
  <c r="AZ44" i="31"/>
  <c r="AS44" i="31"/>
  <c r="AL44" i="31"/>
  <c r="AE44" i="31"/>
  <c r="X44" i="31"/>
  <c r="AZ43" i="31"/>
  <c r="AS43" i="31"/>
  <c r="AL43" i="31"/>
  <c r="AE43" i="31"/>
  <c r="X43" i="31"/>
  <c r="AZ42" i="31"/>
  <c r="AS42" i="31"/>
  <c r="AL42" i="31"/>
  <c r="AE42" i="31"/>
  <c r="X42" i="31"/>
  <c r="AZ41" i="31"/>
  <c r="AS41" i="31"/>
  <c r="AL41" i="31"/>
  <c r="AE41" i="31"/>
  <c r="X41" i="31"/>
  <c r="AZ40" i="31"/>
  <c r="AS40" i="31"/>
  <c r="AL40" i="31"/>
  <c r="AE40" i="31"/>
  <c r="X40" i="31"/>
  <c r="AZ39" i="31"/>
  <c r="AS39" i="31"/>
  <c r="AL39" i="31"/>
  <c r="AE39" i="31"/>
  <c r="X39" i="31"/>
  <c r="AZ38" i="31"/>
  <c r="AS38" i="31"/>
  <c r="AL38" i="31"/>
  <c r="AE38" i="31"/>
  <c r="X38" i="31"/>
  <c r="AZ37" i="31"/>
  <c r="AS37" i="31"/>
  <c r="AL37" i="31"/>
  <c r="AE37" i="31"/>
  <c r="X37" i="31"/>
  <c r="AZ36" i="31"/>
  <c r="AS36" i="31"/>
  <c r="AL36" i="31"/>
  <c r="AE36" i="31"/>
  <c r="X36" i="31"/>
  <c r="AZ35" i="31"/>
  <c r="AS35" i="31"/>
  <c r="AL35" i="31"/>
  <c r="AE35" i="31"/>
  <c r="X35" i="31"/>
  <c r="AZ34" i="31"/>
  <c r="AS34" i="31"/>
  <c r="AL34" i="31"/>
  <c r="AE34" i="31"/>
  <c r="X34" i="31"/>
  <c r="AZ33" i="31"/>
  <c r="AS33" i="31"/>
  <c r="AL33" i="31"/>
  <c r="AE33" i="31"/>
  <c r="X33" i="31"/>
  <c r="AZ32" i="31"/>
  <c r="AS32" i="31"/>
  <c r="AL32" i="31"/>
  <c r="AE32" i="31"/>
  <c r="X32" i="31"/>
  <c r="AZ31" i="31"/>
  <c r="AS31" i="31"/>
  <c r="AL31" i="31"/>
  <c r="AE31" i="31"/>
  <c r="X31" i="31"/>
  <c r="AZ30" i="31"/>
  <c r="AS30" i="31"/>
  <c r="AL30" i="31"/>
  <c r="AE30" i="31"/>
  <c r="X30" i="31"/>
  <c r="AZ29" i="31"/>
  <c r="AS29" i="31"/>
  <c r="AL29" i="31"/>
  <c r="AE29" i="31"/>
  <c r="X29" i="31"/>
  <c r="AZ28" i="31"/>
  <c r="AS28" i="31"/>
  <c r="AL28" i="31"/>
  <c r="AE28" i="31"/>
  <c r="X28" i="31"/>
  <c r="AZ27" i="31"/>
  <c r="AS27" i="31"/>
  <c r="AL27" i="31"/>
  <c r="AE27" i="31"/>
  <c r="X27" i="31"/>
  <c r="AZ26" i="31"/>
  <c r="AS26" i="31"/>
  <c r="AL26" i="31"/>
  <c r="AE26" i="31"/>
  <c r="X26" i="31"/>
  <c r="AZ25" i="31"/>
  <c r="AS25" i="31"/>
  <c r="AL25" i="31"/>
  <c r="AE25" i="31"/>
  <c r="X25" i="31"/>
  <c r="AZ24" i="31"/>
  <c r="AS24" i="31"/>
  <c r="AL24" i="31"/>
  <c r="AE24" i="31"/>
  <c r="X24" i="31"/>
  <c r="AZ23" i="31"/>
  <c r="AS23" i="31"/>
  <c r="AL23" i="31"/>
  <c r="AE23" i="31"/>
  <c r="X23" i="31"/>
  <c r="AZ22" i="31"/>
  <c r="AS22" i="31"/>
  <c r="AL22" i="31"/>
  <c r="AE22" i="31"/>
  <c r="X22" i="31"/>
  <c r="AZ21" i="31"/>
  <c r="AS21" i="31"/>
  <c r="AL21" i="31"/>
  <c r="AE21" i="31"/>
  <c r="X21" i="31"/>
  <c r="AZ20" i="31"/>
  <c r="AS20" i="31"/>
  <c r="AL20" i="31"/>
  <c r="AE20" i="31"/>
  <c r="X20" i="31"/>
  <c r="A20" i="31"/>
  <c r="AZ19" i="31"/>
  <c r="AS19" i="31"/>
  <c r="AL19" i="31"/>
  <c r="AE19" i="31"/>
  <c r="X19" i="31"/>
  <c r="AZ18" i="31"/>
  <c r="AS18" i="31"/>
  <c r="AL18" i="31"/>
  <c r="AE18" i="31"/>
  <c r="X18" i="31"/>
  <c r="A18" i="31"/>
  <c r="AZ17" i="31"/>
  <c r="AS17" i="31"/>
  <c r="AL17" i="31"/>
  <c r="AE17" i="31"/>
  <c r="X17" i="31"/>
  <c r="AZ16" i="31"/>
  <c r="AS16" i="31"/>
  <c r="AL16" i="31"/>
  <c r="AE16" i="31"/>
  <c r="X16" i="31"/>
  <c r="A16" i="31"/>
  <c r="AZ15" i="31"/>
  <c r="AS15" i="31"/>
  <c r="AL15" i="31"/>
  <c r="AE15" i="31"/>
  <c r="X15" i="31"/>
  <c r="AZ14" i="31"/>
  <c r="AS14" i="31"/>
  <c r="AL14" i="31"/>
  <c r="AE14" i="31"/>
  <c r="X14" i="31"/>
  <c r="A14" i="31"/>
  <c r="AZ13" i="31"/>
  <c r="AS13" i="31"/>
  <c r="AL13" i="31"/>
  <c r="AE13" i="31"/>
  <c r="X13" i="31"/>
  <c r="AZ12" i="31"/>
  <c r="AS12" i="31"/>
  <c r="AL12" i="31"/>
  <c r="AE12" i="31"/>
  <c r="X12" i="31"/>
  <c r="AZ11" i="31"/>
  <c r="AS11" i="31"/>
  <c r="AL11" i="31"/>
  <c r="AE11" i="31"/>
  <c r="X11" i="31"/>
  <c r="AZ10" i="31"/>
  <c r="AS10" i="31"/>
  <c r="AL10" i="31"/>
  <c r="AE10" i="31"/>
  <c r="X10" i="31"/>
  <c r="AZ9" i="31"/>
  <c r="AS9" i="31"/>
  <c r="AL9" i="31"/>
  <c r="AE9" i="31"/>
  <c r="X9" i="31"/>
  <c r="AI6" i="31"/>
  <c r="AG6" i="31"/>
  <c r="AB6" i="31"/>
  <c r="Z6" i="31"/>
  <c r="A3" i="31"/>
  <c r="AI6" i="28"/>
  <c r="AG6" i="28"/>
  <c r="AB6" i="28"/>
  <c r="Z6" i="28"/>
  <c r="A16" i="28"/>
  <c r="A14" i="28"/>
  <c r="A3" i="28"/>
  <c r="P5" i="5"/>
  <c r="O5" i="5"/>
  <c r="G40" i="30"/>
  <c r="F40" i="30"/>
  <c r="G39" i="30"/>
  <c r="F39" i="30"/>
  <c r="G38" i="30"/>
  <c r="F38" i="30"/>
  <c r="G37" i="30"/>
  <c r="F37" i="30"/>
  <c r="G36" i="30"/>
  <c r="F36" i="30"/>
  <c r="G35" i="30"/>
  <c r="F35" i="30"/>
  <c r="G34" i="30"/>
  <c r="F34" i="30"/>
  <c r="G33" i="30"/>
  <c r="F33" i="30"/>
  <c r="G32" i="30"/>
  <c r="F32" i="30"/>
  <c r="CT47" i="30"/>
  <c r="CQ47" i="30"/>
  <c r="CN47" i="30"/>
  <c r="CK47" i="30"/>
  <c r="CH47" i="30"/>
  <c r="CE47" i="30"/>
  <c r="CB47" i="30"/>
  <c r="BY47" i="30"/>
  <c r="BV47" i="30"/>
  <c r="BS47" i="30"/>
  <c r="BP47" i="30"/>
  <c r="BM47" i="30"/>
  <c r="BJ47" i="30"/>
  <c r="BG47" i="30"/>
  <c r="BD47" i="30"/>
  <c r="BA47" i="30"/>
  <c r="AX47" i="30"/>
  <c r="AU47" i="30"/>
  <c r="AR47" i="30"/>
  <c r="AO47" i="30"/>
  <c r="AL47" i="30"/>
  <c r="AI47" i="30"/>
  <c r="AF47" i="30"/>
  <c r="AC47" i="30"/>
  <c r="Z47" i="30"/>
  <c r="W47" i="30"/>
  <c r="T47" i="30"/>
  <c r="Q47" i="30"/>
  <c r="N47" i="30"/>
  <c r="K47" i="30"/>
  <c r="H47" i="30"/>
  <c r="CV40" i="30"/>
  <c r="CS40" i="30"/>
  <c r="CP40" i="30"/>
  <c r="CM40" i="30"/>
  <c r="P40" i="30"/>
  <c r="J40" i="30"/>
  <c r="CV39" i="30"/>
  <c r="CS39" i="30"/>
  <c r="CP39" i="30"/>
  <c r="CM39" i="30"/>
  <c r="P39" i="30"/>
  <c r="J39" i="30"/>
  <c r="CV38" i="30"/>
  <c r="CS38" i="30"/>
  <c r="CP38" i="30"/>
  <c r="CM38" i="30"/>
  <c r="P38" i="30"/>
  <c r="J38" i="30"/>
  <c r="CV37" i="30"/>
  <c r="CS37" i="30"/>
  <c r="CP37" i="30"/>
  <c r="CM37" i="30"/>
  <c r="P37" i="30"/>
  <c r="J37" i="30"/>
  <c r="CV36" i="30"/>
  <c r="CS36" i="30"/>
  <c r="CP36" i="30"/>
  <c r="CM36" i="30"/>
  <c r="P36" i="30"/>
  <c r="J36" i="30"/>
  <c r="CV35" i="30"/>
  <c r="CS35" i="30"/>
  <c r="CP35" i="30"/>
  <c r="CM35" i="30"/>
  <c r="J35" i="30"/>
  <c r="CV34" i="30"/>
  <c r="CS34" i="30"/>
  <c r="CP34" i="30"/>
  <c r="CM34" i="30"/>
  <c r="P34" i="30"/>
  <c r="J34" i="30"/>
  <c r="CV33" i="30"/>
  <c r="CS33" i="30"/>
  <c r="CP33" i="30"/>
  <c r="CM33" i="30"/>
  <c r="P33" i="30"/>
  <c r="J33" i="30"/>
  <c r="CV32" i="30"/>
  <c r="CS32" i="30"/>
  <c r="CP32" i="30"/>
  <c r="CM32" i="30"/>
  <c r="P32" i="30"/>
  <c r="J32" i="30"/>
  <c r="CT30" i="30"/>
  <c r="CQ30" i="30"/>
  <c r="CN30" i="30"/>
  <c r="CK30" i="30"/>
  <c r="CH30" i="30"/>
  <c r="CE30" i="30"/>
  <c r="CB30" i="30"/>
  <c r="BY30" i="30"/>
  <c r="BV30" i="30"/>
  <c r="BS30" i="30"/>
  <c r="BP30" i="30"/>
  <c r="BM30" i="30"/>
  <c r="BJ30" i="30"/>
  <c r="BG30" i="30"/>
  <c r="BD30" i="30"/>
  <c r="BA30" i="30"/>
  <c r="AX30" i="30"/>
  <c r="AU30" i="30"/>
  <c r="AR30" i="30"/>
  <c r="AO30" i="30"/>
  <c r="AL30" i="30"/>
  <c r="AI30" i="30"/>
  <c r="AF30" i="30"/>
  <c r="AC30" i="30"/>
  <c r="Z30" i="30"/>
  <c r="W30" i="30"/>
  <c r="T30" i="30"/>
  <c r="Q30" i="30"/>
  <c r="N30" i="30"/>
  <c r="K30" i="30"/>
  <c r="H30" i="30"/>
  <c r="CN27" i="30"/>
  <c r="CH27" i="30"/>
  <c r="CE27" i="30"/>
  <c r="CB27" i="30"/>
  <c r="BY27" i="30"/>
  <c r="BV27" i="30"/>
  <c r="BS27" i="30"/>
  <c r="BP27" i="30"/>
  <c r="BM27" i="30"/>
  <c r="BJ27" i="30"/>
  <c r="BG27" i="30"/>
  <c r="BD27" i="30"/>
  <c r="BA27" i="30"/>
  <c r="AX27" i="30"/>
  <c r="AU27" i="30"/>
  <c r="AR27" i="30"/>
  <c r="AO27" i="30"/>
  <c r="AL27" i="30"/>
  <c r="AI27" i="30"/>
  <c r="AF27" i="30"/>
  <c r="AC27" i="30"/>
  <c r="Z27" i="30"/>
  <c r="W27" i="30"/>
  <c r="T27" i="30"/>
  <c r="N27" i="30"/>
  <c r="K27" i="30"/>
  <c r="H27" i="30"/>
  <c r="AL6" i="31" l="1"/>
  <c r="B16" i="31" s="1"/>
  <c r="AE6" i="31"/>
  <c r="X6" i="31"/>
  <c r="J6" i="31"/>
  <c r="B8" i="31" s="1"/>
  <c r="AZ6" i="31"/>
  <c r="B20" i="31" s="1"/>
  <c r="AS6" i="31"/>
  <c r="B18" i="31" s="1"/>
  <c r="Q6" i="31"/>
  <c r="B10" i="31" s="1"/>
  <c r="B12" i="31"/>
  <c r="B14" i="31"/>
  <c r="AL6" i="28"/>
  <c r="B16" i="28" s="1"/>
  <c r="AE6" i="28"/>
  <c r="B14" i="28" s="1"/>
  <c r="A20" i="28"/>
  <c r="A18" i="28"/>
  <c r="J6" i="28"/>
  <c r="B8" i="28" s="1"/>
  <c r="B22" i="31" l="1"/>
  <c r="X6" i="28"/>
  <c r="B12" i="28" s="1"/>
  <c r="Q6" i="28"/>
  <c r="B10" i="28" s="1"/>
  <c r="AS6" i="28"/>
  <c r="B18" i="28" s="1"/>
  <c r="AZ6" i="28"/>
  <c r="B20" i="28" s="1"/>
  <c r="B22" i="28" l="1"/>
  <c r="F10" i="1"/>
  <c r="AF5" i="2"/>
  <c r="S36" i="5" l="1"/>
  <c r="S34" i="5"/>
  <c r="S31" i="5"/>
  <c r="S25" i="5"/>
  <c r="S19" i="5"/>
  <c r="S10" i="5"/>
  <c r="S21" i="5"/>
  <c r="F34" i="23"/>
  <c r="E34" i="23"/>
  <c r="F17" i="23"/>
  <c r="A3" i="9"/>
  <c r="CM37" i="26"/>
  <c r="CJ37" i="26"/>
  <c r="CG37" i="26"/>
  <c r="CD37" i="26"/>
  <c r="CA37" i="26"/>
  <c r="BX37" i="26"/>
  <c r="BU37" i="26"/>
  <c r="CM36" i="26"/>
  <c r="CJ36" i="26"/>
  <c r="CG36" i="26"/>
  <c r="CD36" i="26"/>
  <c r="CA36" i="26"/>
  <c r="BX36" i="26"/>
  <c r="BU36" i="26"/>
  <c r="CM35" i="26"/>
  <c r="CJ35" i="26"/>
  <c r="CG35" i="26"/>
  <c r="CD35" i="26"/>
  <c r="CA35" i="26"/>
  <c r="BX35" i="26"/>
  <c r="BU35" i="26"/>
  <c r="CM28" i="26"/>
  <c r="CJ28" i="26"/>
  <c r="CG28" i="26"/>
  <c r="CD28" i="26"/>
  <c r="CA28" i="26"/>
  <c r="BX28" i="26"/>
  <c r="BU28" i="26"/>
  <c r="CM27" i="26"/>
  <c r="CJ27" i="26"/>
  <c r="CG27" i="26"/>
  <c r="CD27" i="26"/>
  <c r="CA27" i="26"/>
  <c r="BX27" i="26"/>
  <c r="BU27" i="26"/>
  <c r="CM26" i="26"/>
  <c r="CJ26" i="26"/>
  <c r="CG26" i="26"/>
  <c r="CD26" i="26"/>
  <c r="CA26" i="26"/>
  <c r="BX26" i="26"/>
  <c r="BU26" i="26"/>
  <c r="CM25" i="26"/>
  <c r="CJ25" i="26"/>
  <c r="CG25" i="26"/>
  <c r="CD25" i="26"/>
  <c r="CA25" i="26"/>
  <c r="BX25" i="26"/>
  <c r="BU25" i="26"/>
  <c r="CM24" i="26"/>
  <c r="CJ24" i="26"/>
  <c r="CG24" i="26"/>
  <c r="CD24" i="26"/>
  <c r="CA24" i="26"/>
  <c r="BX24" i="26"/>
  <c r="BU24" i="26"/>
  <c r="CM23" i="26"/>
  <c r="CJ23" i="26"/>
  <c r="CG23" i="26"/>
  <c r="CD23" i="26"/>
  <c r="CA23" i="26"/>
  <c r="BX23" i="26"/>
  <c r="BU23" i="26"/>
  <c r="CM22" i="26"/>
  <c r="CJ22" i="26"/>
  <c r="CG22" i="26"/>
  <c r="CD22" i="26"/>
  <c r="CA22" i="26"/>
  <c r="BX22" i="26"/>
  <c r="BU22" i="26"/>
  <c r="CM21" i="26"/>
  <c r="CJ21" i="26"/>
  <c r="CG21" i="26"/>
  <c r="CD21" i="26"/>
  <c r="CA21" i="26"/>
  <c r="BX21" i="26"/>
  <c r="BU21" i="26"/>
  <c r="CM20" i="26"/>
  <c r="CJ20" i="26"/>
  <c r="CG20" i="26"/>
  <c r="CD20" i="26"/>
  <c r="CA20" i="26"/>
  <c r="BX20" i="26"/>
  <c r="BU20" i="26"/>
  <c r="CM19" i="26"/>
  <c r="CJ19" i="26"/>
  <c r="CG19" i="26"/>
  <c r="CD19" i="26"/>
  <c r="CA19" i="26"/>
  <c r="BX19" i="26"/>
  <c r="BU19" i="26"/>
  <c r="CM18" i="26"/>
  <c r="CJ18" i="26"/>
  <c r="CG18" i="26"/>
  <c r="CD18" i="26"/>
  <c r="CA18" i="26"/>
  <c r="BX18" i="26"/>
  <c r="BU18" i="26"/>
  <c r="CM17" i="26"/>
  <c r="CJ17" i="26"/>
  <c r="CG17" i="26"/>
  <c r="CD17" i="26"/>
  <c r="CA17" i="26"/>
  <c r="BX17" i="26"/>
  <c r="BU17" i="26"/>
  <c r="CM16" i="26"/>
  <c r="CJ16" i="26"/>
  <c r="CG16" i="26"/>
  <c r="CD16" i="26"/>
  <c r="CA16" i="26"/>
  <c r="BX16" i="26"/>
  <c r="BU16" i="26"/>
  <c r="CM15" i="26"/>
  <c r="CJ15" i="26"/>
  <c r="CG15" i="26"/>
  <c r="CD15" i="26"/>
  <c r="CA15" i="26"/>
  <c r="BX15" i="26"/>
  <c r="BU15" i="26"/>
  <c r="CM14" i="26"/>
  <c r="CJ14" i="26"/>
  <c r="CG14" i="26"/>
  <c r="CD14" i="26"/>
  <c r="CA14" i="26"/>
  <c r="BX14" i="26"/>
  <c r="BU14" i="26"/>
  <c r="CM13" i="26"/>
  <c r="CJ13" i="26"/>
  <c r="CG13" i="26"/>
  <c r="CD13" i="26"/>
  <c r="CA13" i="26"/>
  <c r="BX13" i="26"/>
  <c r="BU13" i="26"/>
  <c r="CM12" i="26"/>
  <c r="CJ12" i="26"/>
  <c r="CG12" i="26"/>
  <c r="CD12" i="26"/>
  <c r="CA12" i="26"/>
  <c r="BX12" i="26"/>
  <c r="BU12" i="26"/>
  <c r="CM11" i="26"/>
  <c r="CJ11" i="26"/>
  <c r="CG11" i="26"/>
  <c r="CD11" i="26"/>
  <c r="CA11" i="26"/>
  <c r="BX11" i="26"/>
  <c r="BU11" i="26"/>
  <c r="CM10" i="26"/>
  <c r="CJ10" i="26"/>
  <c r="CG10" i="26"/>
  <c r="CD10" i="26"/>
  <c r="CA10" i="26"/>
  <c r="BX10" i="26"/>
  <c r="BU10" i="26"/>
  <c r="CM9" i="26"/>
  <c r="CJ9" i="26"/>
  <c r="CG9" i="26"/>
  <c r="CD9" i="26"/>
  <c r="CA9" i="26"/>
  <c r="BX9" i="26"/>
  <c r="BU9" i="26"/>
  <c r="CM8" i="26"/>
  <c r="CJ8" i="26"/>
  <c r="CG8" i="26"/>
  <c r="CD8" i="26"/>
  <c r="CA8" i="26"/>
  <c r="BX8" i="26"/>
  <c r="BU8" i="26"/>
  <c r="CM7" i="26"/>
  <c r="CJ7" i="26"/>
  <c r="CG7" i="26"/>
  <c r="CD7" i="26"/>
  <c r="CA7" i="26"/>
  <c r="BX7" i="26"/>
  <c r="BU7" i="26"/>
  <c r="CM6" i="26"/>
  <c r="CJ6" i="26"/>
  <c r="CG6" i="26"/>
  <c r="CD6" i="26"/>
  <c r="CA6" i="26"/>
  <c r="BX6" i="26"/>
  <c r="BU6" i="26"/>
  <c r="CM5" i="26"/>
  <c r="CJ5" i="26"/>
  <c r="CG5" i="26"/>
  <c r="CD5" i="26"/>
  <c r="CA5" i="26"/>
  <c r="BX5" i="26"/>
  <c r="BU5" i="26"/>
  <c r="A3" i="7"/>
  <c r="E5" i="1"/>
  <c r="E17" i="23"/>
  <c r="E6" i="6"/>
  <c r="I1" i="6"/>
  <c r="G1" i="3"/>
  <c r="D1" i="5"/>
  <c r="F38" i="5"/>
  <c r="S8" i="5" l="1"/>
  <c r="R62" i="1"/>
  <c r="R66" i="1"/>
  <c r="N66" i="1"/>
  <c r="S17" i="5"/>
  <c r="S9" i="5"/>
  <c r="S18" i="5"/>
  <c r="S26" i="5"/>
  <c r="S35" i="5"/>
  <c r="S11" i="5"/>
  <c r="S20" i="5"/>
  <c r="S28" i="5"/>
  <c r="S37" i="5"/>
  <c r="S12" i="5"/>
  <c r="S30" i="5"/>
  <c r="S13" i="5"/>
  <c r="S22" i="5"/>
  <c r="S23" i="5"/>
  <c r="S32" i="5"/>
  <c r="S15" i="5"/>
  <c r="S24" i="5"/>
  <c r="S33" i="5"/>
  <c r="S29" i="5"/>
  <c r="S7" i="5"/>
  <c r="AZ4" i="3"/>
  <c r="R64" i="1"/>
  <c r="N64" i="1"/>
  <c r="N68" i="1"/>
  <c r="R68" i="1"/>
  <c r="S16" i="5"/>
  <c r="N62" i="1"/>
  <c r="U3" i="1"/>
  <c r="N223" i="6"/>
  <c r="O38" i="5" l="1"/>
  <c r="AZ22" i="3"/>
  <c r="AZ20" i="3"/>
  <c r="AZ21" i="3"/>
  <c r="AZ17" i="3"/>
  <c r="AZ25" i="3"/>
  <c r="AZ16" i="3"/>
  <c r="AZ23" i="3"/>
  <c r="AZ18" i="3"/>
  <c r="AZ24" i="3"/>
  <c r="AZ19" i="3"/>
  <c r="AZ15" i="3"/>
  <c r="N18" i="1"/>
  <c r="N16" i="1"/>
  <c r="S38" i="5"/>
  <c r="R22" i="1" s="1"/>
  <c r="AM45" i="3"/>
  <c r="AM44" i="3"/>
  <c r="AM43" i="3"/>
  <c r="AM42" i="3"/>
  <c r="AM41" i="3"/>
  <c r="AM40" i="3"/>
  <c r="AM39" i="3"/>
  <c r="AM38" i="3"/>
  <c r="AM37" i="3"/>
  <c r="R48" i="1"/>
  <c r="AN14" i="3"/>
  <c r="AM14" i="3"/>
  <c r="AL14" i="3"/>
  <c r="AN13" i="3"/>
  <c r="AM13" i="3"/>
  <c r="AL13" i="3"/>
  <c r="AN12" i="3"/>
  <c r="AM12" i="3"/>
  <c r="AL12" i="3"/>
  <c r="AN11" i="3"/>
  <c r="AM11" i="3"/>
  <c r="AL11" i="3"/>
  <c r="AN10" i="3"/>
  <c r="AM10" i="3"/>
  <c r="AL10" i="3"/>
  <c r="AN9" i="3"/>
  <c r="AM9" i="3"/>
  <c r="AL9" i="3"/>
  <c r="AN8" i="3"/>
  <c r="AM8" i="3"/>
  <c r="AL8" i="3"/>
  <c r="AN7" i="3"/>
  <c r="AM7" i="3"/>
  <c r="AL7" i="3"/>
  <c r="AL6" i="3"/>
  <c r="AM6" i="3"/>
  <c r="AW44" i="3"/>
  <c r="AV44" i="3"/>
  <c r="AU44" i="3"/>
  <c r="AL44" i="3"/>
  <c r="F44" i="3"/>
  <c r="F102" i="3" s="1"/>
  <c r="E44" i="3"/>
  <c r="E102" i="3" s="1"/>
  <c r="D44" i="3"/>
  <c r="D102" i="3" s="1"/>
  <c r="C44" i="3"/>
  <c r="C102" i="3" s="1"/>
  <c r="B44" i="3"/>
  <c r="AW43" i="3"/>
  <c r="AV43" i="3"/>
  <c r="AU43" i="3"/>
  <c r="AL43" i="3"/>
  <c r="F43" i="3"/>
  <c r="F101" i="3" s="1"/>
  <c r="E43" i="3"/>
  <c r="E101" i="3" s="1"/>
  <c r="D43" i="3"/>
  <c r="D101" i="3" s="1"/>
  <c r="C43" i="3"/>
  <c r="C101" i="3" s="1"/>
  <c r="B43" i="3"/>
  <c r="E44" i="30" s="1"/>
  <c r="AW42" i="3"/>
  <c r="AV42" i="3"/>
  <c r="AU42" i="3"/>
  <c r="AL42" i="3"/>
  <c r="F42" i="3"/>
  <c r="F100" i="3" s="1"/>
  <c r="E42" i="3"/>
  <c r="E100" i="3" s="1"/>
  <c r="D42" i="3"/>
  <c r="D100" i="3" s="1"/>
  <c r="C42" i="3"/>
  <c r="C100" i="3" s="1"/>
  <c r="B42" i="3"/>
  <c r="AW41" i="3"/>
  <c r="AV41" i="3"/>
  <c r="AU41" i="3"/>
  <c r="AL41" i="3"/>
  <c r="F41" i="3"/>
  <c r="F99" i="3" s="1"/>
  <c r="E41" i="3"/>
  <c r="E99" i="3" s="1"/>
  <c r="D41" i="3"/>
  <c r="D99" i="3" s="1"/>
  <c r="C41" i="3"/>
  <c r="C99" i="3" s="1"/>
  <c r="AW40" i="3"/>
  <c r="AV40" i="3"/>
  <c r="AU40" i="3"/>
  <c r="AL40" i="3"/>
  <c r="F40" i="3"/>
  <c r="F98" i="3" s="1"/>
  <c r="E40" i="3"/>
  <c r="E98" i="3" s="1"/>
  <c r="D40" i="3"/>
  <c r="D98" i="3" s="1"/>
  <c r="C40" i="3"/>
  <c r="C98" i="3" s="1"/>
  <c r="E41" i="30"/>
  <c r="AW39" i="3"/>
  <c r="AV39" i="3"/>
  <c r="AU39" i="3"/>
  <c r="AL39" i="3"/>
  <c r="F39" i="3"/>
  <c r="F97" i="3" s="1"/>
  <c r="E39" i="3"/>
  <c r="E97" i="3" s="1"/>
  <c r="D39" i="3"/>
  <c r="D97" i="3" s="1"/>
  <c r="C39" i="3"/>
  <c r="C97" i="3" s="1"/>
  <c r="AW38" i="3"/>
  <c r="AV38" i="3"/>
  <c r="AU38" i="3"/>
  <c r="AL38" i="3"/>
  <c r="F38" i="3"/>
  <c r="F96" i="3" s="1"/>
  <c r="E38" i="3"/>
  <c r="E96" i="3" s="1"/>
  <c r="D38" i="3"/>
  <c r="D96" i="3" s="1"/>
  <c r="C38" i="3"/>
  <c r="C96" i="3" s="1"/>
  <c r="AW37" i="3"/>
  <c r="AV37" i="3"/>
  <c r="AU37" i="3"/>
  <c r="AL37" i="3"/>
  <c r="F37" i="3"/>
  <c r="E37" i="3"/>
  <c r="D37" i="3"/>
  <c r="D95" i="3" s="1"/>
  <c r="C37" i="3"/>
  <c r="C95" i="3" s="1"/>
  <c r="AW36" i="3"/>
  <c r="AV36" i="3"/>
  <c r="AU36" i="3"/>
  <c r="AL36" i="3"/>
  <c r="F36" i="3"/>
  <c r="F94" i="3" s="1"/>
  <c r="E36" i="3"/>
  <c r="E94" i="3" s="1"/>
  <c r="D36" i="3"/>
  <c r="D94" i="3" s="1"/>
  <c r="C36" i="3"/>
  <c r="AW35" i="3"/>
  <c r="AV35" i="3"/>
  <c r="AU35" i="3"/>
  <c r="AL35" i="3"/>
  <c r="F35" i="3"/>
  <c r="F93" i="3" s="1"/>
  <c r="E35" i="3"/>
  <c r="E93" i="3" s="1"/>
  <c r="D35" i="3"/>
  <c r="D93" i="3" s="1"/>
  <c r="C35" i="3"/>
  <c r="C93" i="3" s="1"/>
  <c r="F34" i="3"/>
  <c r="E34" i="3"/>
  <c r="D34" i="3"/>
  <c r="D92" i="3" s="1"/>
  <c r="C34" i="3"/>
  <c r="E35" i="30"/>
  <c r="F33" i="3"/>
  <c r="E33" i="3"/>
  <c r="D33" i="3"/>
  <c r="D91" i="3" s="1"/>
  <c r="C33" i="3"/>
  <c r="E34" i="30"/>
  <c r="AW45" i="3"/>
  <c r="AV45" i="3"/>
  <c r="AU45" i="3"/>
  <c r="AL45" i="3"/>
  <c r="F45" i="3"/>
  <c r="F103" i="3" s="1"/>
  <c r="E45" i="3"/>
  <c r="E103" i="3" s="1"/>
  <c r="D45" i="3"/>
  <c r="D103" i="3" s="1"/>
  <c r="C45" i="3"/>
  <c r="C103" i="3" s="1"/>
  <c r="B45" i="3"/>
  <c r="E32" i="3"/>
  <c r="D32" i="3"/>
  <c r="D90" i="3" s="1"/>
  <c r="C32" i="3"/>
  <c r="E33" i="30"/>
  <c r="F89" i="3"/>
  <c r="E31" i="3"/>
  <c r="E89" i="3" s="1"/>
  <c r="D31" i="3"/>
  <c r="D89" i="3" s="1"/>
  <c r="C31" i="3"/>
  <c r="C89" i="3" s="1"/>
  <c r="E69" i="3"/>
  <c r="D69" i="3"/>
  <c r="C69" i="3"/>
  <c r="E68" i="3"/>
  <c r="D68" i="3"/>
  <c r="C68" i="3"/>
  <c r="E67" i="3"/>
  <c r="D67" i="3"/>
  <c r="C67" i="3"/>
  <c r="E66" i="3"/>
  <c r="D66" i="3"/>
  <c r="C66" i="3"/>
  <c r="F65" i="3"/>
  <c r="E65" i="3"/>
  <c r="D65" i="3"/>
  <c r="C65" i="3"/>
  <c r="D64" i="3"/>
  <c r="B186" i="9"/>
  <c r="R37" i="5" s="1"/>
  <c r="B37" i="5" s="1"/>
  <c r="C180" i="9"/>
  <c r="B180" i="9"/>
  <c r="R36" i="5" s="1"/>
  <c r="B36" i="5" s="1"/>
  <c r="C174" i="9"/>
  <c r="B174" i="9"/>
  <c r="R35" i="5" s="1"/>
  <c r="B35" i="5" s="1"/>
  <c r="C168" i="9"/>
  <c r="B168" i="9"/>
  <c r="R34" i="5" s="1"/>
  <c r="B34" i="5" s="1"/>
  <c r="C162" i="9"/>
  <c r="B162" i="9"/>
  <c r="R33" i="5" s="1"/>
  <c r="B33" i="5" s="1"/>
  <c r="B156" i="9"/>
  <c r="R32" i="5" s="1"/>
  <c r="B32" i="5" s="1"/>
  <c r="B150" i="9"/>
  <c r="R31" i="5" s="1"/>
  <c r="B31" i="5" s="1"/>
  <c r="C144" i="9"/>
  <c r="B144" i="9"/>
  <c r="R30" i="5" s="1"/>
  <c r="B30" i="5" s="1"/>
  <c r="B138" i="9"/>
  <c r="R29" i="5" s="1"/>
  <c r="B29" i="5" s="1"/>
  <c r="B132" i="9"/>
  <c r="R28" i="5" s="1"/>
  <c r="B28" i="5" s="1"/>
  <c r="B126" i="9"/>
  <c r="R27" i="5" s="1"/>
  <c r="B27" i="5" s="1"/>
  <c r="C120" i="9"/>
  <c r="B120" i="9"/>
  <c r="R26" i="5" s="1"/>
  <c r="B26" i="5" s="1"/>
  <c r="B114" i="9"/>
  <c r="R25" i="5" s="1"/>
  <c r="B25" i="5" s="1"/>
  <c r="B108" i="9"/>
  <c r="R24" i="5" s="1"/>
  <c r="B24" i="5" s="1"/>
  <c r="B102" i="9"/>
  <c r="R23" i="5" s="1"/>
  <c r="B23" i="5" s="1"/>
  <c r="C96" i="9"/>
  <c r="B96" i="9"/>
  <c r="R22" i="5" s="1"/>
  <c r="B22" i="5" s="1"/>
  <c r="B90" i="9"/>
  <c r="R21" i="5" s="1"/>
  <c r="B21" i="5" s="1"/>
  <c r="B84" i="9"/>
  <c r="R20" i="5" s="1"/>
  <c r="B20" i="5" s="1"/>
  <c r="C78" i="9"/>
  <c r="B78" i="9"/>
  <c r="R19" i="5" s="1"/>
  <c r="B19" i="5" s="1"/>
  <c r="C72" i="9"/>
  <c r="B72" i="9"/>
  <c r="R18" i="5" s="1"/>
  <c r="B18" i="5" s="1"/>
  <c r="C66" i="9"/>
  <c r="B66" i="9"/>
  <c r="R17" i="5" s="1"/>
  <c r="B17" i="5" s="1"/>
  <c r="B60" i="9"/>
  <c r="R16" i="5" s="1"/>
  <c r="B16" i="5" s="1"/>
  <c r="C54" i="9"/>
  <c r="B54" i="9"/>
  <c r="R15" i="5" s="1"/>
  <c r="B15" i="5" s="1"/>
  <c r="C48" i="9"/>
  <c r="B48" i="9"/>
  <c r="R14" i="5" s="1"/>
  <c r="B14" i="5" s="1"/>
  <c r="B42" i="9"/>
  <c r="R13" i="5" s="1"/>
  <c r="B13" i="5" s="1"/>
  <c r="B36" i="9"/>
  <c r="R12" i="5" s="1"/>
  <c r="B12" i="5" s="1"/>
  <c r="C30" i="9"/>
  <c r="B30" i="9"/>
  <c r="R11" i="5" s="1"/>
  <c r="B11" i="5" s="1"/>
  <c r="C24" i="9"/>
  <c r="B24" i="9"/>
  <c r="R10" i="5" s="1"/>
  <c r="B10" i="5" s="1"/>
  <c r="C18" i="9"/>
  <c r="B18" i="9"/>
  <c r="R9" i="5" s="1"/>
  <c r="B9" i="5" s="1"/>
  <c r="G76" i="3" l="1" a="1"/>
  <c r="G76" i="3" s="1"/>
  <c r="X76" i="3" a="1"/>
  <c r="X76" i="3" s="1"/>
  <c r="AK76" i="3" a="1"/>
  <c r="AK76" i="3" s="1"/>
  <c r="AE76" i="3" a="1"/>
  <c r="AE76" i="3" s="1"/>
  <c r="AD76" i="3" a="1"/>
  <c r="AD76" i="3" s="1"/>
  <c r="V76" i="3" a="1"/>
  <c r="V76" i="3" s="1"/>
  <c r="M76" i="3" a="1"/>
  <c r="M76" i="3" s="1"/>
  <c r="Q76" i="3" a="1"/>
  <c r="Q76" i="3" s="1"/>
  <c r="AC76" i="3" a="1"/>
  <c r="AC76" i="3" s="1"/>
  <c r="R76" i="3" a="1"/>
  <c r="R76" i="3" s="1"/>
  <c r="I76" i="3" a="1"/>
  <c r="I76" i="3" s="1"/>
  <c r="Z76" i="3" a="1"/>
  <c r="Z76" i="3" s="1"/>
  <c r="AJ76" i="3" a="1"/>
  <c r="AJ76" i="3" s="1"/>
  <c r="J76" i="3" a="1"/>
  <c r="J76" i="3" s="1"/>
  <c r="S76" i="3" a="1"/>
  <c r="S76" i="3" s="1"/>
  <c r="Y76" i="3" a="1"/>
  <c r="Y76" i="3" s="1"/>
  <c r="K76" i="3" a="1"/>
  <c r="K76" i="3" s="1"/>
  <c r="H76" i="3" a="1"/>
  <c r="H76" i="3" s="1"/>
  <c r="N76" i="3" a="1"/>
  <c r="N76" i="3" s="1"/>
  <c r="T76" i="3" a="1"/>
  <c r="T76" i="3" s="1"/>
  <c r="AG76" i="3" a="1"/>
  <c r="AG76" i="3" s="1"/>
  <c r="W76" i="3" a="1"/>
  <c r="W76" i="3" s="1"/>
  <c r="AF76" i="3" a="1"/>
  <c r="AF76" i="3" s="1"/>
  <c r="P76" i="3" a="1"/>
  <c r="P76" i="3" s="1"/>
  <c r="AI76" i="3" a="1"/>
  <c r="AI76" i="3" s="1"/>
  <c r="L76" i="3" a="1"/>
  <c r="L76" i="3" s="1"/>
  <c r="AA76" i="3" a="1"/>
  <c r="AA76" i="3" s="1"/>
  <c r="U76" i="3" a="1"/>
  <c r="U76" i="3" s="1"/>
  <c r="AH76" i="3" a="1"/>
  <c r="AH76" i="3" s="1"/>
  <c r="AB76" i="3" a="1"/>
  <c r="AB76" i="3" s="1"/>
  <c r="O76" i="3" a="1"/>
  <c r="O76" i="3" s="1"/>
  <c r="AB83" i="3" a="1"/>
  <c r="AB83" i="3" s="1"/>
  <c r="V83" i="3" a="1"/>
  <c r="V83" i="3" s="1"/>
  <c r="P83" i="3" a="1"/>
  <c r="P83" i="3" s="1"/>
  <c r="AE83" i="3" a="1"/>
  <c r="AE83" i="3" s="1"/>
  <c r="AK83" i="3" a="1"/>
  <c r="AK83" i="3" s="1"/>
  <c r="R83" i="3" a="1"/>
  <c r="R83" i="3" s="1"/>
  <c r="I83" i="3" a="1"/>
  <c r="I83" i="3" s="1"/>
  <c r="K83" i="3" a="1"/>
  <c r="K83" i="3" s="1"/>
  <c r="Y83" i="3" a="1"/>
  <c r="Y83" i="3" s="1"/>
  <c r="AJ83" i="3" a="1"/>
  <c r="AJ83" i="3" s="1"/>
  <c r="AF83" i="3" a="1"/>
  <c r="AF83" i="3" s="1"/>
  <c r="N83" i="3" a="1"/>
  <c r="N83" i="3" s="1"/>
  <c r="J83" i="3" a="1"/>
  <c r="J83" i="3" s="1"/>
  <c r="AD83" i="3" a="1"/>
  <c r="AD83" i="3" s="1"/>
  <c r="S83" i="3" a="1"/>
  <c r="S83" i="3" s="1"/>
  <c r="Z83" i="3" a="1"/>
  <c r="Z83" i="3" s="1"/>
  <c r="H83" i="3" a="1"/>
  <c r="H83" i="3" s="1"/>
  <c r="M83" i="3" a="1"/>
  <c r="M83" i="3" s="1"/>
  <c r="U83" i="3" a="1"/>
  <c r="U83" i="3" s="1"/>
  <c r="T83" i="3" a="1"/>
  <c r="T83" i="3" s="1"/>
  <c r="AA83" i="3" a="1"/>
  <c r="AA83" i="3" s="1"/>
  <c r="X83" i="3" a="1"/>
  <c r="X83" i="3" s="1"/>
  <c r="AH83" i="3" a="1"/>
  <c r="AH83" i="3" s="1"/>
  <c r="W83" i="3" a="1"/>
  <c r="W83" i="3" s="1"/>
  <c r="Q83" i="3" a="1"/>
  <c r="Q83" i="3" s="1"/>
  <c r="G83" i="3" a="1"/>
  <c r="G83" i="3" s="1"/>
  <c r="L83" i="3" a="1"/>
  <c r="L83" i="3" s="1"/>
  <c r="AC83" i="3" a="1"/>
  <c r="AC83" i="3" s="1"/>
  <c r="O83" i="3" a="1"/>
  <c r="O83" i="3" s="1"/>
  <c r="AG83" i="3" a="1"/>
  <c r="AG83" i="3" s="1"/>
  <c r="AI83" i="3" a="1"/>
  <c r="AI83" i="3" s="1"/>
  <c r="AC81" i="3" a="1"/>
  <c r="AC81" i="3" s="1"/>
  <c r="AK81" i="3" a="1"/>
  <c r="AK81" i="3" s="1"/>
  <c r="T81" i="3" a="1"/>
  <c r="T81" i="3" s="1"/>
  <c r="R81" i="3" a="1"/>
  <c r="R81" i="3" s="1"/>
  <c r="AE81" i="3" a="1"/>
  <c r="AE81" i="3" s="1"/>
  <c r="L81" i="3" a="1"/>
  <c r="L81" i="3" s="1"/>
  <c r="Y81" i="3" a="1"/>
  <c r="Y81" i="3" s="1"/>
  <c r="J81" i="3" a="1"/>
  <c r="J81" i="3" s="1"/>
  <c r="I81" i="3" a="1"/>
  <c r="I81" i="3" s="1"/>
  <c r="V81" i="3" a="1"/>
  <c r="V81" i="3" s="1"/>
  <c r="H81" i="3" a="1"/>
  <c r="H81" i="3" s="1"/>
  <c r="AA81" i="3" a="1"/>
  <c r="AA81" i="3" s="1"/>
  <c r="AB81" i="3" a="1"/>
  <c r="AB81" i="3" s="1"/>
  <c r="W81" i="3" a="1"/>
  <c r="W81" i="3" s="1"/>
  <c r="X81" i="3" a="1"/>
  <c r="X81" i="3" s="1"/>
  <c r="U81" i="3" a="1"/>
  <c r="U81" i="3" s="1"/>
  <c r="S81" i="3" a="1"/>
  <c r="S81" i="3" s="1"/>
  <c r="AF81" i="3" a="1"/>
  <c r="AF81" i="3" s="1"/>
  <c r="P81" i="3" a="1"/>
  <c r="P81" i="3" s="1"/>
  <c r="N81" i="3" a="1"/>
  <c r="N81" i="3" s="1"/>
  <c r="AI81" i="3" a="1"/>
  <c r="AI81" i="3" s="1"/>
  <c r="K81" i="3" a="1"/>
  <c r="K81" i="3" s="1"/>
  <c r="Q81" i="3" a="1"/>
  <c r="Q81" i="3" s="1"/>
  <c r="AJ81" i="3" a="1"/>
  <c r="AJ81" i="3" s="1"/>
  <c r="G81" i="3" a="1"/>
  <c r="G81" i="3" s="1"/>
  <c r="AD81" i="3" a="1"/>
  <c r="AD81" i="3" s="1"/>
  <c r="O81" i="3" a="1"/>
  <c r="O81" i="3" s="1"/>
  <c r="AH81" i="3" a="1"/>
  <c r="AH81" i="3" s="1"/>
  <c r="AG81" i="3" a="1"/>
  <c r="AG81" i="3" s="1"/>
  <c r="Z81" i="3" a="1"/>
  <c r="Z81" i="3" s="1"/>
  <c r="M81" i="3" a="1"/>
  <c r="M81" i="3" s="1"/>
  <c r="Y75" i="3" a="1"/>
  <c r="Y75" i="3" s="1"/>
  <c r="S75" i="3" a="1"/>
  <c r="S75" i="3" s="1"/>
  <c r="T75" i="3" a="1"/>
  <c r="T75" i="3" s="1"/>
  <c r="Q75" i="3" a="1"/>
  <c r="Q75" i="3" s="1"/>
  <c r="AJ75" i="3" a="1"/>
  <c r="AJ75" i="3" s="1"/>
  <c r="U75" i="3" a="1"/>
  <c r="U75" i="3" s="1"/>
  <c r="AH75" i="3" a="1"/>
  <c r="AH75" i="3" s="1"/>
  <c r="P75" i="3" a="1"/>
  <c r="P75" i="3" s="1"/>
  <c r="O75" i="3" a="1"/>
  <c r="O75" i="3" s="1"/>
  <c r="AE75" i="3" a="1"/>
  <c r="AE75" i="3" s="1"/>
  <c r="L75" i="3" a="1"/>
  <c r="L75" i="3" s="1"/>
  <c r="AI75" i="3" a="1"/>
  <c r="AI75" i="3" s="1"/>
  <c r="I75" i="3" a="1"/>
  <c r="I75" i="3" s="1"/>
  <c r="Z75" i="3" a="1"/>
  <c r="Z75" i="3" s="1"/>
  <c r="M75" i="3" a="1"/>
  <c r="M75" i="3" s="1"/>
  <c r="N75" i="3" a="1"/>
  <c r="N75" i="3" s="1"/>
  <c r="AB75" i="3" a="1"/>
  <c r="AB75" i="3" s="1"/>
  <c r="AA75" i="3" a="1"/>
  <c r="AA75" i="3" s="1"/>
  <c r="K75" i="3" a="1"/>
  <c r="K75" i="3" s="1"/>
  <c r="V75" i="3" a="1"/>
  <c r="V75" i="3" s="1"/>
  <c r="AC75" i="3" a="1"/>
  <c r="AC75" i="3" s="1"/>
  <c r="AD75" i="3" a="1"/>
  <c r="AD75" i="3" s="1"/>
  <c r="R75" i="3" a="1"/>
  <c r="R75" i="3" s="1"/>
  <c r="AF75" i="3" a="1"/>
  <c r="AF75" i="3" s="1"/>
  <c r="W75" i="3" a="1"/>
  <c r="W75" i="3" s="1"/>
  <c r="H75" i="3" a="1"/>
  <c r="H75" i="3" s="1"/>
  <c r="X75" i="3" a="1"/>
  <c r="X75" i="3" s="1"/>
  <c r="AK75" i="3" a="1"/>
  <c r="AK75" i="3" s="1"/>
  <c r="J75" i="3" a="1"/>
  <c r="J75" i="3" s="1"/>
  <c r="AG75" i="3" a="1"/>
  <c r="AG75" i="3" s="1"/>
  <c r="G75" i="3" a="1"/>
  <c r="G75" i="3" s="1"/>
  <c r="V79" i="3" a="1"/>
  <c r="V79" i="3" s="1"/>
  <c r="AG79" i="3" a="1"/>
  <c r="AG79" i="3" s="1"/>
  <c r="T79" i="3" a="1"/>
  <c r="T79" i="3" s="1"/>
  <c r="AD79" i="3" a="1"/>
  <c r="AD79" i="3" s="1"/>
  <c r="L79" i="3" a="1"/>
  <c r="L79" i="3" s="1"/>
  <c r="Z79" i="3" a="1"/>
  <c r="Z79" i="3" s="1"/>
  <c r="H79" i="3" a="1"/>
  <c r="H79" i="3" s="1"/>
  <c r="AC79" i="3" a="1"/>
  <c r="AC79" i="3" s="1"/>
  <c r="W79" i="3" a="1"/>
  <c r="W79" i="3" s="1"/>
  <c r="AB79" i="3" a="1"/>
  <c r="AB79" i="3" s="1"/>
  <c r="AF79" i="3" a="1"/>
  <c r="AF79" i="3" s="1"/>
  <c r="AA79" i="3" a="1"/>
  <c r="AA79" i="3" s="1"/>
  <c r="AI79" i="3" a="1"/>
  <c r="AI79" i="3" s="1"/>
  <c r="N79" i="3" a="1"/>
  <c r="N79" i="3" s="1"/>
  <c r="AK79" i="3" a="1"/>
  <c r="AK79" i="3" s="1"/>
  <c r="P79" i="3" a="1"/>
  <c r="P79" i="3" s="1"/>
  <c r="X79" i="3" a="1"/>
  <c r="X79" i="3" s="1"/>
  <c r="AJ79" i="3" a="1"/>
  <c r="AJ79" i="3" s="1"/>
  <c r="G79" i="3" a="1"/>
  <c r="G79" i="3" s="1"/>
  <c r="K79" i="3" a="1"/>
  <c r="K79" i="3" s="1"/>
  <c r="AE79" i="3" a="1"/>
  <c r="AE79" i="3" s="1"/>
  <c r="J79" i="3" a="1"/>
  <c r="J79" i="3" s="1"/>
  <c r="O79" i="3" a="1"/>
  <c r="O79" i="3" s="1"/>
  <c r="R79" i="3" a="1"/>
  <c r="R79" i="3" s="1"/>
  <c r="I79" i="3" a="1"/>
  <c r="I79" i="3" s="1"/>
  <c r="Y79" i="3" a="1"/>
  <c r="Y79" i="3" s="1"/>
  <c r="U79" i="3" a="1"/>
  <c r="U79" i="3" s="1"/>
  <c r="M79" i="3" a="1"/>
  <c r="M79" i="3" s="1"/>
  <c r="Q79" i="3" a="1"/>
  <c r="Q79" i="3" s="1"/>
  <c r="AH79" i="3" a="1"/>
  <c r="AH79" i="3" s="1"/>
  <c r="S79" i="3" a="1"/>
  <c r="S79" i="3" s="1"/>
  <c r="O73" i="3" a="1"/>
  <c r="O73" i="3" s="1"/>
  <c r="L73" i="3" a="1"/>
  <c r="L73" i="3" s="1"/>
  <c r="AH73" i="3" a="1"/>
  <c r="AH73" i="3" s="1"/>
  <c r="AD73" i="3" a="1"/>
  <c r="AD73" i="3" s="1"/>
  <c r="H73" i="3" a="1"/>
  <c r="H73" i="3" s="1"/>
  <c r="R73" i="3" a="1"/>
  <c r="R73" i="3" s="1"/>
  <c r="G73" i="3" a="1"/>
  <c r="G73" i="3" s="1"/>
  <c r="I73" i="3" a="1"/>
  <c r="I73" i="3" s="1"/>
  <c r="N73" i="3" a="1"/>
  <c r="N73" i="3" s="1"/>
  <c r="J73" i="3" a="1"/>
  <c r="J73" i="3" s="1"/>
  <c r="AJ73" i="3" a="1"/>
  <c r="AJ73" i="3" s="1"/>
  <c r="Z73" i="3" a="1"/>
  <c r="Z73" i="3" s="1"/>
  <c r="AK73" i="3" a="1"/>
  <c r="AK73" i="3" s="1"/>
  <c r="V73" i="3" a="1"/>
  <c r="V73" i="3" s="1"/>
  <c r="Q73" i="3" a="1"/>
  <c r="Q73" i="3" s="1"/>
  <c r="W73" i="3" a="1"/>
  <c r="W73" i="3" s="1"/>
  <c r="AB73" i="3" a="1"/>
  <c r="AB73" i="3" s="1"/>
  <c r="AG73" i="3" a="1"/>
  <c r="AG73" i="3" s="1"/>
  <c r="Y73" i="3" a="1"/>
  <c r="Y73" i="3" s="1"/>
  <c r="AC73" i="3" a="1"/>
  <c r="AC73" i="3" s="1"/>
  <c r="AF73" i="3" a="1"/>
  <c r="AF73" i="3" s="1"/>
  <c r="U73" i="3" a="1"/>
  <c r="U73" i="3" s="1"/>
  <c r="AA73" i="3" a="1"/>
  <c r="AA73" i="3" s="1"/>
  <c r="AI73" i="3" a="1"/>
  <c r="AI73" i="3" s="1"/>
  <c r="K73" i="3" a="1"/>
  <c r="K73" i="3" s="1"/>
  <c r="M73" i="3" a="1"/>
  <c r="M73" i="3" s="1"/>
  <c r="P73" i="3" a="1"/>
  <c r="P73" i="3" s="1"/>
  <c r="T73" i="3" a="1"/>
  <c r="T73" i="3" s="1"/>
  <c r="X73" i="3" a="1"/>
  <c r="X73" i="3" s="1"/>
  <c r="AE73" i="3" a="1"/>
  <c r="AE73" i="3" s="1"/>
  <c r="S73" i="3" a="1"/>
  <c r="S73" i="3" s="1"/>
  <c r="AI77" i="3" a="1"/>
  <c r="AI77" i="3" s="1"/>
  <c r="AC77" i="3" a="1"/>
  <c r="AC77" i="3" s="1"/>
  <c r="U77" i="3" a="1"/>
  <c r="U77" i="3" s="1"/>
  <c r="AB77" i="3" a="1"/>
  <c r="AB77" i="3" s="1"/>
  <c r="V77" i="3" a="1"/>
  <c r="V77" i="3" s="1"/>
  <c r="O77" i="3" a="1"/>
  <c r="O77" i="3" s="1"/>
  <c r="AA77" i="3" a="1"/>
  <c r="AA77" i="3" s="1"/>
  <c r="L77" i="3" a="1"/>
  <c r="L77" i="3" s="1"/>
  <c r="AG77" i="3" a="1"/>
  <c r="AG77" i="3" s="1"/>
  <c r="T77" i="3" a="1"/>
  <c r="T77" i="3" s="1"/>
  <c r="M77" i="3" a="1"/>
  <c r="M77" i="3" s="1"/>
  <c r="K77" i="3" a="1"/>
  <c r="K77" i="3" s="1"/>
  <c r="AE77" i="3" a="1"/>
  <c r="AE77" i="3" s="1"/>
  <c r="X77" i="3" a="1"/>
  <c r="X77" i="3" s="1"/>
  <c r="P77" i="3" a="1"/>
  <c r="P77" i="3" s="1"/>
  <c r="AJ77" i="3" a="1"/>
  <c r="AJ77" i="3" s="1"/>
  <c r="R77" i="3" a="1"/>
  <c r="R77" i="3" s="1"/>
  <c r="G77" i="3" a="1"/>
  <c r="G77" i="3" s="1"/>
  <c r="AF77" i="3" a="1"/>
  <c r="AF77" i="3" s="1"/>
  <c r="W77" i="3" a="1"/>
  <c r="W77" i="3" s="1"/>
  <c r="Z77" i="3" a="1"/>
  <c r="Z77" i="3" s="1"/>
  <c r="N77" i="3" a="1"/>
  <c r="N77" i="3" s="1"/>
  <c r="H77" i="3" a="1"/>
  <c r="H77" i="3" s="1"/>
  <c r="AK77" i="3" a="1"/>
  <c r="AK77" i="3" s="1"/>
  <c r="AD77" i="3" a="1"/>
  <c r="AD77" i="3" s="1"/>
  <c r="Y77" i="3" a="1"/>
  <c r="Y77" i="3" s="1"/>
  <c r="I77" i="3" a="1"/>
  <c r="I77" i="3" s="1"/>
  <c r="S77" i="3" a="1"/>
  <c r="S77" i="3" s="1"/>
  <c r="Q77" i="3" a="1"/>
  <c r="Q77" i="3" s="1"/>
  <c r="J77" i="3" a="1"/>
  <c r="J77" i="3" s="1"/>
  <c r="AH77" i="3" a="1"/>
  <c r="AH77" i="3" s="1"/>
  <c r="O78" i="3" a="1"/>
  <c r="O78" i="3" s="1"/>
  <c r="L78" i="3" a="1"/>
  <c r="L78" i="3" s="1"/>
  <c r="Y78" i="3" a="1"/>
  <c r="Y78" i="3" s="1"/>
  <c r="AH78" i="3" a="1"/>
  <c r="AH78" i="3" s="1"/>
  <c r="X78" i="3" a="1"/>
  <c r="X78" i="3" s="1"/>
  <c r="AG78" i="3" a="1"/>
  <c r="AG78" i="3" s="1"/>
  <c r="K78" i="3" a="1"/>
  <c r="K78" i="3" s="1"/>
  <c r="S78" i="3" a="1"/>
  <c r="S78" i="3" s="1"/>
  <c r="M78" i="3" a="1"/>
  <c r="M78" i="3" s="1"/>
  <c r="P78" i="3" a="1"/>
  <c r="P78" i="3" s="1"/>
  <c r="Z78" i="3" a="1"/>
  <c r="Z78" i="3" s="1"/>
  <c r="AI78" i="3" a="1"/>
  <c r="AI78" i="3" s="1"/>
  <c r="U78" i="3" a="1"/>
  <c r="U78" i="3" s="1"/>
  <c r="T78" i="3" a="1"/>
  <c r="T78" i="3" s="1"/>
  <c r="AF78" i="3" a="1"/>
  <c r="AF78" i="3" s="1"/>
  <c r="I78" i="3" a="1"/>
  <c r="I78" i="3" s="1"/>
  <c r="AB78" i="3" a="1"/>
  <c r="AB78" i="3" s="1"/>
  <c r="AJ78" i="3" a="1"/>
  <c r="AJ78" i="3" s="1"/>
  <c r="N78" i="3" a="1"/>
  <c r="N78" i="3" s="1"/>
  <c r="AC78" i="3" a="1"/>
  <c r="AC78" i="3" s="1"/>
  <c r="V78" i="3" a="1"/>
  <c r="V78" i="3" s="1"/>
  <c r="AD78" i="3" a="1"/>
  <c r="AD78" i="3" s="1"/>
  <c r="AE78" i="3" a="1"/>
  <c r="AE78" i="3" s="1"/>
  <c r="W78" i="3" a="1"/>
  <c r="W78" i="3" s="1"/>
  <c r="AA78" i="3" a="1"/>
  <c r="AA78" i="3" s="1"/>
  <c r="AK78" i="3" a="1"/>
  <c r="AK78" i="3" s="1"/>
  <c r="R78" i="3" a="1"/>
  <c r="R78" i="3" s="1"/>
  <c r="G78" i="3" a="1"/>
  <c r="G78" i="3" s="1"/>
  <c r="H78" i="3" a="1"/>
  <c r="H78" i="3" s="1"/>
  <c r="Q78" i="3" a="1"/>
  <c r="Q78" i="3" s="1"/>
  <c r="J78" i="3" a="1"/>
  <c r="J78" i="3" s="1"/>
  <c r="W74" i="3" a="1"/>
  <c r="W74" i="3" s="1"/>
  <c r="AJ74" i="3" a="1"/>
  <c r="AJ74" i="3" s="1"/>
  <c r="Q74" i="3" a="1"/>
  <c r="Q74" i="3" s="1"/>
  <c r="J74" i="3" a="1"/>
  <c r="J74" i="3" s="1"/>
  <c r="AH74" i="3" a="1"/>
  <c r="AH74" i="3" s="1"/>
  <c r="Y74" i="3" a="1"/>
  <c r="Y74" i="3" s="1"/>
  <c r="AC74" i="3" a="1"/>
  <c r="AC74" i="3" s="1"/>
  <c r="U74" i="3" a="1"/>
  <c r="U74" i="3" s="1"/>
  <c r="I74" i="3" a="1"/>
  <c r="I74" i="3" s="1"/>
  <c r="R74" i="3" a="1"/>
  <c r="R74" i="3" s="1"/>
  <c r="Z74" i="3" a="1"/>
  <c r="Z74" i="3" s="1"/>
  <c r="O74" i="3" a="1"/>
  <c r="O74" i="3" s="1"/>
  <c r="S74" i="3" a="1"/>
  <c r="S74" i="3" s="1"/>
  <c r="L74" i="3" a="1"/>
  <c r="L74" i="3" s="1"/>
  <c r="G74" i="3" a="1"/>
  <c r="G74" i="3" s="1"/>
  <c r="P74" i="3" a="1"/>
  <c r="P74" i="3" s="1"/>
  <c r="AF74" i="3" a="1"/>
  <c r="AF74" i="3" s="1"/>
  <c r="AK74" i="3" a="1"/>
  <c r="AK74" i="3" s="1"/>
  <c r="AD74" i="3" a="1"/>
  <c r="AD74" i="3" s="1"/>
  <c r="M74" i="3" a="1"/>
  <c r="M74" i="3" s="1"/>
  <c r="K74" i="3" a="1"/>
  <c r="K74" i="3" s="1"/>
  <c r="H74" i="3" a="1"/>
  <c r="H74" i="3" s="1"/>
  <c r="AI74" i="3" a="1"/>
  <c r="AI74" i="3" s="1"/>
  <c r="AE74" i="3" a="1"/>
  <c r="AE74" i="3" s="1"/>
  <c r="V74" i="3" a="1"/>
  <c r="V74" i="3" s="1"/>
  <c r="N74" i="3" a="1"/>
  <c r="N74" i="3" s="1"/>
  <c r="AB74" i="3" a="1"/>
  <c r="AB74" i="3" s="1"/>
  <c r="AA74" i="3" a="1"/>
  <c r="AA74" i="3" s="1"/>
  <c r="AG74" i="3" a="1"/>
  <c r="AG74" i="3" s="1"/>
  <c r="X74" i="3" a="1"/>
  <c r="X74" i="3" s="1"/>
  <c r="T74" i="3" a="1"/>
  <c r="T74" i="3" s="1"/>
  <c r="AA82" i="3" a="1"/>
  <c r="AA82" i="3" s="1"/>
  <c r="M82" i="3" a="1"/>
  <c r="M82" i="3" s="1"/>
  <c r="H82" i="3" a="1"/>
  <c r="H82" i="3" s="1"/>
  <c r="N82" i="3" a="1"/>
  <c r="N82" i="3" s="1"/>
  <c r="S82" i="3" a="1"/>
  <c r="S82" i="3" s="1"/>
  <c r="AG82" i="3" a="1"/>
  <c r="AG82" i="3" s="1"/>
  <c r="AE82" i="3" a="1"/>
  <c r="AE82" i="3" s="1"/>
  <c r="AJ82" i="3" a="1"/>
  <c r="AJ82" i="3" s="1"/>
  <c r="I82" i="3" a="1"/>
  <c r="I82" i="3" s="1"/>
  <c r="U82" i="3" a="1"/>
  <c r="U82" i="3" s="1"/>
  <c r="K82" i="3" a="1"/>
  <c r="K82" i="3" s="1"/>
  <c r="Y82" i="3" a="1"/>
  <c r="Y82" i="3" s="1"/>
  <c r="W82" i="3" a="1"/>
  <c r="W82" i="3" s="1"/>
  <c r="AB82" i="3" a="1"/>
  <c r="AB82" i="3" s="1"/>
  <c r="L82" i="3" a="1"/>
  <c r="L82" i="3" s="1"/>
  <c r="X82" i="3" a="1"/>
  <c r="X82" i="3" s="1"/>
  <c r="P82" i="3" a="1"/>
  <c r="P82" i="3" s="1"/>
  <c r="AK82" i="3" a="1"/>
  <c r="AK82" i="3" s="1"/>
  <c r="Q82" i="3" a="1"/>
  <c r="Q82" i="3" s="1"/>
  <c r="O82" i="3" a="1"/>
  <c r="O82" i="3" s="1"/>
  <c r="T82" i="3" a="1"/>
  <c r="T82" i="3" s="1"/>
  <c r="G82" i="3" a="1"/>
  <c r="G82" i="3" s="1"/>
  <c r="AC82" i="3" a="1"/>
  <c r="AC82" i="3" s="1"/>
  <c r="AD82" i="3" a="1"/>
  <c r="AD82" i="3" s="1"/>
  <c r="AI82" i="3" a="1"/>
  <c r="AI82" i="3" s="1"/>
  <c r="AH82" i="3" a="1"/>
  <c r="AH82" i="3" s="1"/>
  <c r="V82" i="3" a="1"/>
  <c r="V82" i="3" s="1"/>
  <c r="Z82" i="3" a="1"/>
  <c r="Z82" i="3" s="1"/>
  <c r="AF82" i="3" a="1"/>
  <c r="AF82" i="3" s="1"/>
  <c r="R82" i="3" a="1"/>
  <c r="R82" i="3" s="1"/>
  <c r="J82" i="3" a="1"/>
  <c r="J82" i="3" s="1"/>
  <c r="AF80" i="3" a="1"/>
  <c r="AF80" i="3" s="1"/>
  <c r="AK80" i="3" a="1"/>
  <c r="AK80" i="3" s="1"/>
  <c r="AG80" i="3" a="1"/>
  <c r="AG80" i="3" s="1"/>
  <c r="Y80" i="3" a="1"/>
  <c r="Y80" i="3" s="1"/>
  <c r="AI80" i="3" a="1"/>
  <c r="AI80" i="3" s="1"/>
  <c r="I80" i="3" a="1"/>
  <c r="I80" i="3" s="1"/>
  <c r="AA80" i="3" a="1"/>
  <c r="AA80" i="3" s="1"/>
  <c r="X80" i="3" a="1"/>
  <c r="X80" i="3" s="1"/>
  <c r="AE80" i="3" a="1"/>
  <c r="AE80" i="3" s="1"/>
  <c r="J80" i="3" a="1"/>
  <c r="J80" i="3" s="1"/>
  <c r="R80" i="3" a="1"/>
  <c r="R80" i="3" s="1"/>
  <c r="G80" i="3" a="1"/>
  <c r="G80" i="3" s="1"/>
  <c r="N80" i="3" a="1"/>
  <c r="N80" i="3" s="1"/>
  <c r="U80" i="3" a="1"/>
  <c r="U80" i="3" s="1"/>
  <c r="L80" i="3" a="1"/>
  <c r="L80" i="3" s="1"/>
  <c r="AC80" i="3" a="1"/>
  <c r="AC80" i="3" s="1"/>
  <c r="AJ80" i="3" a="1"/>
  <c r="AJ80" i="3" s="1"/>
  <c r="K80" i="3" a="1"/>
  <c r="K80" i="3" s="1"/>
  <c r="Z80" i="3" a="1"/>
  <c r="Z80" i="3" s="1"/>
  <c r="Q80" i="3" a="1"/>
  <c r="Q80" i="3" s="1"/>
  <c r="V80" i="3" a="1"/>
  <c r="V80" i="3" s="1"/>
  <c r="AD80" i="3" a="1"/>
  <c r="AD80" i="3" s="1"/>
  <c r="T80" i="3" a="1"/>
  <c r="T80" i="3" s="1"/>
  <c r="AB80" i="3" a="1"/>
  <c r="AB80" i="3" s="1"/>
  <c r="W80" i="3" a="1"/>
  <c r="W80" i="3" s="1"/>
  <c r="P80" i="3" a="1"/>
  <c r="P80" i="3" s="1"/>
  <c r="H80" i="3" a="1"/>
  <c r="H80" i="3" s="1"/>
  <c r="M80" i="3" a="1"/>
  <c r="M80" i="3" s="1"/>
  <c r="S80" i="3" a="1"/>
  <c r="S80" i="3" s="1"/>
  <c r="AH80" i="3" a="1"/>
  <c r="AH80" i="3" s="1"/>
  <c r="O80" i="3" a="1"/>
  <c r="O80" i="3" s="1"/>
  <c r="N58" i="1"/>
  <c r="N60" i="1"/>
  <c r="B103" i="3"/>
  <c r="E46" i="30"/>
  <c r="B94" i="3"/>
  <c r="E37" i="30"/>
  <c r="B102" i="3"/>
  <c r="E45" i="30"/>
  <c r="B95" i="3"/>
  <c r="E38" i="30"/>
  <c r="B99" i="3"/>
  <c r="E42" i="30"/>
  <c r="B96" i="3"/>
  <c r="E39" i="30"/>
  <c r="B100" i="3"/>
  <c r="E43" i="30"/>
  <c r="B97" i="3"/>
  <c r="E40" i="30"/>
  <c r="B93" i="3"/>
  <c r="E36" i="30"/>
  <c r="C126" i="9"/>
  <c r="C102" i="9"/>
  <c r="B89" i="3"/>
  <c r="E32" i="30"/>
  <c r="C114" i="9"/>
  <c r="C36" i="9"/>
  <c r="C84" i="9"/>
  <c r="C132" i="9"/>
  <c r="C150" i="9"/>
  <c r="C42" i="9"/>
  <c r="C90" i="9"/>
  <c r="C138" i="9"/>
  <c r="C186" i="9"/>
  <c r="C60" i="9"/>
  <c r="C108" i="9"/>
  <c r="C156" i="9"/>
  <c r="B67" i="3"/>
  <c r="AG96" i="3"/>
  <c r="Y96" i="3"/>
  <c r="Q96" i="3"/>
  <c r="I96" i="3"/>
  <c r="AA96" i="3"/>
  <c r="AF96" i="3"/>
  <c r="X96" i="3"/>
  <c r="P96" i="3"/>
  <c r="H96" i="3"/>
  <c r="AE96" i="3"/>
  <c r="W96" i="3"/>
  <c r="O96" i="3"/>
  <c r="G96" i="3"/>
  <c r="AD96" i="3"/>
  <c r="V96" i="3"/>
  <c r="N96" i="3"/>
  <c r="AK96" i="3"/>
  <c r="AC96" i="3"/>
  <c r="U96" i="3"/>
  <c r="M96" i="3"/>
  <c r="S96" i="3"/>
  <c r="AJ96" i="3"/>
  <c r="AB96" i="3"/>
  <c r="T96" i="3"/>
  <c r="L96" i="3"/>
  <c r="AI96" i="3"/>
  <c r="K96" i="3"/>
  <c r="R96" i="3"/>
  <c r="J96" i="3"/>
  <c r="AH96" i="3"/>
  <c r="Z96" i="3"/>
  <c r="AH97" i="3"/>
  <c r="Z97" i="3"/>
  <c r="R97" i="3"/>
  <c r="J97" i="3"/>
  <c r="AB97" i="3"/>
  <c r="L97" i="3"/>
  <c r="AG97" i="3"/>
  <c r="Y97" i="3"/>
  <c r="Q97" i="3"/>
  <c r="I97" i="3"/>
  <c r="AI97" i="3"/>
  <c r="AF97" i="3"/>
  <c r="X97" i="3"/>
  <c r="P97" i="3"/>
  <c r="H97" i="3"/>
  <c r="S97" i="3"/>
  <c r="AE97" i="3"/>
  <c r="W97" i="3"/>
  <c r="O97" i="3"/>
  <c r="G97" i="3"/>
  <c r="AD97" i="3"/>
  <c r="V97" i="3"/>
  <c r="N97" i="3"/>
  <c r="AA97" i="3"/>
  <c r="AK97" i="3"/>
  <c r="AC97" i="3"/>
  <c r="U97" i="3"/>
  <c r="M97" i="3"/>
  <c r="AJ97" i="3"/>
  <c r="T97" i="3"/>
  <c r="K97" i="3"/>
  <c r="B69" i="3"/>
  <c r="AI98" i="3"/>
  <c r="AA98" i="3"/>
  <c r="S98" i="3"/>
  <c r="K98" i="3"/>
  <c r="AK98" i="3"/>
  <c r="M98" i="3"/>
  <c r="AH98" i="3"/>
  <c r="Z98" i="3"/>
  <c r="R98" i="3"/>
  <c r="J98" i="3"/>
  <c r="AB98" i="3"/>
  <c r="AG98" i="3"/>
  <c r="Y98" i="3"/>
  <c r="Q98" i="3"/>
  <c r="I98" i="3"/>
  <c r="U98" i="3"/>
  <c r="L98" i="3"/>
  <c r="AF98" i="3"/>
  <c r="X98" i="3"/>
  <c r="P98" i="3"/>
  <c r="H98" i="3"/>
  <c r="AE98" i="3"/>
  <c r="W98" i="3"/>
  <c r="O98" i="3"/>
  <c r="G98" i="3"/>
  <c r="T98" i="3"/>
  <c r="AD98" i="3"/>
  <c r="V98" i="3"/>
  <c r="N98" i="3"/>
  <c r="AC98" i="3"/>
  <c r="AJ98" i="3"/>
  <c r="AJ91" i="3"/>
  <c r="AB91" i="3"/>
  <c r="T91" i="3"/>
  <c r="L91" i="3"/>
  <c r="V91" i="3"/>
  <c r="AI91" i="3"/>
  <c r="AA91" i="3"/>
  <c r="S91" i="3"/>
  <c r="K91" i="3"/>
  <c r="AH91" i="3"/>
  <c r="Z91" i="3"/>
  <c r="R91" i="3"/>
  <c r="J91" i="3"/>
  <c r="AG91" i="3"/>
  <c r="Y91" i="3"/>
  <c r="Q91" i="3"/>
  <c r="I91" i="3"/>
  <c r="AF91" i="3"/>
  <c r="X91" i="3"/>
  <c r="P91" i="3"/>
  <c r="H91" i="3"/>
  <c r="AE91" i="3"/>
  <c r="W91" i="3"/>
  <c r="O91" i="3"/>
  <c r="G91" i="3"/>
  <c r="AD91" i="3"/>
  <c r="N91" i="3"/>
  <c r="AK91" i="3"/>
  <c r="AC91" i="3"/>
  <c r="U91" i="3"/>
  <c r="M91" i="3"/>
  <c r="AJ99" i="3"/>
  <c r="AB99" i="3"/>
  <c r="T99" i="3"/>
  <c r="L99" i="3"/>
  <c r="AD99" i="3"/>
  <c r="AI99" i="3"/>
  <c r="AA99" i="3"/>
  <c r="S99" i="3"/>
  <c r="K99" i="3"/>
  <c r="AH99" i="3"/>
  <c r="Z99" i="3"/>
  <c r="R99" i="3"/>
  <c r="J99" i="3"/>
  <c r="AC99" i="3"/>
  <c r="M99" i="3"/>
  <c r="AG99" i="3"/>
  <c r="Y99" i="3"/>
  <c r="Q99" i="3"/>
  <c r="I99" i="3"/>
  <c r="AF99" i="3"/>
  <c r="X99" i="3"/>
  <c r="P99" i="3"/>
  <c r="H99" i="3"/>
  <c r="N99" i="3"/>
  <c r="U99" i="3"/>
  <c r="AE99" i="3"/>
  <c r="W99" i="3"/>
  <c r="O99" i="3"/>
  <c r="G99" i="3"/>
  <c r="V99" i="3"/>
  <c r="AK99" i="3"/>
  <c r="AK92" i="3"/>
  <c r="AC92" i="3"/>
  <c r="U92" i="3"/>
  <c r="M92" i="3"/>
  <c r="AE92" i="3"/>
  <c r="O92" i="3"/>
  <c r="AJ92" i="3"/>
  <c r="AB92" i="3"/>
  <c r="T92" i="3"/>
  <c r="L92" i="3"/>
  <c r="AI92" i="3"/>
  <c r="AA92" i="3"/>
  <c r="S92" i="3"/>
  <c r="K92" i="3"/>
  <c r="AH92" i="3"/>
  <c r="Z92" i="3"/>
  <c r="R92" i="3"/>
  <c r="J92" i="3"/>
  <c r="AG92" i="3"/>
  <c r="Y92" i="3"/>
  <c r="Q92" i="3"/>
  <c r="I92" i="3"/>
  <c r="G92" i="3"/>
  <c r="AF92" i="3"/>
  <c r="X92" i="3"/>
  <c r="P92" i="3"/>
  <c r="H92" i="3"/>
  <c r="W92" i="3"/>
  <c r="N92" i="3"/>
  <c r="AD92" i="3"/>
  <c r="V92" i="3"/>
  <c r="AK100" i="3"/>
  <c r="AC100" i="3"/>
  <c r="U100" i="3"/>
  <c r="M100" i="3"/>
  <c r="AE100" i="3"/>
  <c r="O100" i="3"/>
  <c r="AJ100" i="3"/>
  <c r="AB100" i="3"/>
  <c r="T100" i="3"/>
  <c r="L100" i="3"/>
  <c r="AI100" i="3"/>
  <c r="AA100" i="3"/>
  <c r="S100" i="3"/>
  <c r="K100" i="3"/>
  <c r="V100" i="3"/>
  <c r="AH100" i="3"/>
  <c r="Z100" i="3"/>
  <c r="R100" i="3"/>
  <c r="J100" i="3"/>
  <c r="AG100" i="3"/>
  <c r="Y100" i="3"/>
  <c r="Q100" i="3"/>
  <c r="I100" i="3"/>
  <c r="N100" i="3"/>
  <c r="AF100" i="3"/>
  <c r="X100" i="3"/>
  <c r="P100" i="3"/>
  <c r="H100" i="3"/>
  <c r="W100" i="3"/>
  <c r="G100" i="3"/>
  <c r="AD100" i="3"/>
  <c r="B66" i="3"/>
  <c r="B68" i="3"/>
  <c r="AD93" i="3"/>
  <c r="V93" i="3"/>
  <c r="N93" i="3"/>
  <c r="X93" i="3"/>
  <c r="AK93" i="3"/>
  <c r="AC93" i="3"/>
  <c r="U93" i="3"/>
  <c r="M93" i="3"/>
  <c r="AJ93" i="3"/>
  <c r="AB93" i="3"/>
  <c r="T93" i="3"/>
  <c r="L93" i="3"/>
  <c r="AI93" i="3"/>
  <c r="AA93" i="3"/>
  <c r="S93" i="3"/>
  <c r="K93" i="3"/>
  <c r="AH93" i="3"/>
  <c r="Z93" i="3"/>
  <c r="R93" i="3"/>
  <c r="J93" i="3"/>
  <c r="P93" i="3"/>
  <c r="AG93" i="3"/>
  <c r="Y93" i="3"/>
  <c r="Q93" i="3"/>
  <c r="I93" i="3"/>
  <c r="AF93" i="3"/>
  <c r="H93" i="3"/>
  <c r="O93" i="3"/>
  <c r="G93" i="3"/>
  <c r="AE93" i="3"/>
  <c r="W93" i="3"/>
  <c r="AD101" i="3"/>
  <c r="V101" i="3"/>
  <c r="N101" i="3"/>
  <c r="AF101" i="3"/>
  <c r="P101" i="3"/>
  <c r="AK101" i="3"/>
  <c r="AC101" i="3"/>
  <c r="U101" i="3"/>
  <c r="M101" i="3"/>
  <c r="G101" i="3"/>
  <c r="AJ101" i="3"/>
  <c r="AB101" i="3"/>
  <c r="T101" i="3"/>
  <c r="L101" i="3"/>
  <c r="O101" i="3"/>
  <c r="AI101" i="3"/>
  <c r="AA101" i="3"/>
  <c r="S101" i="3"/>
  <c r="K101" i="3"/>
  <c r="AH101" i="3"/>
  <c r="Z101" i="3"/>
  <c r="R101" i="3"/>
  <c r="J101" i="3"/>
  <c r="W101" i="3"/>
  <c r="AG101" i="3"/>
  <c r="Y101" i="3"/>
  <c r="Q101" i="3"/>
  <c r="I101" i="3"/>
  <c r="X101" i="3"/>
  <c r="H101" i="3"/>
  <c r="AE101" i="3"/>
  <c r="B65" i="3"/>
  <c r="AE94" i="3"/>
  <c r="W94" i="3"/>
  <c r="O94" i="3"/>
  <c r="G94" i="3"/>
  <c r="AG94" i="3"/>
  <c r="I94" i="3"/>
  <c r="AD94" i="3"/>
  <c r="V94" i="3"/>
  <c r="N94" i="3"/>
  <c r="AK94" i="3"/>
  <c r="AC94" i="3"/>
  <c r="U94" i="3"/>
  <c r="M94" i="3"/>
  <c r="AJ94" i="3"/>
  <c r="AB94" i="3"/>
  <c r="T94" i="3"/>
  <c r="L94" i="3"/>
  <c r="AI94" i="3"/>
  <c r="AA94" i="3"/>
  <c r="S94" i="3"/>
  <c r="K94" i="3"/>
  <c r="Y94" i="3"/>
  <c r="AH94" i="3"/>
  <c r="Z94" i="3"/>
  <c r="R94" i="3"/>
  <c r="J94" i="3"/>
  <c r="Q94" i="3"/>
  <c r="P94" i="3"/>
  <c r="H94" i="3"/>
  <c r="AF94" i="3"/>
  <c r="X94" i="3"/>
  <c r="AE102" i="3"/>
  <c r="W102" i="3"/>
  <c r="O102" i="3"/>
  <c r="G102" i="3"/>
  <c r="AG102" i="3"/>
  <c r="Q102" i="3"/>
  <c r="AD102" i="3"/>
  <c r="V102" i="3"/>
  <c r="N102" i="3"/>
  <c r="AK102" i="3"/>
  <c r="AC102" i="3"/>
  <c r="U102" i="3"/>
  <c r="M102" i="3"/>
  <c r="AF102" i="3"/>
  <c r="H102" i="3"/>
  <c r="AJ102" i="3"/>
  <c r="AB102" i="3"/>
  <c r="T102" i="3"/>
  <c r="L102" i="3"/>
  <c r="AI102" i="3"/>
  <c r="AA102" i="3"/>
  <c r="S102" i="3"/>
  <c r="K102" i="3"/>
  <c r="P102" i="3"/>
  <c r="AH102" i="3"/>
  <c r="Z102" i="3"/>
  <c r="R102" i="3"/>
  <c r="J102" i="3"/>
  <c r="Y102" i="3"/>
  <c r="I102" i="3"/>
  <c r="X102" i="3"/>
  <c r="AF95" i="3"/>
  <c r="X95" i="3"/>
  <c r="P95" i="3"/>
  <c r="H95" i="3"/>
  <c r="AH95" i="3"/>
  <c r="R95" i="3"/>
  <c r="AE95" i="3"/>
  <c r="W95" i="3"/>
  <c r="O95" i="3"/>
  <c r="G95" i="3"/>
  <c r="AD95" i="3"/>
  <c r="V95" i="3"/>
  <c r="N95" i="3"/>
  <c r="AK95" i="3"/>
  <c r="AC95" i="3"/>
  <c r="U95" i="3"/>
  <c r="M95" i="3"/>
  <c r="AJ95" i="3"/>
  <c r="AB95" i="3"/>
  <c r="T95" i="3"/>
  <c r="L95" i="3"/>
  <c r="AI95" i="3"/>
  <c r="AA95" i="3"/>
  <c r="S95" i="3"/>
  <c r="K95" i="3"/>
  <c r="Z95" i="3"/>
  <c r="J95" i="3"/>
  <c r="AG95" i="3"/>
  <c r="Q95" i="3"/>
  <c r="I95" i="3"/>
  <c r="Y95" i="3"/>
  <c r="AF103" i="3"/>
  <c r="X103" i="3"/>
  <c r="P103" i="3"/>
  <c r="H103" i="3"/>
  <c r="Z103" i="3"/>
  <c r="AE103" i="3"/>
  <c r="W103" i="3"/>
  <c r="O103" i="3"/>
  <c r="G103" i="3"/>
  <c r="AD103" i="3"/>
  <c r="V103" i="3"/>
  <c r="N103" i="3"/>
  <c r="Y103" i="3"/>
  <c r="AK103" i="3"/>
  <c r="AC103" i="3"/>
  <c r="U103" i="3"/>
  <c r="M103" i="3"/>
  <c r="AJ103" i="3"/>
  <c r="AB103" i="3"/>
  <c r="T103" i="3"/>
  <c r="L103" i="3"/>
  <c r="AG103" i="3"/>
  <c r="I103" i="3"/>
  <c r="AI103" i="3"/>
  <c r="AA103" i="3"/>
  <c r="S103" i="3"/>
  <c r="K103" i="3"/>
  <c r="AH103" i="3"/>
  <c r="R103" i="3"/>
  <c r="J103" i="3"/>
  <c r="Q103" i="3"/>
  <c r="B64" i="3"/>
  <c r="AE89" i="3"/>
  <c r="W89" i="3"/>
  <c r="O89" i="3"/>
  <c r="AD89" i="3"/>
  <c r="V89" i="3"/>
  <c r="N89" i="3"/>
  <c r="AK89" i="3"/>
  <c r="AC89" i="3"/>
  <c r="U89" i="3"/>
  <c r="M89" i="3"/>
  <c r="R89" i="3"/>
  <c r="AJ89" i="3"/>
  <c r="AB89" i="3"/>
  <c r="T89" i="3"/>
  <c r="L89" i="3"/>
  <c r="AH89" i="3"/>
  <c r="Z89" i="3"/>
  <c r="J89" i="3"/>
  <c r="AI89" i="3"/>
  <c r="AA89" i="3"/>
  <c r="S89" i="3"/>
  <c r="K89" i="3"/>
  <c r="AG89" i="3"/>
  <c r="Y89" i="3"/>
  <c r="Q89" i="3"/>
  <c r="I89" i="3"/>
  <c r="AF89" i="3"/>
  <c r="X89" i="3"/>
  <c r="P89" i="3"/>
  <c r="H89" i="3"/>
  <c r="AF90" i="3"/>
  <c r="X90" i="3"/>
  <c r="P90" i="3"/>
  <c r="H90" i="3"/>
  <c r="K90" i="3"/>
  <c r="AE90" i="3"/>
  <c r="W90" i="3"/>
  <c r="O90" i="3"/>
  <c r="G90" i="3"/>
  <c r="AD90" i="3"/>
  <c r="V90" i="3"/>
  <c r="N90" i="3"/>
  <c r="AK90" i="3"/>
  <c r="AC90" i="3"/>
  <c r="U90" i="3"/>
  <c r="M90" i="3"/>
  <c r="AI90" i="3"/>
  <c r="AA90" i="3"/>
  <c r="S90" i="3"/>
  <c r="AJ90" i="3"/>
  <c r="AB90" i="3"/>
  <c r="T90" i="3"/>
  <c r="L90" i="3"/>
  <c r="AH90" i="3"/>
  <c r="Z90" i="3"/>
  <c r="R90" i="3"/>
  <c r="J90" i="3"/>
  <c r="AG90" i="3"/>
  <c r="Y90" i="3"/>
  <c r="Q90" i="3"/>
  <c r="I90" i="3"/>
  <c r="G89" i="3"/>
  <c r="E95" i="3"/>
  <c r="AN44" i="3"/>
  <c r="AN38" i="3"/>
  <c r="AN36" i="3"/>
  <c r="C94" i="3"/>
  <c r="AN37" i="3"/>
  <c r="F66" i="3"/>
  <c r="F68" i="3"/>
  <c r="B101" i="3"/>
  <c r="AN39" i="3"/>
  <c r="AN45" i="3"/>
  <c r="AN40" i="3"/>
  <c r="F67" i="3"/>
  <c r="F69" i="3"/>
  <c r="AN35" i="3"/>
  <c r="AN43" i="3"/>
  <c r="AN42" i="3"/>
  <c r="AN41" i="3"/>
  <c r="F95" i="3"/>
  <c r="B98" i="3"/>
  <c r="AF104" i="3" l="1"/>
  <c r="AI104" i="3"/>
  <c r="R104" i="3"/>
  <c r="I104" i="3"/>
  <c r="O104" i="3"/>
  <c r="Q104" i="3"/>
  <c r="Y104" i="3"/>
  <c r="AH104" i="3"/>
  <c r="AC104" i="3"/>
  <c r="M104" i="3"/>
  <c r="AG104" i="3"/>
  <c r="L104" i="3"/>
  <c r="AK104" i="3"/>
  <c r="W104" i="3"/>
  <c r="AE104" i="3"/>
  <c r="H104" i="3"/>
  <c r="K104" i="3"/>
  <c r="T104" i="3"/>
  <c r="N104" i="3"/>
  <c r="Z104" i="3"/>
  <c r="P104" i="3"/>
  <c r="S104" i="3"/>
  <c r="AB104" i="3"/>
  <c r="V104" i="3"/>
  <c r="J104" i="3"/>
  <c r="U104" i="3"/>
  <c r="X104" i="3"/>
  <c r="AA104" i="3"/>
  <c r="AJ104" i="3"/>
  <c r="AD104" i="3"/>
  <c r="AZ7" i="3"/>
  <c r="AZ12" i="3"/>
  <c r="AZ9" i="3"/>
  <c r="AZ11" i="3"/>
  <c r="AZ13" i="3"/>
  <c r="AZ14" i="3"/>
  <c r="AZ8" i="3"/>
  <c r="AZ10" i="3"/>
  <c r="AI68" i="3" l="1" a="1"/>
  <c r="AI68" i="3" s="1"/>
  <c r="AB68" i="3" a="1"/>
  <c r="AB68" i="3" s="1"/>
  <c r="U68" i="3" a="1"/>
  <c r="U68" i="3" s="1"/>
  <c r="M68" i="3" a="1"/>
  <c r="M68" i="3" s="1"/>
  <c r="V68" i="3" a="1"/>
  <c r="V68" i="3" s="1"/>
  <c r="AH68" i="3" a="1"/>
  <c r="AH68" i="3" s="1"/>
  <c r="AA68" i="3" a="1"/>
  <c r="AA68" i="3" s="1"/>
  <c r="T68" i="3" a="1"/>
  <c r="T68" i="3" s="1"/>
  <c r="AG68" i="3" a="1"/>
  <c r="AG68" i="3" s="1"/>
  <c r="Z68" i="3" a="1"/>
  <c r="Z68" i="3" s="1"/>
  <c r="S68" i="3" a="1"/>
  <c r="S68" i="3" s="1"/>
  <c r="L68" i="3" a="1"/>
  <c r="L68" i="3" s="1"/>
  <c r="N68" i="3" a="1"/>
  <c r="N68" i="3" s="1"/>
  <c r="AF68" i="3" a="1"/>
  <c r="AF68" i="3" s="1"/>
  <c r="Y68" i="3" a="1"/>
  <c r="Y68" i="3" s="1"/>
  <c r="R68" i="3" a="1"/>
  <c r="R68" i="3" s="1"/>
  <c r="K68" i="3" a="1"/>
  <c r="K68" i="3" s="1"/>
  <c r="AJ68" i="3" a="1"/>
  <c r="AJ68" i="3" s="1"/>
  <c r="AE68" i="3" a="1"/>
  <c r="AE68" i="3" s="1"/>
  <c r="X68" i="3" a="1"/>
  <c r="X68" i="3" s="1"/>
  <c r="Q68" i="3" a="1"/>
  <c r="Q68" i="3" s="1"/>
  <c r="J68" i="3" a="1"/>
  <c r="J68" i="3" s="1"/>
  <c r="G68" i="3" a="1"/>
  <c r="G68" i="3" s="1"/>
  <c r="AD68" i="3" a="1"/>
  <c r="AD68" i="3" s="1"/>
  <c r="P68" i="3" a="1"/>
  <c r="P68" i="3" s="1"/>
  <c r="I68" i="3" a="1"/>
  <c r="I68" i="3" s="1"/>
  <c r="AK68" i="3" a="1"/>
  <c r="AK68" i="3" s="1"/>
  <c r="AC68" i="3" a="1"/>
  <c r="AC68" i="3" s="1"/>
  <c r="W68" i="3" a="1"/>
  <c r="W68" i="3" s="1"/>
  <c r="O68" i="3" a="1"/>
  <c r="O68" i="3" s="1"/>
  <c r="H68" i="3" a="1"/>
  <c r="H68" i="3" s="1"/>
  <c r="AG69" i="3" a="1"/>
  <c r="AG69" i="3" s="1"/>
  <c r="Z69" i="3" a="1"/>
  <c r="Z69" i="3" s="1"/>
  <c r="S69" i="3" a="1"/>
  <c r="S69" i="3" s="1"/>
  <c r="L69" i="3" a="1"/>
  <c r="L69" i="3" s="1"/>
  <c r="AF69" i="3" a="1"/>
  <c r="AF69" i="3" s="1"/>
  <c r="R69" i="3" a="1"/>
  <c r="R69" i="3" s="1"/>
  <c r="K69" i="3" a="1"/>
  <c r="K69" i="3" s="1"/>
  <c r="AA69" i="3" a="1"/>
  <c r="AA69" i="3" s="1"/>
  <c r="AE69" i="3" a="1"/>
  <c r="AE69" i="3" s="1"/>
  <c r="Y69" i="3" a="1"/>
  <c r="Y69" i="3" s="1"/>
  <c r="Q69" i="3" a="1"/>
  <c r="Q69" i="3" s="1"/>
  <c r="J69" i="3" a="1"/>
  <c r="J69" i="3" s="1"/>
  <c r="AH69" i="3" a="1"/>
  <c r="AH69" i="3" s="1"/>
  <c r="X69" i="3" a="1"/>
  <c r="X69" i="3" s="1"/>
  <c r="P69" i="3" a="1"/>
  <c r="P69" i="3" s="1"/>
  <c r="AK69" i="3" a="1"/>
  <c r="AK69" i="3" s="1"/>
  <c r="AD69" i="3" a="1"/>
  <c r="AD69" i="3" s="1"/>
  <c r="W69" i="3" a="1"/>
  <c r="W69" i="3" s="1"/>
  <c r="O69" i="3" a="1"/>
  <c r="O69" i="3" s="1"/>
  <c r="I69" i="3" a="1"/>
  <c r="I69" i="3" s="1"/>
  <c r="AJ69" i="3" a="1"/>
  <c r="AJ69" i="3" s="1"/>
  <c r="AC69" i="3" a="1"/>
  <c r="AC69" i="3" s="1"/>
  <c r="V69" i="3" a="1"/>
  <c r="V69" i="3" s="1"/>
  <c r="H69" i="3" a="1"/>
  <c r="H69" i="3" s="1"/>
  <c r="G69" i="3" a="1"/>
  <c r="G69" i="3" s="1"/>
  <c r="M69" i="3" a="1"/>
  <c r="M69" i="3" s="1"/>
  <c r="AI69" i="3" a="1"/>
  <c r="AI69" i="3" s="1"/>
  <c r="AB69" i="3" a="1"/>
  <c r="AB69" i="3" s="1"/>
  <c r="U69" i="3" a="1"/>
  <c r="U69" i="3" s="1"/>
  <c r="N69" i="3" a="1"/>
  <c r="N69" i="3" s="1"/>
  <c r="T69" i="3" a="1"/>
  <c r="T69" i="3" s="1"/>
  <c r="AJ70" i="3" a="1"/>
  <c r="AJ70" i="3" s="1"/>
  <c r="AC70" i="3" a="1"/>
  <c r="AC70" i="3" s="1"/>
  <c r="K70" i="3" a="1"/>
  <c r="K70" i="3" s="1"/>
  <c r="Q70" i="3" a="1"/>
  <c r="Q70" i="3" s="1"/>
  <c r="AI70" i="3" a="1"/>
  <c r="AI70" i="3" s="1"/>
  <c r="W70" i="3" a="1"/>
  <c r="W70" i="3" s="1"/>
  <c r="P70" i="3" a="1"/>
  <c r="P70" i="3" s="1"/>
  <c r="J70" i="3" a="1"/>
  <c r="J70" i="3" s="1"/>
  <c r="AK70" i="3" a="1"/>
  <c r="AK70" i="3" s="1"/>
  <c r="AH70" i="3" a="1"/>
  <c r="AH70" i="3" s="1"/>
  <c r="AB70" i="3" a="1"/>
  <c r="AB70" i="3" s="1"/>
  <c r="V70" i="3" a="1"/>
  <c r="V70" i="3" s="1"/>
  <c r="O70" i="3" a="1"/>
  <c r="O70" i="3" s="1"/>
  <c r="I70" i="3" a="1"/>
  <c r="I70" i="3" s="1"/>
  <c r="AG70" i="3" a="1"/>
  <c r="AG70" i="3" s="1"/>
  <c r="U70" i="3" a="1"/>
  <c r="U70" i="3" s="1"/>
  <c r="N70" i="3" a="1"/>
  <c r="N70" i="3" s="1"/>
  <c r="H70" i="3" a="1"/>
  <c r="H70" i="3" s="1"/>
  <c r="AD70" i="3" a="1"/>
  <c r="AD70" i="3" s="1"/>
  <c r="AA70" i="3" a="1"/>
  <c r="AA70" i="3" s="1"/>
  <c r="T70" i="3" a="1"/>
  <c r="T70" i="3" s="1"/>
  <c r="M70" i="3" a="1"/>
  <c r="M70" i="3" s="1"/>
  <c r="X70" i="3" a="1"/>
  <c r="X70" i="3" s="1"/>
  <c r="AF70" i="3" a="1"/>
  <c r="AF70" i="3" s="1"/>
  <c r="Z70" i="3" a="1"/>
  <c r="Z70" i="3" s="1"/>
  <c r="S70" i="3" a="1"/>
  <c r="S70" i="3" s="1"/>
  <c r="AE70" i="3" a="1"/>
  <c r="AE70" i="3" s="1"/>
  <c r="Y70" i="3" a="1"/>
  <c r="Y70" i="3" s="1"/>
  <c r="R70" i="3" a="1"/>
  <c r="R70" i="3" s="1"/>
  <c r="L70" i="3" a="1"/>
  <c r="L70" i="3" s="1"/>
  <c r="G70" i="3" a="1"/>
  <c r="G70" i="3" s="1"/>
  <c r="AA66" i="3" a="1"/>
  <c r="AA66" i="3" s="1"/>
  <c r="K66" i="3" a="1"/>
  <c r="K66" i="3" s="1"/>
  <c r="AB66" i="3" a="1"/>
  <c r="AB66" i="3" s="1"/>
  <c r="AK66" i="3" a="1"/>
  <c r="AK66" i="3" s="1"/>
  <c r="AF66" i="3" a="1"/>
  <c r="AF66" i="3" s="1"/>
  <c r="Z66" i="3" a="1"/>
  <c r="Z66" i="3" s="1"/>
  <c r="U66" i="3" a="1"/>
  <c r="U66" i="3" s="1"/>
  <c r="P66" i="3" a="1"/>
  <c r="P66" i="3" s="1"/>
  <c r="J66" i="3" a="1"/>
  <c r="J66" i="3" s="1"/>
  <c r="AJ66" i="3" a="1"/>
  <c r="AJ66" i="3" s="1"/>
  <c r="AE66" i="3" a="1"/>
  <c r="AE66" i="3" s="1"/>
  <c r="O66" i="3" a="1"/>
  <c r="O66" i="3" s="1"/>
  <c r="G66" i="3" a="1"/>
  <c r="G66" i="3" s="1"/>
  <c r="Q66" i="3" a="1"/>
  <c r="Q66" i="3" s="1"/>
  <c r="AD66" i="3" a="1"/>
  <c r="AD66" i="3" s="1"/>
  <c r="Y66" i="3" a="1"/>
  <c r="Y66" i="3" s="1"/>
  <c r="T66" i="3" a="1"/>
  <c r="T66" i="3" s="1"/>
  <c r="N66" i="3" a="1"/>
  <c r="N66" i="3" s="1"/>
  <c r="I66" i="3" a="1"/>
  <c r="I66" i="3" s="1"/>
  <c r="AG66" i="3" a="1"/>
  <c r="AG66" i="3" s="1"/>
  <c r="AI66" i="3" a="1"/>
  <c r="AI66" i="3" s="1"/>
  <c r="S66" i="3" a="1"/>
  <c r="S66" i="3" s="1"/>
  <c r="V66" i="3" a="1"/>
  <c r="V66" i="3" s="1"/>
  <c r="AH66" i="3" a="1"/>
  <c r="AH66" i="3" s="1"/>
  <c r="AC66" i="3" a="1"/>
  <c r="AC66" i="3" s="1"/>
  <c r="X66" i="3" a="1"/>
  <c r="X66" i="3" s="1"/>
  <c r="R66" i="3" a="1"/>
  <c r="R66" i="3" s="1"/>
  <c r="M66" i="3" a="1"/>
  <c r="M66" i="3" s="1"/>
  <c r="H66" i="3" a="1"/>
  <c r="H66" i="3" s="1"/>
  <c r="W66" i="3" a="1"/>
  <c r="W66" i="3" s="1"/>
  <c r="L66" i="3" a="1"/>
  <c r="L66" i="3" s="1"/>
  <c r="AK72" i="3" a="1"/>
  <c r="AK72" i="3" s="1"/>
  <c r="AC72" i="3" a="1"/>
  <c r="AC72" i="3" s="1"/>
  <c r="Q72" i="3" a="1"/>
  <c r="Q72" i="3" s="1"/>
  <c r="L72" i="3" a="1"/>
  <c r="L72" i="3" s="1"/>
  <c r="G72" i="3" a="1"/>
  <c r="G72" i="3" s="1"/>
  <c r="R72" i="3" a="1"/>
  <c r="R72" i="3" s="1"/>
  <c r="AJ72" i="3" a="1"/>
  <c r="AJ72" i="3" s="1"/>
  <c r="W72" i="3" a="1"/>
  <c r="W72" i="3" s="1"/>
  <c r="AI72" i="3" a="1"/>
  <c r="AI72" i="3" s="1"/>
  <c r="AB72" i="3" a="1"/>
  <c r="AB72" i="3" s="1"/>
  <c r="V72" i="3" a="1"/>
  <c r="V72" i="3" s="1"/>
  <c r="P72" i="3" a="1"/>
  <c r="P72" i="3" s="1"/>
  <c r="K72" i="3" a="1"/>
  <c r="K72" i="3" s="1"/>
  <c r="X72" i="3" a="1"/>
  <c r="X72" i="3" s="1"/>
  <c r="AH72" i="3" a="1"/>
  <c r="AH72" i="3" s="1"/>
  <c r="U72" i="3" a="1"/>
  <c r="U72" i="3" s="1"/>
  <c r="J72" i="3" a="1"/>
  <c r="J72" i="3" s="1"/>
  <c r="AG72" i="3" a="1"/>
  <c r="AG72" i="3" s="1"/>
  <c r="AA72" i="3" a="1"/>
  <c r="AA72" i="3" s="1"/>
  <c r="O72" i="3" a="1"/>
  <c r="O72" i="3" s="1"/>
  <c r="I72" i="3" a="1"/>
  <c r="I72" i="3" s="1"/>
  <c r="AD72" i="3" a="1"/>
  <c r="AD72" i="3" s="1"/>
  <c r="AF72" i="3" a="1"/>
  <c r="AF72" i="3" s="1"/>
  <c r="Z72" i="3" a="1"/>
  <c r="Z72" i="3" s="1"/>
  <c r="T72" i="3" a="1"/>
  <c r="T72" i="3" s="1"/>
  <c r="N72" i="3" a="1"/>
  <c r="N72" i="3" s="1"/>
  <c r="H72" i="3" a="1"/>
  <c r="H72" i="3" s="1"/>
  <c r="AE72" i="3" a="1"/>
  <c r="AE72" i="3" s="1"/>
  <c r="Y72" i="3" a="1"/>
  <c r="Y72" i="3" s="1"/>
  <c r="S72" i="3" a="1"/>
  <c r="S72" i="3" s="1"/>
  <c r="M72" i="3" a="1"/>
  <c r="M72" i="3" s="1"/>
  <c r="AK67" i="3" a="1"/>
  <c r="AK67" i="3" s="1"/>
  <c r="AC67" i="3" a="1"/>
  <c r="AC67" i="3" s="1"/>
  <c r="V67" i="3" a="1"/>
  <c r="V67" i="3" s="1"/>
  <c r="O67" i="3" a="1"/>
  <c r="O67" i="3" s="1"/>
  <c r="H67" i="3" a="1"/>
  <c r="H67" i="3" s="1"/>
  <c r="AJ67" i="3" a="1"/>
  <c r="AJ67" i="3" s="1"/>
  <c r="AB67" i="3" a="1"/>
  <c r="AB67" i="3" s="1"/>
  <c r="N67" i="3" a="1"/>
  <c r="N67" i="3" s="1"/>
  <c r="P67" i="3" a="1"/>
  <c r="P67" i="3" s="1"/>
  <c r="AI67" i="3" a="1"/>
  <c r="AI67" i="3" s="1"/>
  <c r="AA67" i="3" a="1"/>
  <c r="AA67" i="3" s="1"/>
  <c r="U67" i="3" a="1"/>
  <c r="U67" i="3" s="1"/>
  <c r="M67" i="3" a="1"/>
  <c r="M67" i="3" s="1"/>
  <c r="AH67" i="3" a="1"/>
  <c r="AH67" i="3" s="1"/>
  <c r="T67" i="3" a="1"/>
  <c r="T67" i="3" s="1"/>
  <c r="L67" i="3" a="1"/>
  <c r="L67" i="3" s="1"/>
  <c r="G67" i="3" a="1"/>
  <c r="G67" i="3" s="1"/>
  <c r="AG67" i="3" a="1"/>
  <c r="AG67" i="3" s="1"/>
  <c r="Z67" i="3" a="1"/>
  <c r="Z67" i="3" s="1"/>
  <c r="S67" i="3" a="1"/>
  <c r="S67" i="3" s="1"/>
  <c r="K67" i="3" a="1"/>
  <c r="K67" i="3" s="1"/>
  <c r="AD67" i="3" a="1"/>
  <c r="AD67" i="3" s="1"/>
  <c r="AF67" i="3" a="1"/>
  <c r="AF67" i="3" s="1"/>
  <c r="Y67" i="3" a="1"/>
  <c r="Y67" i="3" s="1"/>
  <c r="R67" i="3" a="1"/>
  <c r="R67" i="3" s="1"/>
  <c r="I67" i="3" a="1"/>
  <c r="I67" i="3" s="1"/>
  <c r="AE67" i="3" a="1"/>
  <c r="AE67" i="3" s="1"/>
  <c r="X67" i="3" a="1"/>
  <c r="X67" i="3" s="1"/>
  <c r="Q67" i="3" a="1"/>
  <c r="Q67" i="3" s="1"/>
  <c r="J67" i="3" a="1"/>
  <c r="J67" i="3" s="1"/>
  <c r="W67" i="3" a="1"/>
  <c r="W67" i="3" s="1"/>
  <c r="AJ71" i="3" a="1"/>
  <c r="AJ71" i="3" s="1"/>
  <c r="AD71" i="3" a="1"/>
  <c r="AD71" i="3" s="1"/>
  <c r="Y71" i="3" a="1"/>
  <c r="Y71" i="3" s="1"/>
  <c r="M71" i="3" a="1"/>
  <c r="M71" i="3" s="1"/>
  <c r="AI71" i="3" a="1"/>
  <c r="AI71" i="3" s="1"/>
  <c r="X71" i="3" a="1"/>
  <c r="X71" i="3" s="1"/>
  <c r="R71" i="3" a="1"/>
  <c r="R71" i="3" s="1"/>
  <c r="L71" i="3" a="1"/>
  <c r="L71" i="3" s="1"/>
  <c r="AC71" i="3" a="1"/>
  <c r="AC71" i="3" s="1"/>
  <c r="W71" i="3" a="1"/>
  <c r="W71" i="3" s="1"/>
  <c r="Q71" i="3" a="1"/>
  <c r="Q71" i="3" s="1"/>
  <c r="K71" i="3" a="1"/>
  <c r="K71" i="3" s="1"/>
  <c r="G71" i="3" a="1"/>
  <c r="G71" i="3" s="1"/>
  <c r="AH71" i="3" a="1"/>
  <c r="AH71" i="3" s="1"/>
  <c r="AB71" i="3" a="1"/>
  <c r="AB71" i="3" s="1"/>
  <c r="V71" i="3" a="1"/>
  <c r="V71" i="3" s="1"/>
  <c r="P71" i="3" a="1"/>
  <c r="P71" i="3" s="1"/>
  <c r="J71" i="3" a="1"/>
  <c r="J71" i="3" s="1"/>
  <c r="AG71" i="3" a="1"/>
  <c r="AG71" i="3" s="1"/>
  <c r="AA71" i="3" a="1"/>
  <c r="AA71" i="3" s="1"/>
  <c r="O71" i="3" a="1"/>
  <c r="O71" i="3" s="1"/>
  <c r="AF71" i="3" a="1"/>
  <c r="AF71" i="3" s="1"/>
  <c r="U71" i="3" a="1"/>
  <c r="U71" i="3" s="1"/>
  <c r="I71" i="3" a="1"/>
  <c r="I71" i="3" s="1"/>
  <c r="S71" i="3" a="1"/>
  <c r="S71" i="3" s="1"/>
  <c r="AE71" i="3" a="1"/>
  <c r="AE71" i="3" s="1"/>
  <c r="Z71" i="3" a="1"/>
  <c r="Z71" i="3" s="1"/>
  <c r="T71" i="3" a="1"/>
  <c r="T71" i="3" s="1"/>
  <c r="N71" i="3" a="1"/>
  <c r="N71" i="3" s="1"/>
  <c r="H71" i="3" a="1"/>
  <c r="H71" i="3" s="1"/>
  <c r="AK71" i="3" a="1"/>
  <c r="AK71" i="3" s="1"/>
  <c r="Y65" i="3" a="1"/>
  <c r="Y65" i="3" s="1"/>
  <c r="I65" i="3" a="1"/>
  <c r="I65" i="3" s="1"/>
  <c r="T65" i="3" a="1"/>
  <c r="T65" i="3" s="1"/>
  <c r="AI65" i="3" a="1"/>
  <c r="AI65" i="3" s="1"/>
  <c r="AD65" i="3" a="1"/>
  <c r="AD65" i="3" s="1"/>
  <c r="X65" i="3" a="1"/>
  <c r="X65" i="3" s="1"/>
  <c r="S65" i="3" a="1"/>
  <c r="S65" i="3" s="1"/>
  <c r="N65" i="3" a="1"/>
  <c r="N65" i="3" s="1"/>
  <c r="H65" i="3" a="1"/>
  <c r="H65" i="3" s="1"/>
  <c r="AJ65" i="3" a="1"/>
  <c r="AJ65" i="3" s="1"/>
  <c r="AC65" i="3" a="1"/>
  <c r="AC65" i="3" s="1"/>
  <c r="M65" i="3" a="1"/>
  <c r="M65" i="3" s="1"/>
  <c r="AH65" i="3" a="1"/>
  <c r="AH65" i="3" s="1"/>
  <c r="AB65" i="3" a="1"/>
  <c r="AB65" i="3" s="1"/>
  <c r="W65" i="3" a="1"/>
  <c r="W65" i="3" s="1"/>
  <c r="R65" i="3" a="1"/>
  <c r="R65" i="3" s="1"/>
  <c r="L65" i="3" a="1"/>
  <c r="L65" i="3" s="1"/>
  <c r="Z65" i="3" a="1"/>
  <c r="Z65" i="3" s="1"/>
  <c r="AG65" i="3" a="1"/>
  <c r="AG65" i="3" s="1"/>
  <c r="Q65" i="3" a="1"/>
  <c r="Q65" i="3" s="1"/>
  <c r="O65" i="3" a="1"/>
  <c r="O65" i="3" s="1"/>
  <c r="AF65" i="3" a="1"/>
  <c r="AF65" i="3" s="1"/>
  <c r="AA65" i="3" a="1"/>
  <c r="AA65" i="3" s="1"/>
  <c r="V65" i="3" a="1"/>
  <c r="V65" i="3" s="1"/>
  <c r="P65" i="3" a="1"/>
  <c r="P65" i="3" s="1"/>
  <c r="K65" i="3" a="1"/>
  <c r="K65" i="3" s="1"/>
  <c r="AE65" i="3" a="1"/>
  <c r="AE65" i="3" s="1"/>
  <c r="AK65" i="3" a="1"/>
  <c r="AK65" i="3" s="1"/>
  <c r="U65" i="3" a="1"/>
  <c r="U65" i="3" s="1"/>
  <c r="G65" i="3" a="1"/>
  <c r="G65" i="3" s="1"/>
  <c r="J65" i="3" a="1"/>
  <c r="J65" i="3" s="1"/>
  <c r="H28" i="1"/>
  <c r="M38" i="5" l="1"/>
  <c r="R26" i="1" s="1"/>
  <c r="C12" i="9" l="1"/>
  <c r="B12" i="9"/>
  <c r="R8" i="5" s="1"/>
  <c r="B8" i="5" s="1"/>
  <c r="C6" i="9"/>
  <c r="N56" i="1" s="1"/>
  <c r="B6" i="9"/>
  <c r="R7" i="5" s="1"/>
  <c r="B7" i="5" s="1"/>
  <c r="I37" i="7"/>
  <c r="C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C6" i="6"/>
  <c r="N52" i="1" s="1"/>
  <c r="B6" i="6"/>
  <c r="P38" i="5"/>
  <c r="R18" i="1" s="1"/>
  <c r="R16" i="1"/>
  <c r="E38" i="5"/>
  <c r="R14" i="1" s="1"/>
  <c r="F92" i="3"/>
  <c r="E92" i="3"/>
  <c r="C92" i="3"/>
  <c r="B92" i="3"/>
  <c r="F91" i="3"/>
  <c r="E91" i="3"/>
  <c r="C91" i="3"/>
  <c r="B91" i="3"/>
  <c r="F90" i="3"/>
  <c r="E90" i="3"/>
  <c r="C90" i="3"/>
  <c r="B90" i="3"/>
  <c r="F64" i="3"/>
  <c r="E64" i="3"/>
  <c r="C64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AN6" i="3"/>
  <c r="AB36" i="2"/>
  <c r="AA36" i="2"/>
  <c r="Y36" i="2"/>
  <c r="H25" i="1" s="1"/>
  <c r="X36" i="2"/>
  <c r="W36" i="2"/>
  <c r="V36" i="2"/>
  <c r="U36" i="2"/>
  <c r="T36" i="2"/>
  <c r="L36" i="2"/>
  <c r="H30" i="1" s="1"/>
  <c r="J36" i="2"/>
  <c r="H18" i="1" s="1"/>
  <c r="I36" i="2"/>
  <c r="H16" i="1" s="1"/>
  <c r="H36" i="2"/>
  <c r="G36" i="2"/>
  <c r="H12" i="1" s="1"/>
  <c r="F36" i="2"/>
  <c r="H10" i="1" s="1"/>
  <c r="AG5" i="2"/>
  <c r="H59" i="1"/>
  <c r="F59" i="1"/>
  <c r="D59" i="1"/>
  <c r="H46" i="1"/>
  <c r="F46" i="1"/>
  <c r="D46" i="1"/>
  <c r="I39" i="1"/>
  <c r="H39" i="1"/>
  <c r="G39" i="1"/>
  <c r="F39" i="1"/>
  <c r="E39" i="1"/>
  <c r="D39" i="1"/>
  <c r="N20" i="1" l="1"/>
  <c r="N22" i="1"/>
  <c r="N50" i="1"/>
  <c r="N70" i="1"/>
  <c r="H23" i="1"/>
  <c r="H21" i="1"/>
  <c r="C223" i="6"/>
  <c r="R52" i="1" s="1"/>
  <c r="N48" i="1"/>
  <c r="R38" i="5"/>
  <c r="R20" i="1" s="1"/>
  <c r="D35" i="1"/>
  <c r="B5" i="2"/>
  <c r="AG36" i="2"/>
  <c r="F9" i="1"/>
  <c r="AL46" i="3"/>
  <c r="B223" i="6"/>
  <c r="R50" i="1" s="1"/>
  <c r="B192" i="9"/>
  <c r="H9" i="1"/>
  <c r="H223" i="6"/>
  <c r="J223" i="6"/>
  <c r="G192" i="9"/>
  <c r="I192" i="9"/>
  <c r="K192" i="9"/>
  <c r="M192" i="9"/>
  <c r="AZ6" i="3"/>
  <c r="K64" i="3" l="1" a="1"/>
  <c r="K64" i="3" s="1"/>
  <c r="K84" i="3" s="1"/>
  <c r="R64" i="3" a="1"/>
  <c r="R64" i="3" s="1"/>
  <c r="R84" i="3" s="1"/>
  <c r="Y64" i="3" a="1"/>
  <c r="Y64" i="3" s="1"/>
  <c r="Y84" i="3" s="1"/>
  <c r="AF64" i="3" a="1"/>
  <c r="AF64" i="3" s="1"/>
  <c r="AF84" i="3" s="1"/>
  <c r="Q64" i="3" a="1"/>
  <c r="Q64" i="3" s="1"/>
  <c r="Q84" i="3" s="1"/>
  <c r="S64" i="3" a="1"/>
  <c r="S64" i="3" s="1"/>
  <c r="S84" i="3" s="1"/>
  <c r="Z64" i="3" a="1"/>
  <c r="Z64" i="3" s="1"/>
  <c r="Z84" i="3" s="1"/>
  <c r="AG64" i="3" a="1"/>
  <c r="AG64" i="3" s="1"/>
  <c r="AG84" i="3" s="1"/>
  <c r="X64" i="3" a="1"/>
  <c r="X64" i="3" s="1"/>
  <c r="X84" i="3" s="1"/>
  <c r="L64" i="3" a="1"/>
  <c r="L64" i="3" s="1"/>
  <c r="L84" i="3" s="1"/>
  <c r="T64" i="3" a="1"/>
  <c r="T64" i="3" s="1"/>
  <c r="T84" i="3" s="1"/>
  <c r="AA64" i="3" a="1"/>
  <c r="AA64" i="3" s="1"/>
  <c r="AA84" i="3" s="1"/>
  <c r="AH64" i="3" a="1"/>
  <c r="AH64" i="3" s="1"/>
  <c r="AH84" i="3" s="1"/>
  <c r="M64" i="3" a="1"/>
  <c r="M64" i="3" s="1"/>
  <c r="M84" i="3" s="1"/>
  <c r="U64" i="3" a="1"/>
  <c r="U64" i="3" s="1"/>
  <c r="U84" i="3" s="1"/>
  <c r="AI64" i="3" a="1"/>
  <c r="AI64" i="3" s="1"/>
  <c r="AI84" i="3" s="1"/>
  <c r="AE64" i="3" a="1"/>
  <c r="AE64" i="3" s="1"/>
  <c r="AE84" i="3" s="1"/>
  <c r="H64" i="3" a="1"/>
  <c r="H64" i="3" s="1"/>
  <c r="H84" i="3" s="1"/>
  <c r="N64" i="3" a="1"/>
  <c r="N64" i="3" s="1"/>
  <c r="N84" i="3" s="1"/>
  <c r="V64" i="3" a="1"/>
  <c r="V64" i="3" s="1"/>
  <c r="V84" i="3" s="1"/>
  <c r="AB64" i="3" a="1"/>
  <c r="AB64" i="3" s="1"/>
  <c r="AB84" i="3" s="1"/>
  <c r="AJ64" i="3" a="1"/>
  <c r="AJ64" i="3" s="1"/>
  <c r="AJ84" i="3" s="1"/>
  <c r="O64" i="3" a="1"/>
  <c r="O64" i="3" s="1"/>
  <c r="O84" i="3" s="1"/>
  <c r="W64" i="3" a="1"/>
  <c r="W64" i="3" s="1"/>
  <c r="W84" i="3" s="1"/>
  <c r="AC64" i="3" a="1"/>
  <c r="AC64" i="3" s="1"/>
  <c r="AC84" i="3" s="1"/>
  <c r="AK64" i="3" a="1"/>
  <c r="AK64" i="3" s="1"/>
  <c r="AK84" i="3" s="1"/>
  <c r="J64" i="3" a="1"/>
  <c r="J64" i="3" s="1"/>
  <c r="J84" i="3" s="1"/>
  <c r="I64" i="3" a="1"/>
  <c r="I64" i="3" s="1"/>
  <c r="I84" i="3" s="1"/>
  <c r="P64" i="3" a="1"/>
  <c r="P64" i="3" s="1"/>
  <c r="P84" i="3" s="1"/>
  <c r="AD64" i="3" a="1"/>
  <c r="AD64" i="3" s="1"/>
  <c r="AD84" i="3" s="1"/>
  <c r="U20" i="1"/>
  <c r="U18" i="1"/>
  <c r="U16" i="1"/>
  <c r="Q54" i="1"/>
  <c r="Q60" i="1"/>
  <c r="U52" i="1"/>
  <c r="U54" i="1"/>
  <c r="Q52" i="1"/>
  <c r="U68" i="1"/>
  <c r="U28" i="1"/>
  <c r="Q68" i="1"/>
  <c r="G64" i="3" a="1"/>
  <c r="G64" i="3" s="1"/>
  <c r="U66" i="1"/>
  <c r="U22" i="1"/>
  <c r="F32" i="1"/>
  <c r="Q18" i="1"/>
  <c r="Q22" i="1"/>
  <c r="Q66" i="1"/>
  <c r="Q16" i="1"/>
  <c r="Q20" i="1"/>
  <c r="Q56" i="1"/>
  <c r="Q28" i="1"/>
  <c r="E223" i="6"/>
  <c r="C192" i="9"/>
  <c r="B36" i="2"/>
  <c r="C36" i="2" s="1"/>
  <c r="C38" i="5"/>
  <c r="R10" i="1" s="1"/>
  <c r="U14" i="1"/>
  <c r="G104" i="3"/>
  <c r="D36" i="2"/>
  <c r="AF36" i="2"/>
  <c r="R70" i="1" s="1"/>
  <c r="U70" i="1" s="1"/>
  <c r="Q50" i="1"/>
  <c r="Q14" i="1"/>
  <c r="Q26" i="1"/>
  <c r="Q24" i="1"/>
  <c r="Q58" i="1"/>
  <c r="Q12" i="1"/>
  <c r="E192" i="9"/>
  <c r="R60" i="1" s="1"/>
  <c r="U60" i="1" s="1"/>
  <c r="AN46" i="3"/>
  <c r="H32" i="1"/>
  <c r="E6" i="1"/>
  <c r="H5" i="1" s="1"/>
  <c r="U12" i="1"/>
  <c r="U24" i="1"/>
  <c r="U26" i="1"/>
  <c r="U50" i="1"/>
  <c r="U62" i="1"/>
  <c r="V50" i="1" l="1"/>
  <c r="V24" i="1"/>
  <c r="Q70" i="1"/>
  <c r="U58" i="1"/>
  <c r="R56" i="1"/>
  <c r="U56" i="1" s="1"/>
  <c r="AL104" i="3"/>
  <c r="S48" i="1" s="1"/>
  <c r="O48" i="1"/>
  <c r="Q48" i="1" s="1"/>
  <c r="Q62" i="1"/>
  <c r="B38" i="5"/>
  <c r="Q10" i="1"/>
  <c r="Q64" i="1"/>
  <c r="G84" i="3"/>
  <c r="O30" i="1" s="1"/>
  <c r="U10" i="1"/>
  <c r="V10" i="1" s="1"/>
  <c r="U64" i="1"/>
  <c r="V62" i="1" s="1"/>
  <c r="Q30" i="1" l="1"/>
  <c r="AL84" i="3"/>
  <c r="S30" i="1" s="1"/>
  <c r="U48" i="1"/>
  <c r="V56" i="1" s="1"/>
  <c r="N9" i="1" l="1"/>
  <c r="Q9" i="1" s="1"/>
  <c r="U30" i="1"/>
  <c r="V30" i="1" s="1"/>
  <c r="R9" i="1"/>
  <c r="U9" i="1" s="1"/>
  <c r="N6" i="1" l="1"/>
  <c r="Q5" i="1" s="1"/>
  <c r="R6" i="1"/>
  <c r="U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<sst xmlns="http://schemas.openxmlformats.org/spreadsheetml/2006/main" count="2511" uniqueCount="570">
  <si>
    <t>카드수수료(예상)</t>
  </si>
  <si>
    <t>배달수수료(예상)</t>
  </si>
  <si>
    <t>직원 관련 특이사항</t>
  </si>
  <si>
    <t>카드취소 특이사항</t>
  </si>
  <si>
    <t>고객 관련 특이사항</t>
  </si>
  <si>
    <t>영수건수/고객수</t>
  </si>
  <si>
    <t>월간
실근무일수</t>
  </si>
  <si>
    <t>① 정직원 근무현황</t>
  </si>
  <si>
    <t>■ 일간 근무표 작성</t>
  </si>
  <si>
    <t>■ 일간 매출 작성</t>
  </si>
  <si>
    <t>판매품목별 매출</t>
  </si>
  <si>
    <t>월차/반차
일수</t>
  </si>
  <si>
    <t>■ 원재료 입고현황</t>
  </si>
  <si>
    <t>원재료 관련 특이사항</t>
  </si>
  <si>
    <t>메뉴</t>
  </si>
  <si>
    <t>이름</t>
  </si>
  <si>
    <t>입사일</t>
  </si>
  <si>
    <t>고객</t>
  </si>
  <si>
    <t>처리</t>
  </si>
  <si>
    <t>기타</t>
  </si>
  <si>
    <t>만원</t>
  </si>
  <si>
    <t>내용</t>
  </si>
  <si>
    <t>취소액</t>
  </si>
  <si>
    <t>당일</t>
  </si>
  <si>
    <t>일급여</t>
  </si>
  <si>
    <t>포장</t>
  </si>
  <si>
    <t>일자</t>
  </si>
  <si>
    <t>합 계</t>
  </si>
  <si>
    <t xml:space="preserve"> </t>
  </si>
  <si>
    <t>임대료</t>
  </si>
  <si>
    <t>부재료</t>
  </si>
  <si>
    <t>오만원</t>
  </si>
  <si>
    <t>고객수</t>
  </si>
  <si>
    <t>천원</t>
  </si>
  <si>
    <t>할인액</t>
  </si>
  <si>
    <t>음료</t>
  </si>
  <si>
    <t>연락처</t>
  </si>
  <si>
    <t>백원</t>
  </si>
  <si>
    <t>구 분</t>
  </si>
  <si>
    <t>주류</t>
  </si>
  <si>
    <t>서비스</t>
  </si>
  <si>
    <t>월급여</t>
  </si>
  <si>
    <t>십만원</t>
  </si>
  <si>
    <t>점</t>
  </si>
  <si>
    <t>오천원</t>
  </si>
  <si>
    <t>직원</t>
  </si>
  <si>
    <t>달성율</t>
  </si>
  <si>
    <t>오백원</t>
  </si>
  <si>
    <t>시급</t>
  </si>
  <si>
    <t>▼ 근로자 관련 특이사항 및 처리사항 최대한 간단히 입력</t>
  </si>
  <si>
    <t>▼ 예산내에서 전용법인카드로 사용</t>
  </si>
  <si>
    <t>■ 매장 기타 지출내역</t>
  </si>
  <si>
    <t>▼ 각 권종별 수량 입력</t>
  </si>
  <si>
    <t>테이블단가
(배달포함)</t>
  </si>
  <si>
    <t>월급(4대보험예상포함)</t>
  </si>
  <si>
    <t>매장지출_복리
총지출액</t>
  </si>
  <si>
    <t>매장지출_기타
총지출액</t>
  </si>
  <si>
    <r>
      <rPr>
        <b/>
        <sz val="11"/>
        <color rgb="FF000000"/>
        <rFont val="맑은 고딕"/>
        <family val="3"/>
        <charset val="129"/>
      </rPr>
      <t>퇴사일</t>
    </r>
    <r>
      <rPr>
        <sz val="11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맑은 고딕"/>
        <family val="3"/>
        <charset val="129"/>
      </rPr>
      <t>(마지막근무일)</t>
    </r>
  </si>
  <si>
    <t>▼ 고객 컴플레인 등 내역 및 처리사항 최대한 간단히 입력</t>
  </si>
  <si>
    <t>▼ 원재료/비품 등 손망실 내역 및 처리사항 최대한 간단히 입력</t>
  </si>
  <si>
    <t>이체금액</t>
  </si>
  <si>
    <t>현금시재</t>
  </si>
  <si>
    <t>영수건수</t>
  </si>
  <si>
    <t>주민번호</t>
  </si>
  <si>
    <t>카드매출</t>
  </si>
  <si>
    <t>총매출액</t>
  </si>
  <si>
    <t>급여계좌</t>
  </si>
  <si>
    <t>계좌이체</t>
  </si>
  <si>
    <t>현금매출액</t>
  </si>
  <si>
    <t>서비스액</t>
  </si>
  <si>
    <t>현금영수증</t>
  </si>
  <si>
    <t>이체건수</t>
  </si>
  <si>
    <t>수 입 합 계</t>
  </si>
  <si>
    <t>처리완료 여부</t>
  </si>
  <si>
    <t>특이사항 내역</t>
  </si>
  <si>
    <t>정기휴무
일수</t>
  </si>
  <si>
    <t>취소건수</t>
  </si>
  <si>
    <t>원재료/비품</t>
  </si>
  <si>
    <t>월 누적매출액</t>
  </si>
  <si>
    <t>순매출액</t>
  </si>
  <si>
    <t>복리후생비</t>
  </si>
  <si>
    <t>결제금액</t>
  </si>
  <si>
    <t>목표 매출액</t>
  </si>
  <si>
    <t>매장 순매출</t>
  </si>
  <si>
    <t>입고금액</t>
  </si>
  <si>
    <t>고객정보</t>
  </si>
  <si>
    <t>지 출 합 계</t>
  </si>
  <si>
    <t>총 시재금액</t>
  </si>
  <si>
    <t>총 근로자</t>
  </si>
  <si>
    <t>기타메뉴</t>
  </si>
  <si>
    <t>근무조건</t>
  </si>
  <si>
    <t>파트타이머</t>
  </si>
  <si>
    <t>지출내역</t>
  </si>
  <si>
    <t>오백원/백원</t>
  </si>
  <si>
    <t>총 급여</t>
  </si>
  <si>
    <t>할  인</t>
  </si>
  <si>
    <t>※ 특이사항</t>
  </si>
  <si>
    <t>총근무시간</t>
  </si>
  <si>
    <t>취소사유</t>
  </si>
  <si>
    <t>기타 특이사항</t>
  </si>
  <si>
    <t>기타주류</t>
  </si>
  <si>
    <t>품목별
매출</t>
  </si>
  <si>
    <t>테이블 단가</t>
  </si>
  <si>
    <t>월 누적</t>
  </si>
  <si>
    <t>처리내역</t>
  </si>
  <si>
    <r>
      <t xml:space="preserve">파트
</t>
    </r>
    <r>
      <rPr>
        <sz val="10"/>
        <color rgb="FF000000"/>
        <rFont val="맑은 고딕"/>
        <family val="3"/>
        <charset val="129"/>
      </rPr>
      <t>(홀/주방)</t>
    </r>
  </si>
  <si>
    <t>본사지출_집기비품
총지출액</t>
    <phoneticPr fontId="46" type="noConversion"/>
  </si>
  <si>
    <t>본사지출_원재료
총지출액</t>
    <phoneticPr fontId="46" type="noConversion"/>
  </si>
  <si>
    <t>구분</t>
    <phoneticPr fontId="46" type="noConversion"/>
  </si>
  <si>
    <t>이름</t>
    <phoneticPr fontId="46" type="noConversion"/>
  </si>
  <si>
    <t>고정근로자</t>
    <phoneticPr fontId="46" type="noConversion"/>
  </si>
  <si>
    <t>파트타이머</t>
    <phoneticPr fontId="46" type="noConversion"/>
  </si>
  <si>
    <t>근무조건</t>
    <phoneticPr fontId="46" type="noConversion"/>
  </si>
  <si>
    <t>시급</t>
    <phoneticPr fontId="46" type="noConversion"/>
  </si>
  <si>
    <t>주민번호</t>
    <phoneticPr fontId="46" type="noConversion"/>
  </si>
  <si>
    <t>연락처</t>
    <phoneticPr fontId="46" type="noConversion"/>
  </si>
  <si>
    <t>급여계좌</t>
    <phoneticPr fontId="46" type="noConversion"/>
  </si>
  <si>
    <t>당월 구분</t>
    <phoneticPr fontId="46" type="noConversion"/>
  </si>
  <si>
    <t>지 출 합 계</t>
    <phoneticPr fontId="46" type="noConversion"/>
  </si>
  <si>
    <t>선택</t>
  </si>
  <si>
    <t>월 영업일</t>
    <phoneticPr fontId="46" type="noConversion"/>
  </si>
  <si>
    <t>근무파트</t>
    <phoneticPr fontId="46" type="noConversion"/>
  </si>
  <si>
    <t>직책</t>
    <phoneticPr fontId="46" type="noConversion"/>
  </si>
  <si>
    <t>직책</t>
    <phoneticPr fontId="46" type="noConversion"/>
  </si>
  <si>
    <t>입사일</t>
    <phoneticPr fontId="46" type="noConversion"/>
  </si>
  <si>
    <t>퇴사일</t>
    <phoneticPr fontId="46" type="noConversion"/>
  </si>
  <si>
    <t>■ 매장 기본정보 입력 _ 매월초</t>
    <phoneticPr fontId="46" type="noConversion"/>
  </si>
  <si>
    <t>② 알바 근무현황 _ 근무시간 직접 작성(예 : 1, 1.5, 2, 2.5…)</t>
    <phoneticPr fontId="46" type="noConversion"/>
  </si>
  <si>
    <t>-</t>
  </si>
  <si>
    <t>총 매입액</t>
    <phoneticPr fontId="46" type="noConversion"/>
  </si>
  <si>
    <t>손 익 현 황</t>
    <phoneticPr fontId="46" type="noConversion"/>
  </si>
  <si>
    <t>당일</t>
    <phoneticPr fontId="46" type="noConversion"/>
  </si>
  <si>
    <t>월 누적</t>
    <phoneticPr fontId="46" type="noConversion"/>
  </si>
  <si>
    <t>핑크색 부분만 작성</t>
    <phoneticPr fontId="46" type="noConversion"/>
  </si>
  <si>
    <t>정수기</t>
    <phoneticPr fontId="46" type="noConversion"/>
  </si>
  <si>
    <t>방역</t>
    <phoneticPr fontId="46" type="noConversion"/>
  </si>
  <si>
    <t>화재보험</t>
    <phoneticPr fontId="46" type="noConversion"/>
  </si>
  <si>
    <t>신고방법</t>
    <phoneticPr fontId="46" type="noConversion"/>
  </si>
  <si>
    <t>파트타임</t>
    <phoneticPr fontId="46" type="noConversion"/>
  </si>
  <si>
    <t>건강보험</t>
  </si>
  <si>
    <t>국민연금</t>
  </si>
  <si>
    <t>장기요양</t>
  </si>
  <si>
    <t>고용보험</t>
  </si>
  <si>
    <t>4대보험
사용자分 합계</t>
  </si>
  <si>
    <t>4대보험포함
총 급 여</t>
    <phoneticPr fontId="46" type="noConversion"/>
  </si>
  <si>
    <t>식대</t>
    <phoneticPr fontId="46" type="noConversion"/>
  </si>
  <si>
    <t>차량유지</t>
    <phoneticPr fontId="46" type="noConversion"/>
  </si>
  <si>
    <t>비용구분</t>
    <phoneticPr fontId="46" type="noConversion"/>
  </si>
  <si>
    <t>임대료</t>
    <phoneticPr fontId="46" type="noConversion"/>
  </si>
  <si>
    <t>업체명</t>
    <phoneticPr fontId="46" type="noConversion"/>
  </si>
  <si>
    <t>계약기간 등 추가사항</t>
    <phoneticPr fontId="46" type="noConversion"/>
  </si>
  <si>
    <t>POS</t>
    <phoneticPr fontId="46" type="noConversion"/>
  </si>
  <si>
    <t>인터넷/전화</t>
    <phoneticPr fontId="46" type="noConversion"/>
  </si>
  <si>
    <t>테이블오더</t>
    <phoneticPr fontId="46" type="noConversion"/>
  </si>
  <si>
    <t>이체일</t>
    <phoneticPr fontId="46" type="noConversion"/>
  </si>
  <si>
    <t>SMS수수료</t>
    <phoneticPr fontId="46" type="noConversion"/>
  </si>
  <si>
    <t>총 합 계</t>
    <phoneticPr fontId="46" type="noConversion"/>
  </si>
  <si>
    <t>■ 근로자 현황</t>
    <phoneticPr fontId="46" type="noConversion"/>
  </si>
  <si>
    <t>2.근로자 현황_파트타이머</t>
    <phoneticPr fontId="46" type="noConversion"/>
  </si>
  <si>
    <t>전용식자재</t>
    <phoneticPr fontId="46" type="noConversion"/>
  </si>
  <si>
    <t>주류</t>
    <phoneticPr fontId="46" type="noConversion"/>
  </si>
  <si>
    <t>←품목명</t>
    <phoneticPr fontId="46" type="noConversion"/>
  </si>
  <si>
    <t>←업체명</t>
    <phoneticPr fontId="46" type="noConversion"/>
  </si>
  <si>
    <t>매장지출_원재료
총지출액</t>
    <phoneticPr fontId="46" type="noConversion"/>
  </si>
  <si>
    <t>1. 매월 기초 세팅</t>
    <phoneticPr fontId="46" type="noConversion"/>
  </si>
  <si>
    <t>도시가스</t>
    <phoneticPr fontId="46" type="noConversion"/>
  </si>
  <si>
    <t>전기료</t>
    <phoneticPr fontId="46" type="noConversion"/>
  </si>
  <si>
    <t>수도료</t>
    <phoneticPr fontId="46" type="noConversion"/>
  </si>
  <si>
    <r>
      <t>3. 고정비2_</t>
    </r>
    <r>
      <rPr>
        <b/>
        <sz val="12"/>
        <color rgb="FFFF0000"/>
        <rFont val="맑은 고딕"/>
        <family val="3"/>
        <charset val="129"/>
      </rPr>
      <t>운영 月고정비</t>
    </r>
    <r>
      <rPr>
        <b/>
        <sz val="12"/>
        <color rgb="FF000000"/>
        <rFont val="맑은 고딕"/>
        <family val="3"/>
        <charset val="129"/>
      </rPr>
      <t>(VAT포함 실 지출액)</t>
    </r>
    <phoneticPr fontId="46" type="noConversion"/>
  </si>
  <si>
    <r>
      <t>2. 고정비1_</t>
    </r>
    <r>
      <rPr>
        <b/>
        <sz val="12"/>
        <color rgb="FFFF0000"/>
        <rFont val="맑은 고딕"/>
        <family val="3"/>
        <charset val="129"/>
      </rPr>
      <t>임대료/관리비/주류대출</t>
    </r>
    <r>
      <rPr>
        <b/>
        <sz val="12"/>
        <color rgb="FF000000"/>
        <rFont val="맑은 고딕"/>
        <family val="3"/>
        <charset val="129"/>
      </rPr>
      <t>(VAT포함 실 지출액)</t>
    </r>
    <phoneticPr fontId="46" type="noConversion"/>
  </si>
  <si>
    <t>건물관리비</t>
    <phoneticPr fontId="46" type="noConversion"/>
  </si>
  <si>
    <t>카드/시재</t>
    <phoneticPr fontId="46" type="noConversion"/>
  </si>
  <si>
    <t>집기/설비/수리 등</t>
    <phoneticPr fontId="46" type="noConversion"/>
  </si>
  <si>
    <t>원재료</t>
    <phoneticPr fontId="46" type="noConversion"/>
  </si>
  <si>
    <t>←매달 금액변경 : 전월 기준 작성 후, 당월 실제 지출액으로 변경</t>
    <phoneticPr fontId="46" type="noConversion"/>
  </si>
  <si>
    <t>품목</t>
    <phoneticPr fontId="50" type="noConversion"/>
  </si>
  <si>
    <t>수량</t>
    <phoneticPr fontId="50" type="noConversion"/>
  </si>
  <si>
    <t>단가</t>
    <phoneticPr fontId="50" type="noConversion"/>
  </si>
  <si>
    <t>금액</t>
    <phoneticPr fontId="50" type="noConversion"/>
  </si>
  <si>
    <t>합계</t>
    <phoneticPr fontId="50" type="noConversion"/>
  </si>
  <si>
    <t>■ 데일리 단가체크 원재료</t>
    <phoneticPr fontId="50" type="noConversion"/>
  </si>
  <si>
    <t>품목명</t>
    <phoneticPr fontId="46" type="noConversion"/>
  </si>
  <si>
    <t>본사 구매분</t>
    <phoneticPr fontId="46" type="noConversion"/>
  </si>
  <si>
    <t>본사구매 원재료</t>
    <phoneticPr fontId="46" type="noConversion"/>
  </si>
  <si>
    <r>
      <rPr>
        <b/>
        <sz val="18"/>
        <color rgb="FFFF0000"/>
        <rFont val="맑은 고딕"/>
        <family val="3"/>
        <charset val="129"/>
      </rPr>
      <t>기타 지출</t>
    </r>
    <r>
      <rPr>
        <sz val="14"/>
        <color rgb="FF000000"/>
        <rFont val="맑은 고딕"/>
        <family val="3"/>
        <charset val="129"/>
      </rPr>
      <t>(비품 등)</t>
    </r>
    <phoneticPr fontId="46" type="noConversion"/>
  </si>
  <si>
    <t>↑
드롭다운 선택</t>
    <phoneticPr fontId="46" type="noConversion"/>
  </si>
  <si>
    <t>이체일</t>
    <phoneticPr fontId="46" type="noConversion"/>
  </si>
  <si>
    <t>당월목표</t>
    <phoneticPr fontId="46" type="noConversion"/>
  </si>
  <si>
    <t>실제금액</t>
    <phoneticPr fontId="46" type="noConversion"/>
  </si>
  <si>
    <t>건드리지 말것
(해당월 일수)</t>
    <phoneticPr fontId="46" type="noConversion"/>
  </si>
  <si>
    <t>다수</t>
    <phoneticPr fontId="46" type="noConversion"/>
  </si>
  <si>
    <t>기타식자재</t>
    <phoneticPr fontId="46" type="noConversion"/>
  </si>
  <si>
    <t>데일리
체크</t>
    <phoneticPr fontId="46" type="noConversion"/>
  </si>
  <si>
    <r>
      <t>현장구매</t>
    </r>
    <r>
      <rPr>
        <b/>
        <sz val="10"/>
        <color rgb="FFFF0000"/>
        <rFont val="맑은 고딕"/>
        <family val="3"/>
        <charset val="129"/>
      </rPr>
      <t>(법카)</t>
    </r>
    <phoneticPr fontId="46" type="noConversion"/>
  </si>
  <si>
    <t>본사구매</t>
    <phoneticPr fontId="46" type="noConversion"/>
  </si>
  <si>
    <t>집기/설비/수리 등</t>
    <phoneticPr fontId="46" type="noConversion"/>
  </si>
  <si>
    <r>
      <t>카드/배달수수료</t>
    </r>
    <r>
      <rPr>
        <sz val="10"/>
        <color rgb="FF000000"/>
        <rFont val="굴림"/>
        <family val="3"/>
        <charset val="129"/>
      </rPr>
      <t>(평균)</t>
    </r>
    <phoneticPr fontId="46" type="noConversion"/>
  </si>
  <si>
    <t>인건비</t>
    <phoneticPr fontId="46" type="noConversion"/>
  </si>
  <si>
    <t>본사지출</t>
    <phoneticPr fontId="46" type="noConversion"/>
  </si>
  <si>
    <t>고정비
/기타</t>
    <phoneticPr fontId="46" type="noConversion"/>
  </si>
  <si>
    <t>대출상환</t>
    <phoneticPr fontId="46" type="noConversion"/>
  </si>
  <si>
    <t>※인건비는 4대보험 사업자부담분 '예상'액을 포함하고 있습니다.</t>
    <phoneticPr fontId="46" type="noConversion"/>
  </si>
  <si>
    <r>
      <t>관리비</t>
    </r>
    <r>
      <rPr>
        <sz val="10"/>
        <color rgb="FF000000"/>
        <rFont val="굴림"/>
        <family val="3"/>
        <charset val="129"/>
      </rPr>
      <t>(평균)</t>
    </r>
    <phoneticPr fontId="46" type="noConversion"/>
  </si>
  <si>
    <t>현장구매(카드/시재)</t>
    <phoneticPr fontId="46" type="noConversion"/>
  </si>
  <si>
    <r>
      <t xml:space="preserve">설정금액
</t>
    </r>
    <r>
      <rPr>
        <b/>
        <sz val="8"/>
        <color rgb="FF000000"/>
        <rFont val="맑은 고딕"/>
        <family val="3"/>
        <charset val="129"/>
      </rPr>
      <t>(평균기준)</t>
    </r>
    <phoneticPr fontId="46" type="noConversion"/>
  </si>
  <si>
    <t>보안설비</t>
    <phoneticPr fontId="46" type="noConversion"/>
  </si>
  <si>
    <t>데일리 단가변동 체크 원재료</t>
    <phoneticPr fontId="46" type="noConversion"/>
  </si>
  <si>
    <t>품목명</t>
  </si>
  <si>
    <t>재고원가</t>
  </si>
  <si>
    <t xml:space="preserve"> 품목명 : </t>
  </si>
  <si>
    <t xml:space="preserve">업체명 : </t>
  </si>
  <si>
    <t>다수</t>
    <phoneticPr fontId="50" type="noConversion"/>
  </si>
  <si>
    <t>주류</t>
    <phoneticPr fontId="50" type="noConversion"/>
  </si>
  <si>
    <t>대정</t>
    <phoneticPr fontId="50" type="noConversion"/>
  </si>
  <si>
    <t>음료</t>
    <phoneticPr fontId="50" type="noConversion"/>
  </si>
  <si>
    <t>코카콜라음료수</t>
    <phoneticPr fontId="50" type="noConversion"/>
  </si>
  <si>
    <t>품목</t>
  </si>
  <si>
    <t>단위</t>
    <phoneticPr fontId="50" type="noConversion"/>
  </si>
  <si>
    <t>재고수량</t>
    <phoneticPr fontId="50" type="noConversion"/>
  </si>
  <si>
    <t>매입단가</t>
    <phoneticPr fontId="50" type="noConversion"/>
  </si>
  <si>
    <t>■ 근무스케쥴표</t>
  </si>
  <si>
    <t>&lt;작성방법&gt;</t>
  </si>
  <si>
    <t>←표시된 부분만 작성!!</t>
  </si>
  <si>
    <t>① 정직원 스케쥴현황</t>
  </si>
  <si>
    <t>· 기록방법 (중요!!)</t>
  </si>
  <si>
    <t>직급</t>
  </si>
  <si>
    <t>출근</t>
  </si>
  <si>
    <t>퇴근</t>
  </si>
  <si>
    <t>근무시간</t>
  </si>
  <si>
    <t>구분</t>
  </si>
  <si>
    <t>기록방법</t>
  </si>
  <si>
    <t>출근시간</t>
  </si>
  <si>
    <t>TT:MM</t>
  </si>
  <si>
    <t>퇴근시간</t>
  </si>
  <si>
    <t>주간정기휴무</t>
  </si>
  <si>
    <t>월차시</t>
  </si>
  <si>
    <t>반차시</t>
  </si>
  <si>
    <t>무급휴무시</t>
  </si>
  <si>
    <t>타매장으로 파견시</t>
  </si>
  <si>
    <t>타매장에서 지원시</t>
  </si>
  <si>
    <t>② 알바 스케쥴현황</t>
  </si>
  <si>
    <t>※관리비 및 카드/배달 수수료는 '평균수수료율' 로 반영하였습니다.</t>
    <phoneticPr fontId="46" type="noConversion"/>
  </si>
  <si>
    <t>재고현황</t>
    <phoneticPr fontId="46" type="noConversion"/>
  </si>
  <si>
    <t>월초</t>
    <phoneticPr fontId="50" type="noConversion"/>
  </si>
  <si>
    <t>월말</t>
    <phoneticPr fontId="50" type="noConversion"/>
  </si>
  <si>
    <t>전용식재</t>
    <phoneticPr fontId="46" type="noConversion"/>
  </si>
  <si>
    <t>일반식재</t>
    <phoneticPr fontId="46" type="noConversion"/>
  </si>
  <si>
    <t>기타식재</t>
    <phoneticPr fontId="46" type="noConversion"/>
  </si>
  <si>
    <t>전용식재</t>
    <phoneticPr fontId="50" type="noConversion"/>
  </si>
  <si>
    <t>씨제이프레시웨이</t>
    <phoneticPr fontId="50" type="noConversion"/>
  </si>
  <si>
    <t>일빈식재</t>
    <phoneticPr fontId="50" type="noConversion"/>
  </si>
  <si>
    <t>기타식재</t>
    <phoneticPr fontId="50" type="noConversion"/>
  </si>
  <si>
    <t>대촌/청정</t>
    <phoneticPr fontId="50" type="noConversion"/>
  </si>
  <si>
    <t>보험/통신/렌탈/운영비 등</t>
    <phoneticPr fontId="46" type="noConversion"/>
  </si>
  <si>
    <t>지출내역</t>
    <phoneticPr fontId="46" type="noConversion"/>
  </si>
  <si>
    <t>세무기장료</t>
    <phoneticPr fontId="46" type="noConversion"/>
  </si>
  <si>
    <r>
      <t>과세대상급여</t>
    </r>
    <r>
      <rPr>
        <b/>
        <sz val="8"/>
        <color rgb="FF000000"/>
        <rFont val="맑은 고딕"/>
        <family val="3"/>
        <charset val="129"/>
      </rPr>
      <t xml:space="preserve">
(직책수당포함)</t>
    </r>
    <phoneticPr fontId="46" type="noConversion"/>
  </si>
  <si>
    <r>
      <t xml:space="preserve">총급여
</t>
    </r>
    <r>
      <rPr>
        <b/>
        <sz val="8"/>
        <color rgb="FF000000"/>
        <rFont val="맑은 고딕"/>
        <family val="3"/>
        <charset val="129"/>
      </rPr>
      <t>(직책수당포함)</t>
    </r>
    <phoneticPr fontId="46" type="noConversion"/>
  </si>
  <si>
    <t>4대보험</t>
  </si>
  <si>
    <t xml:space="preserve"> </t>
    <phoneticPr fontId="46" type="noConversion"/>
  </si>
  <si>
    <t>참이슬</t>
    <phoneticPr fontId="46" type="noConversion"/>
  </si>
  <si>
    <t>box</t>
    <phoneticPr fontId="46" type="noConversion"/>
  </si>
  <si>
    <t>처음처럼</t>
  </si>
  <si>
    <t>진로</t>
  </si>
  <si>
    <t>새로</t>
  </si>
  <si>
    <t>한맥 생</t>
    <phoneticPr fontId="46" type="noConversion"/>
  </si>
  <si>
    <t>keg</t>
    <phoneticPr fontId="46" type="noConversion"/>
  </si>
  <si>
    <t>산토리 생</t>
    <phoneticPr fontId="46" type="noConversion"/>
  </si>
  <si>
    <t>켄터키젠틀맨</t>
    <phoneticPr fontId="46" type="noConversion"/>
  </si>
  <si>
    <t>btl</t>
    <phoneticPr fontId="46" type="noConversion"/>
  </si>
  <si>
    <t>피치트리</t>
    <phoneticPr fontId="46" type="noConversion"/>
  </si>
  <si>
    <t>봄베이사파이어</t>
    <phoneticPr fontId="46" type="noConversion"/>
  </si>
  <si>
    <t>비잔크리어</t>
    <phoneticPr fontId="46" type="noConversion"/>
  </si>
  <si>
    <t>죠센다루사케</t>
    <phoneticPr fontId="46" type="noConversion"/>
  </si>
  <si>
    <t>다이야메</t>
    <phoneticPr fontId="46" type="noConversion"/>
  </si>
  <si>
    <t>요하찌로</t>
    <phoneticPr fontId="46" type="noConversion"/>
  </si>
  <si>
    <t>스바루 나마죠조</t>
    <phoneticPr fontId="46" type="noConversion"/>
  </si>
  <si>
    <t>하나야구준마이</t>
    <phoneticPr fontId="46" type="noConversion"/>
  </si>
  <si>
    <t>월계관준마이</t>
    <phoneticPr fontId="46" type="noConversion"/>
  </si>
  <si>
    <t>가모츠루혼죠조가라구치</t>
    <phoneticPr fontId="46" type="noConversion"/>
  </si>
  <si>
    <t>센</t>
    <phoneticPr fontId="46" type="noConversion"/>
  </si>
  <si>
    <t>남부비진긴죠</t>
    <phoneticPr fontId="46" type="noConversion"/>
  </si>
  <si>
    <t>츠루우메유즈</t>
    <phoneticPr fontId="46" type="noConversion"/>
  </si>
  <si>
    <t>다카라 야마나시 백도</t>
    <phoneticPr fontId="46" type="noConversion"/>
  </si>
  <si>
    <t>요카이치무기</t>
    <phoneticPr fontId="46" type="noConversion"/>
  </si>
  <si>
    <t>블루 큐라소</t>
    <phoneticPr fontId="46" type="noConversion"/>
  </si>
  <si>
    <t>콜라</t>
  </si>
  <si>
    <t>제로콜라</t>
  </si>
  <si>
    <t>box</t>
  </si>
  <si>
    <t>사이다</t>
  </si>
  <si>
    <t xml:space="preserve"> 토닉워터</t>
  </si>
  <si>
    <t>돼지갈비</t>
    <phoneticPr fontId="46" type="noConversion"/>
  </si>
  <si>
    <t>ea</t>
  </si>
  <si>
    <t>테바사키</t>
  </si>
  <si>
    <t>돈까스</t>
  </si>
  <si>
    <t>pak</t>
  </si>
  <si>
    <t>소세지</t>
  </si>
  <si>
    <t>깐쇼새우</t>
  </si>
  <si>
    <t>새우머리튀김</t>
  </si>
  <si>
    <t>오징어피쉬볼</t>
  </si>
  <si>
    <t>오징어백족</t>
  </si>
  <si>
    <t>가문어통족</t>
  </si>
  <si>
    <t>편노가리</t>
  </si>
  <si>
    <t>쥐포</t>
  </si>
  <si>
    <t>해물유부</t>
  </si>
  <si>
    <t>매콤닭꼬치</t>
  </si>
  <si>
    <t>파닭꼬치</t>
  </si>
  <si>
    <t>순대강정</t>
  </si>
  <si>
    <t>콘프라이</t>
  </si>
  <si>
    <t>슈스트링감자</t>
  </si>
  <si>
    <t>고구마튀김</t>
  </si>
  <si>
    <t>유티아오</t>
  </si>
  <si>
    <t>계란</t>
  </si>
  <si>
    <t>마라땅콩</t>
  </si>
  <si>
    <t>건고추</t>
  </si>
  <si>
    <t>kg</t>
  </si>
  <si>
    <t>도시락김</t>
  </si>
  <si>
    <t>트러플오일</t>
  </si>
  <si>
    <t>쓰레기봉투</t>
  </si>
  <si>
    <t>롤팩(17x25)</t>
  </si>
  <si>
    <t>롤팩(25x35)</t>
  </si>
  <si>
    <t>롤팩(30x40)</t>
  </si>
  <si>
    <t>사과파이필링</t>
  </si>
  <si>
    <t>치킨파우더</t>
  </si>
  <si>
    <t>돼지갈비양념</t>
  </si>
  <si>
    <t>버터</t>
  </si>
  <si>
    <t>우유</t>
  </si>
  <si>
    <t>백설탕</t>
  </si>
  <si>
    <t>셀룰로이드행주</t>
  </si>
  <si>
    <t>부산어묵</t>
  </si>
  <si>
    <t xml:space="preserve"> ea</t>
  </si>
  <si>
    <t>식초</t>
  </si>
  <si>
    <t>흑후추가루</t>
  </si>
  <si>
    <t>참기름</t>
  </si>
  <si>
    <t>해물육수</t>
  </si>
  <si>
    <t>김치육수</t>
  </si>
  <si>
    <t>해물떡볶이소스</t>
  </si>
  <si>
    <t>돈코츠소스</t>
  </si>
  <si>
    <t>테바사키소스</t>
  </si>
  <si>
    <t>깐쇼칠리소스</t>
  </si>
  <si>
    <t>데미글라스소스</t>
  </si>
  <si>
    <t>로제소스</t>
  </si>
  <si>
    <t>스리라차마요소스</t>
  </si>
  <si>
    <t>어니언마요소스</t>
  </si>
  <si>
    <t>마요딥소스</t>
  </si>
  <si>
    <t>마라소스</t>
  </si>
  <si>
    <t>나쵸치즈소스</t>
  </si>
  <si>
    <t>스끼야끼소스</t>
  </si>
  <si>
    <t>타코오코소스</t>
  </si>
  <si>
    <t>고추장시즈닝</t>
  </si>
  <si>
    <t>소이된장시즈닝</t>
  </si>
  <si>
    <t>양꼬치시즈닝</t>
  </si>
  <si>
    <t>치즈맛시즈닝</t>
  </si>
  <si>
    <t>볶음콩가루</t>
  </si>
  <si>
    <t>슈가파우더</t>
  </si>
  <si>
    <t>고춧가루</t>
  </si>
  <si>
    <t>파슬리후레이크</t>
  </si>
  <si>
    <t>다시다</t>
  </si>
  <si>
    <t>식용유</t>
  </si>
  <si>
    <t>볶음참깨</t>
  </si>
  <si>
    <t>피자치즈</t>
  </si>
  <si>
    <t>시나몬파우더</t>
  </si>
  <si>
    <t>핸드타올</t>
  </si>
  <si>
    <t>테이블냅킨</t>
  </si>
  <si>
    <t>물티슈</t>
  </si>
  <si>
    <t>양념치킨소스</t>
  </si>
  <si>
    <t>커스터드믹스</t>
  </si>
  <si>
    <t>은사수세미</t>
  </si>
  <si>
    <t>올스텐수세미</t>
  </si>
  <si>
    <t>유니랩</t>
  </si>
  <si>
    <t>청귤베이스</t>
  </si>
  <si>
    <t>청포도베이스</t>
  </si>
  <si>
    <t>유자청</t>
  </si>
  <si>
    <t>낙지볶음밥</t>
    <phoneticPr fontId="46" type="noConversion"/>
  </si>
  <si>
    <t>ea</t>
    <phoneticPr fontId="46" type="noConversion"/>
  </si>
  <si>
    <t>반건조오징어</t>
    <phoneticPr fontId="46" type="noConversion"/>
  </si>
  <si>
    <t>느타리버섯</t>
    <phoneticPr fontId="46" type="noConversion"/>
  </si>
  <si>
    <t>팽이버섯</t>
  </si>
  <si>
    <t>표고버섯</t>
  </si>
  <si>
    <t>쑥갓</t>
  </si>
  <si>
    <t>양파</t>
  </si>
  <si>
    <t>대파</t>
  </si>
  <si>
    <t>단</t>
  </si>
  <si>
    <t>당근</t>
  </si>
  <si>
    <t>토마토</t>
  </si>
  <si>
    <t>볶음김치</t>
  </si>
  <si>
    <t>양배추</t>
  </si>
  <si>
    <t>통감자</t>
  </si>
  <si>
    <t>레몬</t>
  </si>
  <si>
    <t>베이컨</t>
  </si>
  <si>
    <t>아이스크림</t>
  </si>
  <si>
    <t>런천미트</t>
  </si>
  <si>
    <t>밀떡</t>
  </si>
  <si>
    <t>할라피뇨</t>
  </si>
  <si>
    <t>꼬지어묵</t>
  </si>
  <si>
    <t>마요네즈</t>
    <phoneticPr fontId="46" type="noConversion"/>
  </si>
  <si>
    <t>우동면</t>
  </si>
  <si>
    <t>황도</t>
  </si>
  <si>
    <t>스위트콘</t>
  </si>
  <si>
    <t>맛소금</t>
  </si>
  <si>
    <t>연유</t>
  </si>
  <si>
    <t>휘핑크림</t>
  </si>
  <si>
    <t>초코시럽</t>
  </si>
  <si>
    <t>불닭볶음면</t>
  </si>
  <si>
    <t>레몬쥬스</t>
  </si>
  <si>
    <t>허니머스타드</t>
    <phoneticPr fontId="46" type="noConversion"/>
  </si>
  <si>
    <t>청양고추</t>
  </si>
  <si>
    <t>케찹</t>
  </si>
  <si>
    <t>아이깨끗해</t>
  </si>
  <si>
    <t>고무장갑</t>
    <phoneticPr fontId="46" type="noConversion"/>
  </si>
  <si>
    <t>부탄가스</t>
  </si>
  <si>
    <t>린넨</t>
  </si>
  <si>
    <t>위생장갑</t>
  </si>
  <si>
    <t>라텍스장갑</t>
  </si>
  <si>
    <t>퐁퐁</t>
  </si>
  <si>
    <t>락스</t>
  </si>
  <si>
    <t>세제</t>
  </si>
  <si>
    <t>카스 병</t>
    <phoneticPr fontId="46" type="noConversion"/>
  </si>
  <si>
    <t>카스 제로</t>
    <phoneticPr fontId="46" type="noConversion"/>
  </si>
  <si>
    <t>한맥 병</t>
    <phoneticPr fontId="46" type="noConversion"/>
  </si>
  <si>
    <t xml:space="preserve"> </t>
    <phoneticPr fontId="46" type="noConversion"/>
  </si>
  <si>
    <t>닭정육</t>
    <phoneticPr fontId="46" type="noConversion"/>
  </si>
  <si>
    <t>먹태</t>
    <phoneticPr fontId="46" type="noConversion"/>
  </si>
  <si>
    <t>바베큐오징어</t>
    <phoneticPr fontId="46" type="noConversion"/>
  </si>
  <si>
    <t>꼬지어묵</t>
    <phoneticPr fontId="46" type="noConversion"/>
  </si>
  <si>
    <t>부산어묵</t>
    <phoneticPr fontId="46" type="noConversion"/>
  </si>
  <si>
    <t>부대찌개</t>
    <phoneticPr fontId="46" type="noConversion"/>
  </si>
  <si>
    <t>김말이</t>
    <phoneticPr fontId="46" type="noConversion"/>
  </si>
  <si>
    <t>납작만두</t>
    <phoneticPr fontId="46" type="noConversion"/>
  </si>
  <si>
    <t>감자채전</t>
    <phoneticPr fontId="46" type="noConversion"/>
  </si>
  <si>
    <t>고추튀김</t>
    <phoneticPr fontId="46" type="noConversion"/>
  </si>
  <si>
    <t>후라이드킹스틱</t>
    <phoneticPr fontId="46" type="noConversion"/>
  </si>
  <si>
    <t>통살새우스틱</t>
    <phoneticPr fontId="46" type="noConversion"/>
  </si>
  <si>
    <t>자색고구마볼</t>
    <phoneticPr fontId="46" type="noConversion"/>
  </si>
  <si>
    <t>도깨비치즈스틱</t>
    <phoneticPr fontId="46" type="noConversion"/>
  </si>
  <si>
    <t>깐계란</t>
    <phoneticPr fontId="46" type="noConversion"/>
  </si>
  <si>
    <t>피자치즈스틱</t>
    <phoneticPr fontId="46" type="noConversion"/>
  </si>
  <si>
    <t>체다모짜치즈스틱</t>
    <phoneticPr fontId="46" type="noConversion"/>
  </si>
  <si>
    <t>중화볶음밥</t>
    <phoneticPr fontId="46" type="noConversion"/>
  </si>
  <si>
    <t>한치</t>
    <phoneticPr fontId="46" type="noConversion"/>
  </si>
  <si>
    <t>크리스피핫도그</t>
    <phoneticPr fontId="46" type="noConversion"/>
  </si>
  <si>
    <t>치즈크리스피핫도그</t>
    <phoneticPr fontId="46" type="noConversion"/>
  </si>
  <si>
    <t>큐브먹태3종</t>
    <phoneticPr fontId="46" type="noConversion"/>
  </si>
  <si>
    <t>번데기</t>
    <phoneticPr fontId="46" type="noConversion"/>
  </si>
  <si>
    <t>비엔나소세지</t>
    <phoneticPr fontId="46" type="noConversion"/>
  </si>
  <si>
    <t>계란말이</t>
    <phoneticPr fontId="46" type="noConversion"/>
  </si>
  <si>
    <t>통베이컨</t>
    <phoneticPr fontId="46" type="noConversion"/>
  </si>
  <si>
    <t>크랜베리</t>
    <phoneticPr fontId="46" type="noConversion"/>
  </si>
  <si>
    <t>떡국떡</t>
    <phoneticPr fontId="46" type="noConversion"/>
  </si>
  <si>
    <t>스파게티면</t>
    <phoneticPr fontId="46" type="noConversion"/>
  </si>
  <si>
    <t>소떡소스</t>
    <phoneticPr fontId="46" type="noConversion"/>
  </si>
  <si>
    <t>근무</t>
    <phoneticPr fontId="46" type="noConversion"/>
  </si>
  <si>
    <t>휴무</t>
    <phoneticPr fontId="46" type="noConversion"/>
  </si>
  <si>
    <t>월차/반차</t>
    <phoneticPr fontId="46" type="noConversion"/>
  </si>
  <si>
    <t>무단무급</t>
    <phoneticPr fontId="46" type="noConversion"/>
  </si>
  <si>
    <t>권장휴무</t>
    <phoneticPr fontId="46" type="noConversion"/>
  </si>
  <si>
    <t>예비군/민방위</t>
    <phoneticPr fontId="46" type="noConversion"/>
  </si>
  <si>
    <t>지원</t>
    <phoneticPr fontId="46" type="noConversion"/>
  </si>
  <si>
    <t>파견</t>
    <phoneticPr fontId="46" type="noConversion"/>
  </si>
  <si>
    <t>관리팀</t>
    <phoneticPr fontId="46" type="noConversion"/>
  </si>
  <si>
    <t>정직원</t>
    <phoneticPr fontId="46" type="noConversion"/>
  </si>
  <si>
    <t>무단결근</t>
    <phoneticPr fontId="46" type="noConversion"/>
  </si>
  <si>
    <t>무단조퇴</t>
    <phoneticPr fontId="46" type="noConversion"/>
  </si>
  <si>
    <t>권장조퇴</t>
    <phoneticPr fontId="46" type="noConversion"/>
  </si>
  <si>
    <r>
      <rPr>
        <b/>
        <sz val="16"/>
        <color rgb="FFFF0000"/>
        <rFont val="맑은 고딕"/>
        <family val="3"/>
        <charset val="129"/>
      </rPr>
      <t>복리후생</t>
    </r>
    <r>
      <rPr>
        <sz val="12"/>
        <color rgb="FF000000"/>
        <rFont val="맑은 고딕"/>
        <family val="3"/>
        <charset val="129"/>
      </rPr>
      <t>(식/간식/회식 등)</t>
    </r>
    <phoneticPr fontId="46" type="noConversion"/>
  </si>
  <si>
    <r>
      <rPr>
        <b/>
        <sz val="18"/>
        <color rgb="FFFF0000"/>
        <rFont val="맑은 고딕"/>
        <family val="3"/>
        <charset val="129"/>
      </rPr>
      <t>교통비</t>
    </r>
    <r>
      <rPr>
        <sz val="14"/>
        <color rgb="FF000000"/>
        <rFont val="맑은 고딕"/>
        <family val="3"/>
        <charset val="129"/>
      </rPr>
      <t>(택시비)</t>
    </r>
    <phoneticPr fontId="46" type="noConversion"/>
  </si>
  <si>
    <t>원/부재료 구매</t>
    <phoneticPr fontId="46" type="noConversion"/>
  </si>
  <si>
    <t>시재사용</t>
    <phoneticPr fontId="46" type="noConversion"/>
  </si>
  <si>
    <t>매장지출_교통비
총지출액</t>
    <phoneticPr fontId="46" type="noConversion"/>
  </si>
  <si>
    <t>시재사용</t>
    <phoneticPr fontId="46" type="noConversion"/>
  </si>
  <si>
    <t>비품 등</t>
    <phoneticPr fontId="46" type="noConversion"/>
  </si>
  <si>
    <t>교통비</t>
    <phoneticPr fontId="46" type="noConversion"/>
  </si>
  <si>
    <r>
      <rPr>
        <b/>
        <u/>
        <sz val="16"/>
        <color rgb="FFFF0000"/>
        <rFont val="맑은 고딕"/>
        <family val="3"/>
        <charset val="129"/>
      </rPr>
      <t>①정직원 근무현황</t>
    </r>
    <r>
      <rPr>
        <b/>
        <sz val="16"/>
        <color rgb="FFFF0000"/>
        <rFont val="맑은 고딕"/>
        <family val="3"/>
        <charset val="129"/>
      </rPr>
      <t xml:space="preserve"> / </t>
    </r>
    <r>
      <rPr>
        <b/>
        <u/>
        <sz val="16"/>
        <color rgb="FFFF0000"/>
        <rFont val="맑은 고딕"/>
        <family val="3"/>
        <charset val="129"/>
      </rPr>
      <t>②알바근무현황</t>
    </r>
    <r>
      <rPr>
        <b/>
        <sz val="16"/>
        <color rgb="FFFF0000"/>
        <rFont val="맑은 고딕"/>
        <family val="3"/>
        <charset val="129"/>
      </rPr>
      <t xml:space="preserve"> / </t>
    </r>
    <r>
      <rPr>
        <b/>
        <u/>
        <sz val="16"/>
        <color rgb="FF0070C0"/>
        <rFont val="맑은 고딕"/>
        <family val="3"/>
        <charset val="129"/>
      </rPr>
      <t>③직영관리팀 근무현황</t>
    </r>
    <r>
      <rPr>
        <b/>
        <sz val="16"/>
        <color rgb="FFFF0000"/>
        <rFont val="맑은 고딕"/>
        <family val="3"/>
        <charset val="129"/>
      </rPr>
      <t xml:space="preserve">  3개다 꼭 작성!!!!!!</t>
    </r>
    <phoneticPr fontId="46" type="noConversion"/>
  </si>
  <si>
    <t>광고비</t>
    <phoneticPr fontId="46" type="noConversion"/>
  </si>
  <si>
    <t>수수료/세금 등</t>
    <phoneticPr fontId="46" type="noConversion"/>
  </si>
  <si>
    <t>본사지출_광고
총지출액</t>
    <phoneticPr fontId="46" type="noConversion"/>
  </si>
  <si>
    <t>본사지출_수수/세금
총지출액</t>
    <phoneticPr fontId="46" type="noConversion"/>
  </si>
  <si>
    <t>다수</t>
    <phoneticPr fontId="46" type="noConversion"/>
  </si>
  <si>
    <t>식자재</t>
    <phoneticPr fontId="46" type="noConversion"/>
  </si>
  <si>
    <t>주류/음료</t>
    <phoneticPr fontId="46" type="noConversion"/>
  </si>
  <si>
    <t>↓</t>
    <phoneticPr fontId="46" type="noConversion"/>
  </si>
  <si>
    <t>데일리단가원재료' 시트 입력시 
자동입력(건들지 말것)</t>
    <phoneticPr fontId="46" type="noConversion"/>
  </si>
  <si>
    <t>본사/현장구매</t>
    <phoneticPr fontId="46" type="noConversion"/>
  </si>
  <si>
    <t>기타주류 등</t>
    <phoneticPr fontId="46" type="noConversion"/>
  </si>
  <si>
    <t>분리수거</t>
    <phoneticPr fontId="46" type="noConversion"/>
  </si>
  <si>
    <t>⑤ 알바 급여현황</t>
    <phoneticPr fontId="46" type="noConversion"/>
  </si>
  <si>
    <t>④정직원 일급여 현황</t>
    <phoneticPr fontId="46" type="noConversion"/>
  </si>
  <si>
    <r>
      <t>1.근로자 현황_정직원(</t>
    </r>
    <r>
      <rPr>
        <b/>
        <u/>
        <sz val="12"/>
        <color rgb="FFFF0000"/>
        <rFont val="맑은 고딕"/>
        <family val="3"/>
        <charset val="129"/>
      </rPr>
      <t>4대보험</t>
    </r>
    <r>
      <rPr>
        <b/>
        <sz val="12"/>
        <color rgb="FFFF0000"/>
        <rFont val="맑은 고딕"/>
        <family val="3"/>
        <charset val="129"/>
      </rPr>
      <t>_</t>
    </r>
    <r>
      <rPr>
        <b/>
        <sz val="12"/>
        <color rgb="FF000000"/>
        <rFont val="맑은 고딕"/>
        <family val="3"/>
        <charset val="129"/>
      </rPr>
      <t>고정근로자)</t>
    </r>
    <phoneticPr fontId="46" type="noConversion"/>
  </si>
  <si>
    <r>
      <t>1-1.근로자 현황_정직원(</t>
    </r>
    <r>
      <rPr>
        <b/>
        <u/>
        <sz val="12"/>
        <color rgb="FFFF0000"/>
        <rFont val="맑은 고딕"/>
        <family val="3"/>
        <charset val="129"/>
      </rPr>
      <t>3.3%</t>
    </r>
    <r>
      <rPr>
        <b/>
        <sz val="12"/>
        <color rgb="FFFF0000"/>
        <rFont val="맑은 고딕"/>
        <family val="3"/>
        <charset val="129"/>
      </rPr>
      <t>_</t>
    </r>
    <r>
      <rPr>
        <b/>
        <sz val="12"/>
        <color rgb="FF000000"/>
        <rFont val="맑은 고딕"/>
        <family val="3"/>
        <charset val="129"/>
      </rPr>
      <t>고정근로자)</t>
    </r>
    <phoneticPr fontId="46" type="noConversion"/>
  </si>
  <si>
    <r>
      <t xml:space="preserve">월급여 필수기록!! </t>
    </r>
    <r>
      <rPr>
        <b/>
        <u/>
        <sz val="10"/>
        <color rgb="FFFF0000"/>
        <rFont val="맑은 고딕"/>
        <family val="3"/>
        <charset val="129"/>
      </rPr>
      <t>(숫자만 입력)</t>
    </r>
    <phoneticPr fontId="46" type="noConversion"/>
  </si>
  <si>
    <t>할인/서비스</t>
    <phoneticPr fontId="46" type="noConversion"/>
  </si>
  <si>
    <t>현금매출</t>
    <phoneticPr fontId="46" type="noConversion"/>
  </si>
  <si>
    <t>15일</t>
    <phoneticPr fontId="46" type="noConversion"/>
  </si>
  <si>
    <t>캐치테이블</t>
    <phoneticPr fontId="46" type="noConversion"/>
  </si>
  <si>
    <t>2026년</t>
  </si>
  <si>
    <t>신용산</t>
    <phoneticPr fontId="46" type="noConversion"/>
  </si>
  <si>
    <t>카드 순매출</t>
    <phoneticPr fontId="46" type="noConversion"/>
  </si>
  <si>
    <t>영수건수</t>
    <phoneticPr fontId="46" type="noConversion"/>
  </si>
  <si>
    <t>배달매출</t>
  </si>
  <si>
    <t>배달건수</t>
  </si>
  <si>
    <t>기타주류</t>
    <phoneticPr fontId="46" type="noConversion"/>
  </si>
  <si>
    <t>음료</t>
    <phoneticPr fontId="46" type="noConversion"/>
  </si>
  <si>
    <t>식자재</t>
    <phoneticPr fontId="46" type="noConversion"/>
  </si>
  <si>
    <t>수산</t>
    <phoneticPr fontId="46" type="noConversion"/>
  </si>
  <si>
    <t>배달/기타/페이매출</t>
    <phoneticPr fontId="46" type="noConversion"/>
  </si>
  <si>
    <t>여남동 일일현황보고</t>
    <phoneticPr fontId="46" type="noConversion"/>
  </si>
  <si>
    <t>주류대출</t>
    <phoneticPr fontId="46" type="noConversion"/>
  </si>
  <si>
    <t>박성배</t>
    <phoneticPr fontId="46" type="noConversion"/>
  </si>
  <si>
    <t>주방</t>
    <phoneticPr fontId="46" type="noConversion"/>
  </si>
  <si>
    <t>주1회휴무</t>
    <phoneticPr fontId="46" type="noConversion"/>
  </si>
  <si>
    <t>010-9211-1544</t>
    <phoneticPr fontId="46" type="noConversion"/>
  </si>
  <si>
    <t>900415-1095615</t>
    <phoneticPr fontId="46" type="noConversion"/>
  </si>
  <si>
    <t>카카오 3333 13012 1594</t>
    <phoneticPr fontId="46" type="noConversion"/>
  </si>
  <si>
    <t>박참이</t>
    <phoneticPr fontId="46" type="noConversion"/>
  </si>
  <si>
    <t>월6회휴무</t>
    <phoneticPr fontId="46" type="noConversion"/>
  </si>
  <si>
    <t>010-4320-6101</t>
    <phoneticPr fontId="46" type="noConversion"/>
  </si>
  <si>
    <t>880226-2030625</t>
    <phoneticPr fontId="46" type="noConversion"/>
  </si>
  <si>
    <t>신한 110 262 594987</t>
    <phoneticPr fontId="46" type="noConversion"/>
  </si>
  <si>
    <t>이건호</t>
    <phoneticPr fontId="46" type="noConversion"/>
  </si>
  <si>
    <t>홀</t>
    <phoneticPr fontId="46" type="noConversion"/>
  </si>
  <si>
    <t>010-7602-3858</t>
    <phoneticPr fontId="46" type="noConversion"/>
  </si>
  <si>
    <t>960527-1491016</t>
    <phoneticPr fontId="46" type="noConversion"/>
  </si>
  <si>
    <t>국민 510002 01 241497</t>
    <phoneticPr fontId="46" type="noConversion"/>
  </si>
  <si>
    <t>김지용</t>
    <phoneticPr fontId="46" type="noConversion"/>
  </si>
  <si>
    <t>신한 110 431 372066</t>
    <phoneticPr fontId="46" type="noConversion"/>
  </si>
  <si>
    <t>최은태</t>
    <phoneticPr fontId="46" type="noConversion"/>
  </si>
  <si>
    <t>주방</t>
  </si>
  <si>
    <t>800303-2637310</t>
    <phoneticPr fontId="46" type="noConversion"/>
  </si>
  <si>
    <t>경남 221 0110 1350 07</t>
    <phoneticPr fontId="46" type="noConversion"/>
  </si>
  <si>
    <t>이서문</t>
    <phoneticPr fontId="46" type="noConversion"/>
  </si>
  <si>
    <t>960527-2471215</t>
    <phoneticPr fontId="46" type="noConversion"/>
  </si>
  <si>
    <t>카카오 3333 344 538401</t>
    <phoneticPr fontId="46" type="noConversion"/>
  </si>
  <si>
    <t>김복순</t>
    <phoneticPr fontId="46" type="noConversion"/>
  </si>
  <si>
    <t>601109-6102493</t>
    <phoneticPr fontId="46" type="noConversion"/>
  </si>
  <si>
    <t>국민 424002 01 337949</t>
    <phoneticPr fontId="46" type="noConversion"/>
  </si>
  <si>
    <t>근무</t>
  </si>
  <si>
    <t>휴무</t>
  </si>
  <si>
    <t>청정</t>
    <phoneticPr fontId="46" type="noConversion"/>
  </si>
  <si>
    <t>오대양</t>
    <phoneticPr fontId="46" type="noConversion"/>
  </si>
  <si>
    <t>순수한참치</t>
    <phoneticPr fontId="46" type="noConversion"/>
  </si>
  <si>
    <t>오에스케이</t>
    <phoneticPr fontId="46" type="noConversion"/>
  </si>
  <si>
    <t>퐁당수산</t>
    <phoneticPr fontId="46" type="noConversion"/>
  </si>
  <si>
    <t>인영수산</t>
    <phoneticPr fontId="46" type="noConversion"/>
  </si>
  <si>
    <t>대정</t>
    <phoneticPr fontId="46" type="noConversion"/>
  </si>
  <si>
    <t>수별</t>
    <phoneticPr fontId="46" type="noConversion"/>
  </si>
  <si>
    <t>완도경매</t>
    <phoneticPr fontId="46" type="noConversion"/>
  </si>
  <si>
    <t>낭만유통</t>
    <phoneticPr fontId="46" type="noConversion"/>
  </si>
  <si>
    <t>네이버</t>
    <phoneticPr fontId="46" type="noConversion"/>
  </si>
  <si>
    <t>세한종합주방</t>
    <phoneticPr fontId="46" type="noConversion"/>
  </si>
  <si>
    <t>한영주방</t>
    <phoneticPr fontId="46" type="noConversion"/>
  </si>
  <si>
    <t>네이버</t>
    <phoneticPr fontId="46" type="noConversion"/>
  </si>
  <si>
    <t>리아과일야채</t>
    <phoneticPr fontId="46" type="noConversion"/>
  </si>
  <si>
    <t>암사축산</t>
    <phoneticPr fontId="46" type="noConversion"/>
  </si>
  <si>
    <t>이도형</t>
    <phoneticPr fontId="46" type="noConversion"/>
  </si>
  <si>
    <t>완도경매</t>
    <phoneticPr fontId="46" type="noConversion"/>
  </si>
  <si>
    <t>더힘찬마켓</t>
    <phoneticPr fontId="46" type="noConversion"/>
  </si>
  <si>
    <t>이도형</t>
    <phoneticPr fontId="46" type="noConversion"/>
  </si>
  <si>
    <t>4월</t>
  </si>
  <si>
    <t>편의점</t>
    <phoneticPr fontId="46" type="noConversion"/>
  </si>
  <si>
    <t>쓰레기봉투</t>
    <phoneticPr fontId="46" type="noConversion"/>
  </si>
  <si>
    <t>쿠팡</t>
    <phoneticPr fontId="46" type="noConversion"/>
  </si>
  <si>
    <t>네이버</t>
    <phoneticPr fontId="46" type="noConversion"/>
  </si>
  <si>
    <t>나이스</t>
    <phoneticPr fontId="46" type="noConversion"/>
  </si>
  <si>
    <t>다이소</t>
    <phoneticPr fontId="46" type="noConversion"/>
  </si>
  <si>
    <t>이건호택시비</t>
    <phoneticPr fontId="46" type="noConversion"/>
  </si>
  <si>
    <t>맛나청과</t>
    <phoneticPr fontId="46" type="noConversion"/>
  </si>
  <si>
    <t>낭만유통(월말)</t>
    <phoneticPr fontId="46" type="noConversion"/>
  </si>
  <si>
    <t>송은비</t>
    <phoneticPr fontId="46" type="noConversion"/>
  </si>
  <si>
    <t>김범창</t>
    <phoneticPr fontId="46" type="noConversion"/>
  </si>
  <si>
    <t>월차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</si>
</sst>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0&quot;일&quot;"/>
    <numFmt numFmtId="178" formatCode="0.0_);[Red]\(0.0\)"/>
    <numFmt numFmtId="179" formatCode="0.0&quot;시간&quot;"/>
    <numFmt numFmtId="180" formatCode="0.0&quot;일&quot;"/>
    <numFmt numFmtId="181" formatCode="0&quot;명&quot;"/>
    <numFmt numFmtId="182" formatCode="0&quot;일&quot;\ \)"/>
    <numFmt numFmtId="183" formatCode="0&quot;점&quot;"/>
    <numFmt numFmtId="184" formatCode="#,##0&quot;원&quot;"/>
    <numFmt numFmtId="185" formatCode="h:mm;@"/>
    <numFmt numFmtId="186" formatCode="0.0%"/>
  </numFmts>
  <fonts count="72" x14ac:knownFonts="1">
    <font>
      <sz val="10"/>
      <color rgb="FF000000"/>
      <name val="맑은 고딕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FF000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sz val="10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b/>
      <sz val="18"/>
      <color rgb="FFFF0000"/>
      <name val="굴림"/>
      <family val="3"/>
      <charset val="129"/>
    </font>
    <font>
      <b/>
      <sz val="16"/>
      <color rgb="FFFF0000"/>
      <name val="굴림"/>
      <family val="3"/>
      <charset val="129"/>
    </font>
    <font>
      <b/>
      <sz val="14"/>
      <color rgb="FF000000"/>
      <name val="굴림"/>
      <family val="3"/>
      <charset val="129"/>
    </font>
    <font>
      <sz val="14"/>
      <color rgb="FF000000"/>
      <name val="굴림"/>
      <family val="3"/>
      <charset val="129"/>
    </font>
    <font>
      <sz val="20"/>
      <color rgb="FFFF0000"/>
      <name val="맑은 고딕"/>
      <family val="3"/>
      <charset val="129"/>
    </font>
    <font>
      <b/>
      <sz val="22"/>
      <color rgb="FFFFFFFF"/>
      <name val="굴림"/>
      <family val="3"/>
      <charset val="129"/>
    </font>
    <font>
      <b/>
      <sz val="20"/>
      <color rgb="FFFFFFFF"/>
      <name val="굴림"/>
      <family val="3"/>
      <charset val="129"/>
    </font>
    <font>
      <b/>
      <sz val="14"/>
      <color rgb="FFFFFFFF"/>
      <name val="굴림"/>
      <family val="3"/>
      <charset val="129"/>
    </font>
    <font>
      <sz val="10"/>
      <color rgb="FFFFFFFF"/>
      <name val="굴림"/>
      <family val="3"/>
      <charset val="129"/>
    </font>
    <font>
      <b/>
      <sz val="12"/>
      <color rgb="FFFFFFFF"/>
      <name val="굴림"/>
      <family val="3"/>
      <charset val="129"/>
    </font>
    <font>
      <b/>
      <sz val="18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2"/>
      <color rgb="FFFF0000"/>
      <name val="굴림"/>
      <family val="3"/>
      <charset val="129"/>
    </font>
    <font>
      <sz val="14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2"/>
      <color rgb="FF000000"/>
      <name val="굴림"/>
      <family val="3"/>
      <charset val="129"/>
    </font>
    <font>
      <b/>
      <sz val="13"/>
      <color rgb="FF000000"/>
      <name val="굴림"/>
      <family val="3"/>
      <charset val="129"/>
    </font>
    <font>
      <sz val="12"/>
      <color rgb="FF000000"/>
      <name val="굴림"/>
      <family val="3"/>
      <charset val="129"/>
    </font>
    <font>
      <sz val="12.5"/>
      <color rgb="FF000000"/>
      <name val="굴림"/>
      <family val="3"/>
      <charset val="129"/>
    </font>
    <font>
      <b/>
      <sz val="12.5"/>
      <color rgb="FF000000"/>
      <name val="굴림"/>
      <family val="3"/>
      <charset val="129"/>
    </font>
    <font>
      <sz val="16"/>
      <color rgb="FF000000"/>
      <name val="굴림"/>
      <family val="3"/>
      <charset val="129"/>
    </font>
    <font>
      <b/>
      <sz val="16"/>
      <color rgb="FF000000"/>
      <name val="굴림"/>
      <family val="3"/>
      <charset val="129"/>
    </font>
    <font>
      <b/>
      <sz val="18"/>
      <color rgb="FFFFFFFF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20"/>
      <color rgb="FFFF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0"/>
      <name val="굴림"/>
      <family val="3"/>
      <charset val="129"/>
    </font>
    <font>
      <sz val="11"/>
      <color rgb="FFFF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color rgb="FF000000"/>
      <name val="굴림"/>
      <family val="3"/>
      <charset val="129"/>
    </font>
    <font>
      <sz val="9.5"/>
      <name val="굴림"/>
      <family val="3"/>
      <charset val="129"/>
    </font>
    <font>
      <b/>
      <sz val="16"/>
      <color rgb="FFFF0000"/>
      <name val="맑은 고딕"/>
      <family val="3"/>
      <charset val="129"/>
    </font>
    <font>
      <b/>
      <u/>
      <sz val="16"/>
      <color rgb="FFFF0000"/>
      <name val="맑은 고딕"/>
      <family val="3"/>
      <charset val="129"/>
    </font>
    <font>
      <b/>
      <u/>
      <sz val="16"/>
      <color rgb="FF0070C0"/>
      <name val="맑은 고딕"/>
      <family val="3"/>
      <charset val="129"/>
    </font>
    <font>
      <b/>
      <sz val="20"/>
      <color rgb="FFFF0000"/>
      <name val="굴림"/>
      <family val="3"/>
      <charset val="129"/>
    </font>
    <font>
      <b/>
      <u/>
      <sz val="12"/>
      <color rgb="FFFF0000"/>
      <name val="맑은 고딕"/>
      <family val="3"/>
      <charset val="129"/>
    </font>
    <font>
      <b/>
      <u/>
      <sz val="10"/>
      <color rgb="FFFF0000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BE5D7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1" tint="4.9989318521683403E-2"/>
        <bgColor indexed="64"/>
      </patternFill>
    </fill>
  </fills>
  <borders count="307">
    <border>
      <left/>
      <right/>
      <top/>
      <bottom/>
      <diagonal/>
    </border>
    <border diagonalUp="1" diagonalDown="1">
      <left style="thin">
        <color indexed="64"/>
      </left>
      <right style="hair">
        <color indexed="64"/>
      </right>
      <top/>
      <bottom style="medium">
        <color indexed="64"/>
      </bottom>
      <diagonal/>
    </border>
    <border diagonalUp="1" diagonalDown="1">
      <left style="hair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hair">
        <color indexed="64"/>
      </left>
      <right/>
      <top/>
      <bottom style="medium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hair">
        <color indexed="64"/>
      </left>
      <right style="hair">
        <color indexed="64"/>
      </right>
      <top/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/>
      <right style="hair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/>
      <right style="hair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hair">
        <color indexed="64"/>
      </left>
      <right/>
      <top/>
      <bottom style="thin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/>
      <right style="hair">
        <color indexed="64"/>
      </right>
      <top/>
      <bottom style="thin">
        <color indexed="64"/>
      </bottom>
      <diagonal/>
    </border>
    <border diagonalUp="1" diagonalDown="1">
      <left/>
      <right style="hair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/>
      <bottom style="thin">
        <color indexed="64"/>
      </bottom>
      <diagonal/>
    </border>
    <border diagonalUp="1" diagonalDown="1">
      <left style="hair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hair">
        <color indexed="64"/>
      </left>
      <right style="thin">
        <color indexed="64"/>
      </right>
      <top/>
      <bottom style="hair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hair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hair">
        <color indexed="64"/>
      </right>
      <top/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hair">
        <color indexed="64"/>
      </left>
      <right/>
      <top/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/>
      <diagonal/>
    </border>
    <border diagonalUp="1" diagonalDown="1">
      <left style="medium">
        <color indexed="64"/>
      </left>
      <right style="hair">
        <color indexed="64"/>
      </right>
      <top/>
      <bottom style="medium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/>
      <diagonal/>
    </border>
    <border diagonalUp="1" diagonalDown="1">
      <left/>
      <right/>
      <top/>
      <bottom style="hair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/>
      <right style="hair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/>
      <bottom style="thin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hair">
        <color indexed="64"/>
      </right>
      <top/>
      <bottom style="hair">
        <color indexed="64"/>
      </bottom>
      <diagonal/>
    </border>
    <border diagonalUp="1" diagonalDown="1"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medium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thin">
        <color indexed="64"/>
      </right>
      <top/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/>
      <bottom style="medium">
        <color indexed="64"/>
      </bottom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 style="hair">
        <color indexed="64"/>
      </left>
      <right/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double">
        <color indexed="64"/>
      </left>
      <right/>
      <top style="double">
        <color indexed="64"/>
      </top>
      <bottom/>
      <diagonal/>
    </border>
    <border diagonalUp="1" diagonalDown="1">
      <left/>
      <right/>
      <top style="double">
        <color indexed="64"/>
      </top>
      <bottom/>
      <diagonal/>
    </border>
    <border diagonalUp="1" diagonalDown="1">
      <left/>
      <right style="double">
        <color indexed="64"/>
      </right>
      <top style="double">
        <color indexed="64"/>
      </top>
      <bottom/>
      <diagonal/>
    </border>
    <border diagonalUp="1" diagonalDown="1">
      <left style="double">
        <color indexed="64"/>
      </left>
      <right/>
      <top/>
      <bottom/>
      <diagonal/>
    </border>
    <border diagonalUp="1" diagonalDown="1">
      <left/>
      <right style="double">
        <color indexed="64"/>
      </right>
      <top/>
      <bottom/>
      <diagonal/>
    </border>
    <border diagonalUp="1" diagonalDown="1">
      <left style="double">
        <color indexed="64"/>
      </left>
      <right/>
      <top/>
      <bottom style="double">
        <color indexed="64"/>
      </bottom>
      <diagonal/>
    </border>
    <border diagonalUp="1" diagonalDown="1">
      <left/>
      <right/>
      <top/>
      <bottom style="double">
        <color indexed="64"/>
      </bottom>
      <diagonal/>
    </border>
    <border diagonalUp="1" diagonalDown="1">
      <left/>
      <right style="double">
        <color indexed="64"/>
      </right>
      <top/>
      <bottom style="double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 style="thin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medium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hair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/>
      <right style="hair">
        <color indexed="64"/>
      </right>
      <top/>
      <bottom style="medium">
        <color indexed="64"/>
      </bottom>
      <diagonal/>
    </border>
    <border diagonalUp="1" diagonalDown="1"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 diagonalUp="1" diagonalDown="1">
      <left/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/>
      <top/>
      <bottom style="medium">
        <color indexed="64"/>
      </bottom>
      <diagonal/>
    </border>
    <border diagonalUp="1" diagonalDown="1">
      <left/>
      <right style="thin">
        <color indexed="64"/>
      </right>
      <top/>
      <bottom style="hair">
        <color indexed="64"/>
      </bottom>
      <diagonal/>
    </border>
    <border diagonalUp="1" diagonalDown="1">
      <left style="thin">
        <color indexed="64"/>
      </left>
      <right/>
      <top/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double">
        <color auto="1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medium">
        <color auto="1"/>
      </left>
      <right style="thin">
        <color indexed="64"/>
      </right>
      <top/>
      <bottom style="hair">
        <color indexed="64"/>
      </bottom>
      <diagonal/>
    </border>
    <border diagonalUp="1" diagonalDown="1">
      <left style="medium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auto="1"/>
      </top>
      <bottom style="hair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thin">
        <color theme="0"/>
      </left>
      <right/>
      <top style="hair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thin">
        <color theme="0"/>
      </left>
      <right style="hair">
        <color indexed="64"/>
      </right>
      <top style="medium">
        <color indexed="64"/>
      </top>
      <bottom/>
      <diagonal/>
    </border>
    <border>
      <left style="thin">
        <color theme="0"/>
      </left>
      <right style="hair">
        <color indexed="64"/>
      </right>
      <top/>
      <bottom/>
      <diagonal/>
    </border>
    <border>
      <left/>
      <right style="thin">
        <color theme="0"/>
      </right>
      <top/>
      <bottom style="hair">
        <color indexed="64"/>
      </bottom>
      <diagonal/>
    </border>
    <border>
      <left/>
      <right style="thin">
        <color theme="0"/>
      </right>
      <top style="hair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/>
      <diagonal/>
    </border>
    <border>
      <left style="hair">
        <color indexed="64"/>
      </left>
      <right style="thin">
        <color theme="0"/>
      </right>
      <top/>
      <bottom style="thin">
        <color auto="1"/>
      </bottom>
      <diagonal/>
    </border>
    <border>
      <left style="hair">
        <color auto="1"/>
      </left>
      <right style="thin">
        <color theme="0"/>
      </right>
      <top/>
      <bottom style="medium">
        <color auto="1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auto="1"/>
      </right>
      <top/>
      <bottom style="medium">
        <color indexed="64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theme="0"/>
      </right>
      <top style="medium">
        <color auto="1"/>
      </top>
      <bottom/>
      <diagonal/>
    </border>
    <border>
      <left style="hair">
        <color auto="1"/>
      </left>
      <right style="thin">
        <color theme="0"/>
      </right>
      <top/>
      <bottom/>
      <diagonal/>
    </border>
    <border>
      <left style="thin">
        <color theme="0"/>
      </left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auto="1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medium">
        <color auto="1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thick">
        <color rgb="FFFF0000"/>
      </bottom>
      <diagonal/>
    </border>
    <border diagonalUp="1" diagonalDown="1">
      <left style="thin">
        <color auto="1"/>
      </left>
      <right style="thin">
        <color indexed="64"/>
      </right>
      <top/>
      <bottom style="hair">
        <color indexed="64"/>
      </bottom>
      <diagonal/>
    </border>
    <border diagonalUp="1" diagonalDown="1">
      <left style="thin">
        <color auto="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7">
    <xf numFmtId="0" fontId="0" fillId="0" borderId="0">
      <alignment vertical="center"/>
    </xf>
    <xf numFmtId="41" fontId="4" fillId="0" borderId="0" applyFont="0" applyFill="0" applyBorder="0" applyAlignment="0">
      <alignment vertical="center"/>
    </xf>
    <xf numFmtId="42" fontId="45" fillId="0" borderId="0">
      <alignment vertical="center"/>
    </xf>
    <xf numFmtId="9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" fillId="0" borderId="0">
      <alignment vertical="center"/>
    </xf>
    <xf numFmtId="41" fontId="45" fillId="0" borderId="0">
      <alignment vertical="center"/>
    </xf>
    <xf numFmtId="41" fontId="5" fillId="0" borderId="0">
      <alignment vertical="center"/>
    </xf>
    <xf numFmtId="0" fontId="45" fillId="0" borderId="0">
      <alignment vertical="center"/>
    </xf>
    <xf numFmtId="41" fontId="45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2" fillId="0" borderId="0">
      <alignment vertical="center"/>
    </xf>
    <xf numFmtId="41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>
      <alignment vertical="center"/>
    </xf>
  </cellStyleXfs>
  <cellXfs count="10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45" fillId="0" borderId="0" xfId="1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41" fontId="10" fillId="2" borderId="3" xfId="0" applyNumberFormat="1" applyFont="1" applyFill="1" applyBorder="1">
      <alignment vertical="center"/>
    </xf>
    <xf numFmtId="0" fontId="5" fillId="0" borderId="0" xfId="0" applyFont="1">
      <alignment vertical="center"/>
    </xf>
    <xf numFmtId="0" fontId="10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177" fontId="10" fillId="0" borderId="7" xfId="0" applyNumberFormat="1" applyFont="1" applyBorder="1" applyAlignment="1">
      <alignment horizontal="center" vertical="center"/>
    </xf>
    <xf numFmtId="177" fontId="10" fillId="2" borderId="8" xfId="0" applyNumberFormat="1" applyFont="1" applyFill="1" applyBorder="1" applyAlignment="1">
      <alignment horizontal="center" vertical="center"/>
    </xf>
    <xf numFmtId="177" fontId="10" fillId="2" borderId="6" xfId="0" applyNumberFormat="1" applyFont="1" applyFill="1" applyBorder="1" applyAlignment="1">
      <alignment horizontal="center" vertical="center"/>
    </xf>
    <xf numFmtId="177" fontId="10" fillId="2" borderId="9" xfId="0" applyNumberFormat="1" applyFont="1" applyFill="1" applyBorder="1" applyAlignment="1">
      <alignment horizontal="center" vertical="center"/>
    </xf>
    <xf numFmtId="177" fontId="10" fillId="2" borderId="10" xfId="0" applyNumberFormat="1" applyFont="1" applyFill="1" applyBorder="1" applyAlignment="1">
      <alignment horizontal="center" vertical="center"/>
    </xf>
    <xf numFmtId="177" fontId="10" fillId="2" borderId="14" xfId="0" applyNumberFormat="1" applyFont="1" applyFill="1" applyBorder="1" applyAlignment="1">
      <alignment horizontal="center" vertical="center"/>
    </xf>
    <xf numFmtId="180" fontId="10" fillId="0" borderId="17" xfId="0" applyNumberFormat="1" applyFont="1" applyBorder="1" applyAlignment="1">
      <alignment horizontal="center" vertical="center"/>
    </xf>
    <xf numFmtId="41" fontId="10" fillId="2" borderId="25" xfId="1" applyFont="1" applyFill="1" applyBorder="1">
      <alignment vertical="center"/>
    </xf>
    <xf numFmtId="0" fontId="15" fillId="0" borderId="0" xfId="0" applyFont="1">
      <alignment vertical="center"/>
    </xf>
    <xf numFmtId="14" fontId="11" fillId="3" borderId="32" xfId="0" applyNumberFormat="1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 vertical="center"/>
    </xf>
    <xf numFmtId="176" fontId="11" fillId="3" borderId="15" xfId="0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177" fontId="12" fillId="2" borderId="41" xfId="0" applyNumberFormat="1" applyFont="1" applyFill="1" applyBorder="1" applyAlignment="1">
      <alignment horizontal="center" vertical="center"/>
    </xf>
    <xf numFmtId="177" fontId="12" fillId="2" borderId="42" xfId="0" applyNumberFormat="1" applyFont="1" applyFill="1" applyBorder="1" applyAlignment="1">
      <alignment horizontal="center" vertical="center"/>
    </xf>
    <xf numFmtId="177" fontId="12" fillId="2" borderId="43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6" fontId="11" fillId="3" borderId="15" xfId="1" applyNumberFormat="1" applyFont="1" applyFill="1" applyBorder="1" applyAlignment="1">
      <alignment horizontal="center" vertical="center"/>
    </xf>
    <xf numFmtId="176" fontId="11" fillId="3" borderId="7" xfId="1" applyNumberFormat="1" applyFont="1" applyFill="1" applyBorder="1" applyAlignment="1">
      <alignment horizontal="center" vertical="center"/>
    </xf>
    <xf numFmtId="176" fontId="11" fillId="3" borderId="11" xfId="1" applyNumberFormat="1" applyFont="1" applyFill="1" applyBorder="1" applyAlignment="1">
      <alignment horizontal="center" vertical="center"/>
    </xf>
    <xf numFmtId="176" fontId="11" fillId="3" borderId="16" xfId="1" applyNumberFormat="1" applyFont="1" applyFill="1" applyBorder="1" applyAlignment="1">
      <alignment horizontal="center" vertical="center"/>
    </xf>
    <xf numFmtId="176" fontId="11" fillId="3" borderId="5" xfId="1" applyNumberFormat="1" applyFont="1" applyFill="1" applyBorder="1" applyAlignment="1">
      <alignment horizontal="center" vertical="center"/>
    </xf>
    <xf numFmtId="176" fontId="11" fillId="3" borderId="12" xfId="1" applyNumberFormat="1" applyFont="1" applyFill="1" applyBorder="1" applyAlignment="1">
      <alignment horizontal="center" vertical="center"/>
    </xf>
    <xf numFmtId="176" fontId="11" fillId="3" borderId="10" xfId="1" applyNumberFormat="1" applyFont="1" applyFill="1" applyBorder="1" applyAlignment="1">
      <alignment horizontal="center" vertical="center"/>
    </xf>
    <xf numFmtId="176" fontId="11" fillId="3" borderId="6" xfId="1" applyNumberFormat="1" applyFont="1" applyFill="1" applyBorder="1" applyAlignment="1">
      <alignment horizontal="center" vertical="center"/>
    </xf>
    <xf numFmtId="176" fontId="11" fillId="3" borderId="13" xfId="1" applyNumberFormat="1" applyFont="1" applyFill="1" applyBorder="1" applyAlignment="1">
      <alignment horizontal="center" vertical="center"/>
    </xf>
    <xf numFmtId="41" fontId="12" fillId="2" borderId="46" xfId="1" applyFont="1" applyFill="1" applyBorder="1" applyAlignment="1">
      <alignment horizontal="center" vertical="center"/>
    </xf>
    <xf numFmtId="41" fontId="12" fillId="2" borderId="47" xfId="1" applyFont="1" applyFill="1" applyBorder="1" applyAlignment="1">
      <alignment horizontal="center" vertical="center"/>
    </xf>
    <xf numFmtId="41" fontId="12" fillId="2" borderId="26" xfId="1" applyFont="1" applyFill="1" applyBorder="1" applyAlignment="1">
      <alignment horizontal="center" vertical="center"/>
    </xf>
    <xf numFmtId="179" fontId="10" fillId="0" borderId="17" xfId="0" applyNumberFormat="1" applyFont="1" applyBorder="1" applyAlignment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41" fontId="5" fillId="0" borderId="0" xfId="0" applyNumberFormat="1" applyFont="1">
      <alignment vertical="center"/>
    </xf>
    <xf numFmtId="0" fontId="5" fillId="0" borderId="11" xfId="1" applyNumberFormat="1" applyFont="1" applyBorder="1" applyAlignment="1">
      <alignment horizontal="left" vertical="center"/>
    </xf>
    <xf numFmtId="176" fontId="0" fillId="2" borderId="56" xfId="0" applyNumberFormat="1" applyFill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0" fontId="0" fillId="2" borderId="56" xfId="0" applyFill="1" applyBorder="1">
      <alignment vertical="center"/>
    </xf>
    <xf numFmtId="41" fontId="10" fillId="0" borderId="0" xfId="0" applyNumberFormat="1" applyFont="1">
      <alignment vertical="center"/>
    </xf>
    <xf numFmtId="41" fontId="12" fillId="0" borderId="28" xfId="0" applyNumberFormat="1" applyFont="1" applyBorder="1">
      <alignment vertical="center"/>
    </xf>
    <xf numFmtId="41" fontId="12" fillId="0" borderId="33" xfId="0" applyNumberFormat="1" applyFont="1" applyBorder="1">
      <alignment vertical="center"/>
    </xf>
    <xf numFmtId="0" fontId="12" fillId="2" borderId="59" xfId="0" applyFont="1" applyFill="1" applyBorder="1">
      <alignment vertical="center"/>
    </xf>
    <xf numFmtId="176" fontId="0" fillId="2" borderId="56" xfId="0" applyNumberFormat="1" applyFill="1" applyBorder="1">
      <alignment vertical="center"/>
    </xf>
    <xf numFmtId="176" fontId="6" fillId="0" borderId="68" xfId="0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0" fontId="10" fillId="2" borderId="3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2" borderId="59" xfId="0" applyFont="1" applyFill="1" applyBorder="1" applyAlignment="1">
      <alignment horizontal="center" vertical="center" wrapText="1"/>
    </xf>
    <xf numFmtId="0" fontId="10" fillId="2" borderId="80" xfId="0" applyFont="1" applyFill="1" applyBorder="1" applyAlignment="1">
      <alignment horizontal="center" vertical="center" wrapText="1"/>
    </xf>
    <xf numFmtId="0" fontId="10" fillId="2" borderId="56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0" fillId="3" borderId="5" xfId="0" applyFill="1" applyBorder="1">
      <alignment vertical="center"/>
    </xf>
    <xf numFmtId="0" fontId="0" fillId="3" borderId="30" xfId="0" applyFill="1" applyBorder="1">
      <alignment vertical="center"/>
    </xf>
    <xf numFmtId="0" fontId="0" fillId="3" borderId="29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31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3" xfId="0" applyFill="1" applyBorder="1">
      <alignment vertical="center"/>
    </xf>
    <xf numFmtId="0" fontId="6" fillId="0" borderId="0" xfId="0" applyFont="1" applyAlignment="1">
      <alignment horizontal="center" vertical="center"/>
    </xf>
    <xf numFmtId="0" fontId="0" fillId="3" borderId="8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32" fillId="0" borderId="0" xfId="0" applyFont="1">
      <alignment vertical="center"/>
    </xf>
    <xf numFmtId="177" fontId="10" fillId="2" borderId="20" xfId="0" applyNumberFormat="1" applyFont="1" applyFill="1" applyBorder="1" applyAlignment="1">
      <alignment horizontal="center" vertical="center"/>
    </xf>
    <xf numFmtId="177" fontId="10" fillId="2" borderId="3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1" fillId="3" borderId="5" xfId="7" applyNumberFormat="1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/>
    </xf>
    <xf numFmtId="177" fontId="10" fillId="2" borderId="13" xfId="0" applyNumberFormat="1" applyFont="1" applyFill="1" applyBorder="1" applyAlignment="1">
      <alignment horizontal="center" vertical="center"/>
    </xf>
    <xf numFmtId="41" fontId="33" fillId="2" borderId="56" xfId="1" applyFont="1" applyFill="1" applyBorder="1" applyAlignment="1">
      <alignment horizontal="center" vertical="center"/>
    </xf>
    <xf numFmtId="41" fontId="44" fillId="3" borderId="15" xfId="1" applyFont="1" applyFill="1" applyBorder="1" applyAlignment="1">
      <alignment horizontal="center" vertical="center"/>
    </xf>
    <xf numFmtId="178" fontId="5" fillId="6" borderId="15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1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1" xfId="1" applyNumberFormat="1" applyFont="1" applyBorder="1" applyAlignment="1">
      <alignment horizontal="center" vertical="center"/>
    </xf>
    <xf numFmtId="0" fontId="10" fillId="0" borderId="109" xfId="0" applyFont="1" applyBorder="1" applyAlignment="1">
      <alignment horizontal="center" vertical="center"/>
    </xf>
    <xf numFmtId="0" fontId="10" fillId="0" borderId="110" xfId="0" applyFont="1" applyBorder="1" applyAlignment="1">
      <alignment horizontal="center" vertical="center"/>
    </xf>
    <xf numFmtId="0" fontId="10" fillId="0" borderId="111" xfId="1" applyNumberFormat="1" applyFont="1" applyBorder="1" applyAlignment="1">
      <alignment horizontal="center" vertical="center"/>
    </xf>
    <xf numFmtId="178" fontId="5" fillId="6" borderId="109" xfId="0" applyNumberFormat="1" applyFont="1" applyFill="1" applyBorder="1" applyAlignment="1">
      <alignment horizontal="center" vertical="center"/>
    </xf>
    <xf numFmtId="179" fontId="10" fillId="0" borderId="128" xfId="0" applyNumberFormat="1" applyFont="1" applyBorder="1" applyAlignment="1">
      <alignment horizontal="center" vertical="center"/>
    </xf>
    <xf numFmtId="41" fontId="12" fillId="0" borderId="7" xfId="1" applyFont="1" applyBorder="1" applyAlignment="1">
      <alignment horizontal="center" vertical="center"/>
    </xf>
    <xf numFmtId="41" fontId="12" fillId="0" borderId="110" xfId="1" applyFont="1" applyBorder="1" applyAlignment="1">
      <alignment horizontal="center" vertical="center"/>
    </xf>
    <xf numFmtId="0" fontId="5" fillId="2" borderId="117" xfId="0" applyFont="1" applyFill="1" applyBorder="1" applyAlignment="1">
      <alignment horizontal="center" vertical="center"/>
    </xf>
    <xf numFmtId="0" fontId="0" fillId="0" borderId="108" xfId="0" applyBorder="1">
      <alignment vertical="center"/>
    </xf>
    <xf numFmtId="41" fontId="5" fillId="0" borderId="149" xfId="0" applyNumberFormat="1" applyFont="1" applyBorder="1">
      <alignment vertical="center"/>
    </xf>
    <xf numFmtId="0" fontId="7" fillId="6" borderId="0" xfId="0" applyFont="1" applyFill="1" applyAlignment="1">
      <alignment horizontal="center" vertical="center"/>
    </xf>
    <xf numFmtId="41" fontId="44" fillId="2" borderId="56" xfId="1" applyFont="1" applyFill="1" applyBorder="1" applyAlignment="1">
      <alignment horizontal="center" vertical="center"/>
    </xf>
    <xf numFmtId="41" fontId="49" fillId="0" borderId="149" xfId="0" applyNumberFormat="1" applyFont="1" applyBorder="1">
      <alignment vertical="center"/>
    </xf>
    <xf numFmtId="0" fontId="6" fillId="8" borderId="108" xfId="0" applyFont="1" applyFill="1" applyBorder="1" applyAlignment="1">
      <alignment horizontal="center" vertical="center"/>
    </xf>
    <xf numFmtId="0" fontId="30" fillId="8" borderId="108" xfId="0" applyFont="1" applyFill="1" applyBorder="1" applyAlignment="1">
      <alignment horizontal="center" vertical="center" wrapText="1"/>
    </xf>
    <xf numFmtId="0" fontId="51" fillId="2" borderId="22" xfId="0" applyFont="1" applyFill="1" applyBorder="1" applyAlignment="1">
      <alignment horizontal="center" vertical="center"/>
    </xf>
    <xf numFmtId="0" fontId="51" fillId="2" borderId="90" xfId="0" applyFont="1" applyFill="1" applyBorder="1" applyAlignment="1">
      <alignment horizontal="center" vertical="center"/>
    </xf>
    <xf numFmtId="41" fontId="10" fillId="2" borderId="49" xfId="1" applyFont="1" applyFill="1" applyBorder="1">
      <alignment vertical="center"/>
    </xf>
    <xf numFmtId="0" fontId="51" fillId="2" borderId="34" xfId="0" applyFont="1" applyFill="1" applyBorder="1" applyAlignment="1">
      <alignment horizontal="center" vertical="center"/>
    </xf>
    <xf numFmtId="41" fontId="10" fillId="2" borderId="26" xfId="1" applyFont="1" applyFill="1" applyBorder="1">
      <alignment vertical="center"/>
    </xf>
    <xf numFmtId="0" fontId="51" fillId="2" borderId="89" xfId="0" applyFont="1" applyFill="1" applyBorder="1" applyAlignment="1">
      <alignment horizontal="center" vertical="center"/>
    </xf>
    <xf numFmtId="41" fontId="10" fillId="2" borderId="44" xfId="1" applyFont="1" applyFill="1" applyBorder="1">
      <alignment vertical="center"/>
    </xf>
    <xf numFmtId="0" fontId="53" fillId="6" borderId="0" xfId="0" applyFont="1" applyFill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14" fontId="11" fillId="0" borderId="32" xfId="0" applyNumberFormat="1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/>
    </xf>
    <xf numFmtId="0" fontId="11" fillId="0" borderId="96" xfId="0" applyFont="1" applyBorder="1" applyAlignment="1">
      <alignment horizontal="center" vertical="center"/>
    </xf>
    <xf numFmtId="14" fontId="11" fillId="0" borderId="96" xfId="0" applyNumberFormat="1" applyFont="1" applyBorder="1" applyAlignment="1">
      <alignment horizontal="center" vertical="center"/>
    </xf>
    <xf numFmtId="0" fontId="52" fillId="2" borderId="95" xfId="0" applyFont="1" applyFill="1" applyBorder="1" applyAlignment="1">
      <alignment horizontal="center" vertical="center"/>
    </xf>
    <xf numFmtId="0" fontId="52" fillId="2" borderId="188" xfId="0" applyFont="1" applyFill="1" applyBorder="1" applyAlignment="1">
      <alignment horizontal="center" vertical="center"/>
    </xf>
    <xf numFmtId="0" fontId="52" fillId="2" borderId="114" xfId="0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41" fontId="11" fillId="0" borderId="0" xfId="7" applyFont="1">
      <alignment vertical="center"/>
    </xf>
    <xf numFmtId="41" fontId="10" fillId="0" borderId="0" xfId="1" applyFont="1">
      <alignment vertical="center"/>
    </xf>
    <xf numFmtId="0" fontId="51" fillId="2" borderId="40" xfId="0" applyFont="1" applyFill="1" applyBorder="1" applyAlignment="1">
      <alignment horizontal="center" vertical="center"/>
    </xf>
    <xf numFmtId="41" fontId="10" fillId="2" borderId="75" xfId="1" applyFont="1" applyFill="1" applyBorder="1">
      <alignment vertical="center"/>
    </xf>
    <xf numFmtId="41" fontId="11" fillId="0" borderId="83" xfId="7" applyFont="1" applyBorder="1">
      <alignment vertical="center"/>
    </xf>
    <xf numFmtId="41" fontId="11" fillId="0" borderId="48" xfId="7" applyFont="1" applyBorder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32" fillId="0" borderId="0" xfId="0" applyFont="1" applyProtection="1">
      <alignment vertical="center"/>
      <protection locked="0"/>
    </xf>
    <xf numFmtId="0" fontId="29" fillId="0" borderId="23" xfId="0" applyFont="1" applyBorder="1" applyAlignment="1" applyProtection="1">
      <alignment horizontal="center" vertical="center"/>
      <protection locked="0"/>
    </xf>
    <xf numFmtId="0" fontId="29" fillId="0" borderId="23" xfId="0" applyFont="1" applyBorder="1" applyProtection="1">
      <alignment vertical="center"/>
      <protection locked="0"/>
    </xf>
    <xf numFmtId="0" fontId="14" fillId="0" borderId="23" xfId="0" applyFont="1" applyBorder="1" applyProtection="1">
      <alignment vertical="center"/>
      <protection locked="0"/>
    </xf>
    <xf numFmtId="0" fontId="0" fillId="0" borderId="23" xfId="0" applyBorder="1" applyProtection="1">
      <alignment vertical="center"/>
      <protection locked="0"/>
    </xf>
    <xf numFmtId="0" fontId="10" fillId="2" borderId="37" xfId="0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 applyProtection="1">
      <alignment horizontal="center" vertical="center"/>
      <protection locked="0"/>
    </xf>
    <xf numFmtId="0" fontId="10" fillId="2" borderId="136" xfId="0" applyFont="1" applyFill="1" applyBorder="1" applyAlignment="1" applyProtection="1">
      <alignment horizontal="center" vertical="center"/>
      <protection locked="0"/>
    </xf>
    <xf numFmtId="0" fontId="10" fillId="2" borderId="135" xfId="0" applyFont="1" applyFill="1" applyBorder="1" applyAlignment="1" applyProtection="1">
      <alignment horizontal="center" vertical="center"/>
      <protection locked="0"/>
    </xf>
    <xf numFmtId="0" fontId="11" fillId="0" borderId="50" xfId="0" applyFont="1" applyBorder="1" applyAlignment="1" applyProtection="1">
      <alignment horizontal="center" vertical="center"/>
      <protection locked="0"/>
    </xf>
    <xf numFmtId="0" fontId="11" fillId="0" borderId="27" xfId="0" applyFont="1" applyBorder="1" applyAlignment="1" applyProtection="1">
      <alignment horizontal="center" vertical="center"/>
      <protection locked="0"/>
    </xf>
    <xf numFmtId="0" fontId="11" fillId="0" borderId="137" xfId="0" applyFont="1" applyBorder="1" applyAlignment="1" applyProtection="1">
      <alignment horizontal="center" vertical="center"/>
      <protection locked="0"/>
    </xf>
    <xf numFmtId="41" fontId="11" fillId="0" borderId="167" xfId="1" applyFont="1" applyBorder="1" applyProtection="1">
      <alignment vertical="center"/>
      <protection locked="0"/>
    </xf>
    <xf numFmtId="41" fontId="11" fillId="0" borderId="22" xfId="1" applyFont="1" applyBorder="1" applyProtection="1">
      <alignment vertical="center"/>
      <protection locked="0"/>
    </xf>
    <xf numFmtId="41" fontId="11" fillId="0" borderId="34" xfId="1" applyFont="1" applyBorder="1" applyProtection="1">
      <alignment vertical="center"/>
      <protection locked="0"/>
    </xf>
    <xf numFmtId="0" fontId="11" fillId="0" borderId="51" xfId="0" applyFont="1" applyBorder="1" applyAlignment="1" applyProtection="1">
      <alignment horizontal="center" vertical="center"/>
      <protection locked="0"/>
    </xf>
    <xf numFmtId="41" fontId="11" fillId="0" borderId="38" xfId="1" applyFont="1" applyBorder="1" applyProtection="1">
      <alignment vertical="center"/>
      <protection locked="0"/>
    </xf>
    <xf numFmtId="0" fontId="11" fillId="0" borderId="52" xfId="0" applyFont="1" applyBorder="1" applyAlignment="1" applyProtection="1">
      <alignment horizontal="center" vertical="center"/>
      <protection locked="0"/>
    </xf>
    <xf numFmtId="41" fontId="11" fillId="0" borderId="35" xfId="1" applyFont="1" applyBorder="1" applyProtection="1">
      <alignment vertical="center"/>
      <protection locked="0"/>
    </xf>
    <xf numFmtId="0" fontId="11" fillId="0" borderId="140" xfId="0" applyFont="1" applyBorder="1" applyAlignment="1" applyProtection="1">
      <alignment horizontal="center" vertical="center"/>
      <protection locked="0"/>
    </xf>
    <xf numFmtId="41" fontId="11" fillId="0" borderId="168" xfId="1" applyFont="1" applyBorder="1" applyProtection="1">
      <alignment vertical="center"/>
      <protection locked="0"/>
    </xf>
    <xf numFmtId="177" fontId="12" fillId="2" borderId="42" xfId="0" applyNumberFormat="1" applyFont="1" applyFill="1" applyBorder="1" applyAlignment="1" applyProtection="1">
      <alignment horizontal="center" vertical="center"/>
      <protection locked="0"/>
    </xf>
    <xf numFmtId="0" fontId="11" fillId="0" borderId="53" xfId="0" applyFont="1" applyBorder="1" applyAlignment="1" applyProtection="1">
      <alignment horizontal="center" vertical="center"/>
      <protection locked="0"/>
    </xf>
    <xf numFmtId="41" fontId="11" fillId="0" borderId="39" xfId="1" applyFont="1" applyBorder="1" applyProtection="1">
      <alignment vertical="center"/>
      <protection locked="0"/>
    </xf>
    <xf numFmtId="0" fontId="11" fillId="0" borderId="54" xfId="0" applyFont="1" applyBorder="1" applyAlignment="1" applyProtection="1">
      <alignment horizontal="center" vertical="center"/>
      <protection locked="0"/>
    </xf>
    <xf numFmtId="41" fontId="11" fillId="0" borderId="36" xfId="1" applyFont="1" applyBorder="1" applyProtection="1">
      <alignment vertical="center"/>
      <protection locked="0"/>
    </xf>
    <xf numFmtId="0" fontId="11" fillId="0" borderId="143" xfId="0" applyFont="1" applyBorder="1" applyAlignment="1" applyProtection="1">
      <alignment horizontal="center" vertical="center"/>
      <protection locked="0"/>
    </xf>
    <xf numFmtId="41" fontId="11" fillId="0" borderId="166" xfId="1" applyFont="1" applyBorder="1" applyProtection="1">
      <alignment vertical="center"/>
      <protection locked="0"/>
    </xf>
    <xf numFmtId="0" fontId="12" fillId="0" borderId="94" xfId="0" applyFont="1" applyBorder="1" applyAlignment="1" applyProtection="1">
      <alignment horizontal="center" vertical="center"/>
      <protection locked="0"/>
    </xf>
    <xf numFmtId="41" fontId="12" fillId="0" borderId="30" xfId="1" applyFont="1" applyBorder="1" applyProtection="1">
      <alignment vertical="center"/>
      <protection locked="0"/>
    </xf>
    <xf numFmtId="0" fontId="12" fillId="0" borderId="71" xfId="0" applyFont="1" applyBorder="1" applyAlignment="1" applyProtection="1">
      <alignment horizontal="center" vertical="center"/>
      <protection locked="0"/>
    </xf>
    <xf numFmtId="41" fontId="12" fillId="0" borderId="12" xfId="1" applyFont="1" applyBorder="1" applyProtection="1">
      <alignment vertical="center"/>
      <protection locked="0"/>
    </xf>
    <xf numFmtId="0" fontId="12" fillId="0" borderId="103" xfId="0" applyFont="1" applyBorder="1" applyAlignment="1" applyProtection="1">
      <alignment horizontal="center" vertical="center"/>
      <protection locked="0"/>
    </xf>
    <xf numFmtId="41" fontId="12" fillId="0" borderId="106" xfId="1" applyFont="1" applyBorder="1" applyProtection="1">
      <alignment vertical="center"/>
      <protection locked="0"/>
    </xf>
    <xf numFmtId="177" fontId="12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 vertical="center"/>
      <protection locked="0"/>
    </xf>
    <xf numFmtId="41" fontId="10" fillId="2" borderId="3" xfId="0" applyNumberFormat="1" applyFont="1" applyFill="1" applyBorder="1" applyProtection="1">
      <alignment vertical="center"/>
      <protection locked="0"/>
    </xf>
    <xf numFmtId="41" fontId="45" fillId="2" borderId="49" xfId="1" applyFont="1" applyFill="1" applyBorder="1" applyAlignment="1" applyProtection="1">
      <alignment horizontal="center" vertical="center"/>
      <protection locked="0"/>
    </xf>
    <xf numFmtId="41" fontId="12" fillId="2" borderId="25" xfId="1" applyFont="1" applyFill="1" applyBorder="1" applyProtection="1">
      <alignment vertical="center"/>
      <protection locked="0"/>
    </xf>
    <xf numFmtId="41" fontId="12" fillId="2" borderId="26" xfId="1" applyFont="1" applyFill="1" applyBorder="1" applyProtection="1">
      <alignment vertical="center"/>
      <protection locked="0"/>
    </xf>
    <xf numFmtId="41" fontId="45" fillId="2" borderId="97" xfId="1" applyFont="1" applyFill="1" applyBorder="1" applyAlignment="1" applyProtection="1">
      <alignment horizontal="center" vertical="center"/>
      <protection locked="0"/>
    </xf>
    <xf numFmtId="41" fontId="12" fillId="2" borderId="118" xfId="1" applyFont="1" applyFill="1" applyBorder="1" applyProtection="1">
      <alignment vertical="center"/>
      <protection locked="0"/>
    </xf>
    <xf numFmtId="41" fontId="45" fillId="0" borderId="0" xfId="1" applyFont="1" applyProtection="1">
      <alignment vertical="center"/>
      <protection locked="0"/>
    </xf>
    <xf numFmtId="0" fontId="48" fillId="6" borderId="0" xfId="0" applyFont="1" applyFill="1" applyAlignment="1" applyProtection="1">
      <alignment horizontal="center" vertical="center"/>
      <protection locked="0"/>
    </xf>
    <xf numFmtId="10" fontId="0" fillId="0" borderId="0" xfId="0" applyNumberFormat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10" fillId="2" borderId="109" xfId="0" applyFont="1" applyFill="1" applyBorder="1" applyAlignment="1" applyProtection="1">
      <alignment horizontal="center" vertical="center" wrapText="1"/>
      <protection locked="0"/>
    </xf>
    <xf numFmtId="0" fontId="10" fillId="2" borderId="110" xfId="0" applyFont="1" applyFill="1" applyBorder="1" applyAlignment="1" applyProtection="1">
      <alignment horizontal="center" vertical="center" wrapText="1"/>
      <protection locked="0"/>
    </xf>
    <xf numFmtId="0" fontId="10" fillId="2" borderId="111" xfId="0" applyFont="1" applyFill="1" applyBorder="1" applyAlignment="1" applyProtection="1">
      <alignment horizontal="center" vertical="center" wrapText="1"/>
      <protection locked="0"/>
    </xf>
    <xf numFmtId="0" fontId="10" fillId="2" borderId="10" xfId="0" applyFont="1" applyFill="1" applyBorder="1" applyAlignment="1" applyProtection="1">
      <alignment horizontal="center" vertical="center" wrapText="1"/>
      <protection locked="0"/>
    </xf>
    <xf numFmtId="0" fontId="10" fillId="2" borderId="6" xfId="0" applyFont="1" applyFill="1" applyBorder="1" applyAlignment="1" applyProtection="1">
      <alignment horizontal="center" vertical="center" wrapText="1"/>
      <protection locked="0"/>
    </xf>
    <xf numFmtId="0" fontId="10" fillId="2" borderId="79" xfId="0" applyFont="1" applyFill="1" applyBorder="1" applyAlignment="1" applyProtection="1">
      <alignment horizontal="center" vertical="center"/>
      <protection locked="0"/>
    </xf>
    <xf numFmtId="177" fontId="12" fillId="2" borderId="41" xfId="0" applyNumberFormat="1" applyFont="1" applyFill="1" applyBorder="1" applyAlignment="1" applyProtection="1">
      <alignment horizontal="center" vertical="center"/>
      <protection locked="0"/>
    </xf>
    <xf numFmtId="41" fontId="12" fillId="0" borderId="17" xfId="1" applyFont="1" applyBorder="1" applyAlignment="1" applyProtection="1">
      <alignment horizontal="center" vertical="center"/>
      <protection locked="0"/>
    </xf>
    <xf numFmtId="41" fontId="11" fillId="0" borderId="28" xfId="1" applyFont="1" applyBorder="1" applyAlignment="1" applyProtection="1">
      <alignment horizontal="center" vertical="center"/>
      <protection locked="0"/>
    </xf>
    <xf numFmtId="41" fontId="11" fillId="3" borderId="29" xfId="1" applyFont="1" applyFill="1" applyBorder="1" applyAlignment="1" applyProtection="1">
      <alignment horizontal="center" vertical="center"/>
      <protection locked="0"/>
    </xf>
    <xf numFmtId="41" fontId="11" fillId="3" borderId="30" xfId="1" applyFont="1" applyFill="1" applyBorder="1" applyAlignment="1" applyProtection="1">
      <alignment horizontal="center" vertical="center"/>
      <protection locked="0"/>
    </xf>
    <xf numFmtId="41" fontId="11" fillId="3" borderId="12" xfId="1" applyFont="1" applyFill="1" applyBorder="1" applyAlignment="1" applyProtection="1">
      <alignment horizontal="center" vertical="center"/>
      <protection locked="0"/>
    </xf>
    <xf numFmtId="41" fontId="11" fillId="3" borderId="112" xfId="1" applyFont="1" applyFill="1" applyBorder="1" applyAlignment="1" applyProtection="1">
      <alignment horizontal="center" vertical="center"/>
      <protection locked="0"/>
    </xf>
    <xf numFmtId="41" fontId="11" fillId="3" borderId="113" xfId="1" applyFont="1" applyFill="1" applyBorder="1" applyAlignment="1" applyProtection="1">
      <alignment horizontal="center" vertical="center"/>
      <protection locked="0"/>
    </xf>
    <xf numFmtId="41" fontId="11" fillId="3" borderId="114" xfId="1" applyFont="1" applyFill="1" applyBorder="1" applyAlignment="1" applyProtection="1">
      <alignment horizontal="center" vertical="center"/>
      <protection locked="0"/>
    </xf>
    <xf numFmtId="41" fontId="11" fillId="3" borderId="9" xfId="1" applyFont="1" applyFill="1" applyBorder="1" applyProtection="1">
      <alignment vertical="center"/>
      <protection locked="0"/>
    </xf>
    <xf numFmtId="41" fontId="11" fillId="3" borderId="8" xfId="1" applyFont="1" applyFill="1" applyBorder="1" applyProtection="1">
      <alignment vertical="center"/>
      <protection locked="0"/>
    </xf>
    <xf numFmtId="178" fontId="11" fillId="3" borderId="24" xfId="0" applyNumberFormat="1" applyFont="1" applyFill="1" applyBorder="1" applyAlignment="1" applyProtection="1">
      <alignment horizontal="center" vertical="center"/>
      <protection locked="0"/>
    </xf>
    <xf numFmtId="178" fontId="11" fillId="3" borderId="72" xfId="0" applyNumberFormat="1" applyFont="1" applyFill="1" applyBorder="1" applyAlignment="1" applyProtection="1">
      <alignment horizontal="center" vertical="center"/>
      <protection locked="0"/>
    </xf>
    <xf numFmtId="41" fontId="11" fillId="0" borderId="17" xfId="1" applyFont="1" applyBorder="1" applyAlignment="1" applyProtection="1">
      <alignment horizontal="center" vertical="center"/>
      <protection locked="0"/>
    </xf>
    <xf numFmtId="41" fontId="11" fillId="3" borderId="107" xfId="1" applyFont="1" applyFill="1" applyBorder="1" applyAlignment="1" applyProtection="1">
      <alignment horizontal="center" vertical="center"/>
      <protection locked="0"/>
    </xf>
    <xf numFmtId="41" fontId="11" fillId="3" borderId="115" xfId="1" applyFont="1" applyFill="1" applyBorder="1" applyAlignment="1" applyProtection="1">
      <alignment horizontal="center" vertical="center"/>
      <protection locked="0"/>
    </xf>
    <xf numFmtId="41" fontId="11" fillId="3" borderId="106" xfId="1" applyFont="1" applyFill="1" applyBorder="1" applyAlignment="1" applyProtection="1">
      <alignment horizontal="center" vertical="center"/>
      <protection locked="0"/>
    </xf>
    <xf numFmtId="41" fontId="11" fillId="3" borderId="16" xfId="1" applyFont="1" applyFill="1" applyBorder="1" applyProtection="1">
      <alignment vertical="center"/>
      <protection locked="0"/>
    </xf>
    <xf numFmtId="41" fontId="11" fillId="3" borderId="5" xfId="1" applyFont="1" applyFill="1" applyBorder="1" applyProtection="1">
      <alignment vertical="center"/>
      <protection locked="0"/>
    </xf>
    <xf numFmtId="178" fontId="11" fillId="3" borderId="76" xfId="0" applyNumberFormat="1" applyFont="1" applyFill="1" applyBorder="1" applyAlignment="1" applyProtection="1">
      <alignment horizontal="center" vertical="center"/>
      <protection locked="0"/>
    </xf>
    <xf numFmtId="178" fontId="11" fillId="3" borderId="73" xfId="0" applyNumberFormat="1" applyFont="1" applyFill="1" applyBorder="1" applyAlignment="1" applyProtection="1">
      <alignment horizontal="center" vertical="center"/>
      <protection locked="0"/>
    </xf>
    <xf numFmtId="41" fontId="11" fillId="3" borderId="29" xfId="7" applyFont="1" applyFill="1" applyBorder="1" applyAlignment="1" applyProtection="1">
      <alignment horizontal="center" vertical="center"/>
      <protection locked="0"/>
    </xf>
    <xf numFmtId="41" fontId="11" fillId="3" borderId="30" xfId="7" applyFont="1" applyFill="1" applyBorder="1" applyAlignment="1" applyProtection="1">
      <alignment horizontal="center" vertical="center"/>
      <protection locked="0"/>
    </xf>
    <xf numFmtId="41" fontId="11" fillId="3" borderId="107" xfId="7" applyFont="1" applyFill="1" applyBorder="1" applyAlignment="1" applyProtection="1">
      <alignment horizontal="center" vertical="center"/>
      <protection locked="0"/>
    </xf>
    <xf numFmtId="41" fontId="11" fillId="3" borderId="115" xfId="7" applyFont="1" applyFill="1" applyBorder="1" applyAlignment="1" applyProtection="1">
      <alignment horizontal="center" vertical="center"/>
      <protection locked="0"/>
    </xf>
    <xf numFmtId="41" fontId="11" fillId="3" borderId="106" xfId="7" applyFont="1" applyFill="1" applyBorder="1" applyAlignment="1" applyProtection="1">
      <alignment horizontal="center" vertical="center"/>
      <protection locked="0"/>
    </xf>
    <xf numFmtId="41" fontId="11" fillId="3" borderId="16" xfId="7" applyFont="1" applyFill="1" applyBorder="1" applyProtection="1">
      <alignment vertical="center"/>
      <protection locked="0"/>
    </xf>
    <xf numFmtId="41" fontId="11" fillId="3" borderId="5" xfId="7" applyFont="1" applyFill="1" applyBorder="1" applyProtection="1">
      <alignment vertical="center"/>
      <protection locked="0"/>
    </xf>
    <xf numFmtId="41" fontId="11" fillId="3" borderId="14" xfId="1" applyFont="1" applyFill="1" applyBorder="1" applyAlignment="1" applyProtection="1">
      <alignment horizontal="center" vertical="center"/>
      <protection locked="0"/>
    </xf>
    <xf numFmtId="41" fontId="11" fillId="3" borderId="31" xfId="1" applyFont="1" applyFill="1" applyBorder="1" applyAlignment="1" applyProtection="1">
      <alignment horizontal="center" vertical="center"/>
      <protection locked="0"/>
    </xf>
    <xf numFmtId="41" fontId="11" fillId="3" borderId="13" xfId="1" applyFont="1" applyFill="1" applyBorder="1" applyAlignment="1" applyProtection="1">
      <alignment horizontal="center" vertical="center"/>
      <protection locked="0"/>
    </xf>
    <xf numFmtId="41" fontId="11" fillId="3" borderId="109" xfId="1" applyFont="1" applyFill="1" applyBorder="1" applyAlignment="1" applyProtection="1">
      <alignment horizontal="center" vertical="center"/>
      <protection locked="0"/>
    </xf>
    <xf numFmtId="41" fontId="11" fillId="3" borderId="110" xfId="1" applyFont="1" applyFill="1" applyBorder="1" applyAlignment="1" applyProtection="1">
      <alignment horizontal="center" vertical="center"/>
      <protection locked="0"/>
    </xf>
    <xf numFmtId="41" fontId="11" fillId="3" borderId="111" xfId="1" applyFont="1" applyFill="1" applyBorder="1" applyAlignment="1" applyProtection="1">
      <alignment horizontal="center" vertical="center"/>
      <protection locked="0"/>
    </xf>
    <xf numFmtId="41" fontId="11" fillId="3" borderId="10" xfId="1" applyFont="1" applyFill="1" applyBorder="1" applyProtection="1">
      <alignment vertical="center"/>
      <protection locked="0"/>
    </xf>
    <xf numFmtId="41" fontId="11" fillId="3" borderId="6" xfId="1" applyFont="1" applyFill="1" applyBorder="1" applyProtection="1">
      <alignment vertical="center"/>
      <protection locked="0"/>
    </xf>
    <xf numFmtId="178" fontId="11" fillId="3" borderId="77" xfId="0" applyNumberFormat="1" applyFont="1" applyFill="1" applyBorder="1" applyAlignment="1" applyProtection="1">
      <alignment horizontal="center" vertical="center"/>
      <protection locked="0"/>
    </xf>
    <xf numFmtId="178" fontId="11" fillId="3" borderId="74" xfId="0" applyNumberFormat="1" applyFont="1" applyFill="1" applyBorder="1" applyAlignment="1" applyProtection="1">
      <alignment horizontal="center" vertical="center"/>
      <protection locked="0"/>
    </xf>
    <xf numFmtId="41" fontId="12" fillId="2" borderId="3" xfId="0" applyNumberFormat="1" applyFont="1" applyFill="1" applyBorder="1" applyProtection="1">
      <alignment vertical="center"/>
      <protection locked="0"/>
    </xf>
    <xf numFmtId="41" fontId="12" fillId="2" borderId="21" xfId="1" applyFont="1" applyFill="1" applyBorder="1" applyAlignment="1" applyProtection="1">
      <alignment horizontal="center" vertical="center"/>
      <protection locked="0"/>
    </xf>
    <xf numFmtId="41" fontId="12" fillId="2" borderId="25" xfId="1" applyFont="1" applyFill="1" applyBorder="1" applyAlignment="1" applyProtection="1">
      <alignment horizontal="center" vertical="center"/>
      <protection locked="0"/>
    </xf>
    <xf numFmtId="41" fontId="12" fillId="2" borderId="26" xfId="1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41" fontId="12" fillId="2" borderId="116" xfId="1" applyFont="1" applyFill="1" applyBorder="1" applyAlignment="1" applyProtection="1">
      <alignment horizontal="center" vertical="center"/>
      <protection locked="0"/>
    </xf>
    <xf numFmtId="41" fontId="12" fillId="2" borderId="117" xfId="1" applyFont="1" applyFill="1" applyBorder="1" applyAlignment="1" applyProtection="1">
      <alignment horizontal="center" vertical="center"/>
      <protection locked="0"/>
    </xf>
    <xf numFmtId="41" fontId="12" fillId="2" borderId="118" xfId="1" applyFont="1" applyFill="1" applyBorder="1" applyAlignment="1" applyProtection="1">
      <alignment horizontal="center" vertical="center"/>
      <protection locked="0"/>
    </xf>
    <xf numFmtId="41" fontId="12" fillId="2" borderId="46" xfId="1" applyFont="1" applyFill="1" applyBorder="1" applyAlignment="1" applyProtection="1">
      <alignment horizontal="center" vertical="center"/>
      <protection locked="0"/>
    </xf>
    <xf numFmtId="41" fontId="12" fillId="2" borderId="47" xfId="1" applyFont="1" applyFill="1" applyBorder="1" applyAlignment="1" applyProtection="1">
      <alignment horizontal="center" vertical="center"/>
      <protection locked="0"/>
    </xf>
    <xf numFmtId="178" fontId="12" fillId="2" borderId="78" xfId="0" applyNumberFormat="1" applyFont="1" applyFill="1" applyBorder="1" applyAlignment="1" applyProtection="1">
      <alignment horizontal="center" vertical="center"/>
      <protection locked="0"/>
    </xf>
    <xf numFmtId="178" fontId="12" fillId="2" borderId="75" xfId="0" applyNumberFormat="1" applyFont="1" applyFill="1" applyBorder="1" applyAlignment="1" applyProtection="1">
      <alignment horizontal="center" vertical="center"/>
      <protection locked="0"/>
    </xf>
    <xf numFmtId="41" fontId="6" fillId="0" borderId="0" xfId="0" applyNumberFormat="1" applyFont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7" fillId="6" borderId="0" xfId="0" applyFont="1" applyFill="1" applyAlignment="1" applyProtection="1">
      <alignment horizontal="center" vertical="center"/>
      <protection locked="0"/>
    </xf>
    <xf numFmtId="0" fontId="6" fillId="7" borderId="184" xfId="0" applyFont="1" applyFill="1" applyBorder="1" applyAlignment="1" applyProtection="1">
      <alignment horizontal="center" vertical="center"/>
      <protection locked="0"/>
    </xf>
    <xf numFmtId="0" fontId="0" fillId="6" borderId="163" xfId="0" applyFill="1" applyBorder="1" applyAlignment="1" applyProtection="1">
      <alignment horizontal="center" vertical="center"/>
      <protection locked="0"/>
    </xf>
    <xf numFmtId="182" fontId="0" fillId="0" borderId="185" xfId="0" applyNumberFormat="1" applyBorder="1" applyAlignment="1" applyProtection="1">
      <alignment horizontal="center" vertical="center"/>
      <protection locked="0"/>
    </xf>
    <xf numFmtId="0" fontId="6" fillId="7" borderId="105" xfId="0" applyFont="1" applyFill="1" applyBorder="1" applyAlignment="1" applyProtection="1">
      <alignment horizontal="center" vertical="center"/>
      <protection locked="0"/>
    </xf>
    <xf numFmtId="41" fontId="30" fillId="6" borderId="185" xfId="1" applyFont="1" applyFill="1" applyBorder="1" applyAlignment="1" applyProtection="1">
      <alignment vertical="center"/>
      <protection locked="0"/>
    </xf>
    <xf numFmtId="0" fontId="33" fillId="0" borderId="0" xfId="0" applyFont="1" applyAlignment="1" applyProtection="1">
      <alignment horizontal="center" vertical="center" wrapText="1"/>
      <protection locked="0"/>
    </xf>
    <xf numFmtId="0" fontId="6" fillId="8" borderId="122" xfId="0" applyFont="1" applyFill="1" applyBorder="1" applyAlignment="1" applyProtection="1">
      <alignment horizontal="center" vertical="center"/>
      <protection locked="0"/>
    </xf>
    <xf numFmtId="0" fontId="6" fillId="8" borderId="117" xfId="0" applyFont="1" applyFill="1" applyBorder="1" applyAlignment="1" applyProtection="1">
      <alignment horizontal="center" vertical="center"/>
      <protection locked="0"/>
    </xf>
    <xf numFmtId="0" fontId="6" fillId="7" borderId="123" xfId="0" applyFont="1" applyFill="1" applyBorder="1" applyProtection="1">
      <alignment vertical="center"/>
      <protection locked="0"/>
    </xf>
    <xf numFmtId="0" fontId="4" fillId="0" borderId="115" xfId="0" applyFont="1" applyBorder="1" applyAlignment="1" applyProtection="1">
      <alignment horizontal="center" vertical="center"/>
      <protection locked="0"/>
    </xf>
    <xf numFmtId="0" fontId="7" fillId="6" borderId="124" xfId="0" applyFont="1" applyFill="1" applyBorder="1" applyAlignment="1" applyProtection="1">
      <alignment horizontal="center" vertical="center"/>
      <protection locked="0"/>
    </xf>
    <xf numFmtId="0" fontId="53" fillId="0" borderId="0" xfId="0" applyFont="1" applyProtection="1">
      <alignment vertical="center"/>
      <protection locked="0"/>
    </xf>
    <xf numFmtId="0" fontId="6" fillId="7" borderId="126" xfId="0" applyFont="1" applyFill="1" applyBorder="1" applyProtection="1">
      <alignment vertical="center"/>
      <protection locked="0"/>
    </xf>
    <xf numFmtId="0" fontId="0" fillId="0" borderId="115" xfId="0" applyBorder="1" applyAlignment="1" applyProtection="1">
      <alignment horizontal="center" vertical="center"/>
      <protection locked="0"/>
    </xf>
    <xf numFmtId="0" fontId="6" fillId="7" borderId="127" xfId="0" applyFont="1" applyFill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4" fillId="8" borderId="105" xfId="0" applyFont="1" applyFill="1" applyBorder="1" applyAlignment="1" applyProtection="1">
      <alignment horizontal="center" vertical="center"/>
      <protection locked="0"/>
    </xf>
    <xf numFmtId="0" fontId="4" fillId="8" borderId="120" xfId="0" applyFont="1" applyFill="1" applyBorder="1" applyAlignment="1" applyProtection="1">
      <alignment horizontal="center" vertical="center"/>
      <protection locked="0"/>
    </xf>
    <xf numFmtId="0" fontId="4" fillId="6" borderId="115" xfId="0" applyFont="1" applyFill="1" applyBorder="1" applyAlignment="1" applyProtection="1">
      <alignment horizontal="center" vertical="center"/>
      <protection locked="0"/>
    </xf>
    <xf numFmtId="0" fontId="6" fillId="7" borderId="157" xfId="0" applyFont="1" applyFill="1" applyBorder="1" applyProtection="1">
      <alignment vertical="center"/>
      <protection locked="0"/>
    </xf>
    <xf numFmtId="0" fontId="0" fillId="0" borderId="158" xfId="0" applyBorder="1" applyAlignment="1" applyProtection="1">
      <alignment horizontal="center" vertical="center"/>
      <protection locked="0"/>
    </xf>
    <xf numFmtId="0" fontId="4" fillId="8" borderId="105" xfId="0" applyFont="1" applyFill="1" applyBorder="1" applyProtection="1">
      <alignment vertical="center"/>
      <protection locked="0"/>
    </xf>
    <xf numFmtId="0" fontId="4" fillId="8" borderId="120" xfId="0" applyFont="1" applyFill="1" applyBorder="1" applyProtection="1">
      <alignment vertical="center"/>
      <protection locked="0"/>
    </xf>
    <xf numFmtId="0" fontId="53" fillId="6" borderId="0" xfId="0" applyFont="1" applyFill="1" applyAlignment="1" applyProtection="1">
      <alignment horizontal="center" vertical="center"/>
      <protection locked="0"/>
    </xf>
    <xf numFmtId="0" fontId="0" fillId="0" borderId="108" xfId="0" applyBorder="1" applyProtection="1">
      <alignment vertical="center"/>
      <protection locked="0"/>
    </xf>
    <xf numFmtId="0" fontId="6" fillId="7" borderId="120" xfId="0" applyFont="1" applyFill="1" applyBorder="1" applyAlignment="1" applyProtection="1">
      <alignment horizontal="center" vertical="center"/>
      <protection locked="0"/>
    </xf>
    <xf numFmtId="0" fontId="6" fillId="7" borderId="122" xfId="0" applyFont="1" applyFill="1" applyBorder="1" applyAlignment="1" applyProtection="1">
      <alignment horizontal="center" vertical="center"/>
      <protection locked="0"/>
    </xf>
    <xf numFmtId="0" fontId="6" fillId="7" borderId="117" xfId="0" applyFont="1" applyFill="1" applyBorder="1" applyAlignment="1" applyProtection="1">
      <alignment horizontal="center" vertical="center"/>
      <protection locked="0"/>
    </xf>
    <xf numFmtId="0" fontId="6" fillId="7" borderId="118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4" fillId="6" borderId="126" xfId="0" applyFont="1" applyFill="1" applyBorder="1" applyAlignment="1" applyProtection="1">
      <alignment horizontal="center" vertical="center"/>
      <protection locked="0"/>
    </xf>
    <xf numFmtId="0" fontId="0" fillId="6" borderId="115" xfId="0" applyFill="1" applyBorder="1" applyAlignment="1" applyProtection="1">
      <alignment horizontal="center" vertical="center"/>
      <protection locked="0"/>
    </xf>
    <xf numFmtId="14" fontId="0" fillId="6" borderId="115" xfId="0" applyNumberFormat="1" applyFill="1" applyBorder="1" applyAlignment="1" applyProtection="1">
      <alignment horizontal="center" vertical="center"/>
      <protection locked="0"/>
    </xf>
    <xf numFmtId="0" fontId="0" fillId="6" borderId="106" xfId="0" applyFill="1" applyBorder="1" applyProtection="1">
      <alignment vertical="center"/>
      <protection locked="0"/>
    </xf>
    <xf numFmtId="0" fontId="0" fillId="6" borderId="106" xfId="0" applyFill="1" applyBorder="1" applyAlignment="1" applyProtection="1">
      <alignment horizontal="center" vertical="center"/>
      <protection locked="0"/>
    </xf>
    <xf numFmtId="0" fontId="0" fillId="6" borderId="126" xfId="0" applyFill="1" applyBorder="1" applyAlignment="1" applyProtection="1">
      <alignment horizontal="center" vertical="center"/>
      <protection locked="0"/>
    </xf>
    <xf numFmtId="0" fontId="0" fillId="6" borderId="127" xfId="0" applyFill="1" applyBorder="1" applyAlignment="1" applyProtection="1">
      <alignment horizontal="center" vertical="center"/>
      <protection locked="0"/>
    </xf>
    <xf numFmtId="0" fontId="0" fillId="6" borderId="110" xfId="0" applyFill="1" applyBorder="1" applyAlignment="1" applyProtection="1">
      <alignment horizontal="center" vertical="center"/>
      <protection locked="0"/>
    </xf>
    <xf numFmtId="14" fontId="0" fillId="6" borderId="110" xfId="0" applyNumberFormat="1" applyFill="1" applyBorder="1" applyAlignment="1" applyProtection="1">
      <alignment horizontal="center" vertical="center"/>
      <protection locked="0"/>
    </xf>
    <xf numFmtId="0" fontId="0" fillId="6" borderId="111" xfId="0" applyFill="1" applyBorder="1" applyProtection="1">
      <alignment vertical="center"/>
      <protection locked="0"/>
    </xf>
    <xf numFmtId="0" fontId="0" fillId="6" borderId="111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7" borderId="150" xfId="0" applyFont="1" applyFill="1" applyBorder="1" applyAlignment="1" applyProtection="1">
      <alignment horizontal="center" vertical="center"/>
      <protection locked="0"/>
    </xf>
    <xf numFmtId="0" fontId="6" fillId="7" borderId="116" xfId="0" applyFont="1" applyFill="1" applyBorder="1" applyAlignment="1" applyProtection="1">
      <alignment horizontal="center" vertical="center"/>
      <protection locked="0"/>
    </xf>
    <xf numFmtId="41" fontId="30" fillId="6" borderId="151" xfId="1" applyFont="1" applyFill="1" applyBorder="1" applyProtection="1">
      <alignment vertical="center"/>
      <protection locked="0"/>
    </xf>
    <xf numFmtId="0" fontId="0" fillId="6" borderId="107" xfId="0" applyFill="1" applyBorder="1" applyAlignment="1" applyProtection="1">
      <alignment horizontal="center" vertical="center"/>
      <protection locked="0"/>
    </xf>
    <xf numFmtId="41" fontId="30" fillId="6" borderId="152" xfId="1" applyFont="1" applyFill="1" applyBorder="1" applyProtection="1">
      <alignment vertical="center"/>
      <protection locked="0"/>
    </xf>
    <xf numFmtId="0" fontId="0" fillId="6" borderId="109" xfId="0" applyFill="1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41" fontId="11" fillId="0" borderId="189" xfId="1" applyFont="1" applyBorder="1" applyAlignment="1" applyProtection="1">
      <alignment horizontal="center" vertical="center"/>
      <protection locked="0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17" fillId="0" borderId="57" xfId="0" applyFont="1" applyBorder="1">
      <alignment vertical="center"/>
    </xf>
    <xf numFmtId="9" fontId="31" fillId="2" borderId="23" xfId="3" applyFont="1" applyFill="1" applyBorder="1" applyAlignment="1">
      <alignment horizontal="center" vertical="center"/>
    </xf>
    <xf numFmtId="0" fontId="0" fillId="0" borderId="65" xfId="0" applyBorder="1">
      <alignment vertical="center"/>
    </xf>
    <xf numFmtId="0" fontId="0" fillId="0" borderId="66" xfId="0" applyBorder="1">
      <alignment vertical="center"/>
    </xf>
    <xf numFmtId="0" fontId="61" fillId="0" borderId="200" xfId="0" applyFont="1" applyBorder="1">
      <alignment vertical="center"/>
    </xf>
    <xf numFmtId="0" fontId="0" fillId="0" borderId="67" xfId="0" applyBorder="1">
      <alignment vertical="center"/>
    </xf>
    <xf numFmtId="0" fontId="29" fillId="0" borderId="0" xfId="24" applyFont="1">
      <alignment vertical="center"/>
    </xf>
    <xf numFmtId="0" fontId="4" fillId="0" borderId="0" xfId="24">
      <alignment vertical="center"/>
    </xf>
    <xf numFmtId="0" fontId="12" fillId="0" borderId="0" xfId="24" quotePrefix="1" applyFont="1">
      <alignment vertical="center"/>
    </xf>
    <xf numFmtId="0" fontId="29" fillId="0" borderId="0" xfId="24" applyFont="1" applyAlignment="1">
      <alignment horizontal="center" vertical="center"/>
    </xf>
    <xf numFmtId="0" fontId="32" fillId="0" borderId="0" xfId="24" applyFont="1">
      <alignment vertical="center"/>
    </xf>
    <xf numFmtId="0" fontId="11" fillId="14" borderId="225" xfId="24" quotePrefix="1" applyFont="1" applyFill="1" applyBorder="1">
      <alignment vertical="center"/>
    </xf>
    <xf numFmtId="0" fontId="13" fillId="0" borderId="0" xfId="24" applyFont="1">
      <alignment vertical="center"/>
    </xf>
    <xf numFmtId="0" fontId="12" fillId="0" borderId="0" xfId="24" applyFont="1">
      <alignment vertical="center"/>
    </xf>
    <xf numFmtId="0" fontId="11" fillId="0" borderId="0" xfId="24" applyFont="1">
      <alignment vertical="center"/>
    </xf>
    <xf numFmtId="0" fontId="10" fillId="0" borderId="0" xfId="24" applyFont="1">
      <alignment vertical="center"/>
    </xf>
    <xf numFmtId="177" fontId="10" fillId="12" borderId="153" xfId="24" applyNumberFormat="1" applyFont="1" applyFill="1" applyBorder="1" applyAlignment="1">
      <alignment horizontal="center" vertical="center"/>
    </xf>
    <xf numFmtId="177" fontId="10" fillId="12" borderId="115" xfId="24" applyNumberFormat="1" applyFont="1" applyFill="1" applyBorder="1" applyAlignment="1">
      <alignment horizontal="center" vertical="center"/>
    </xf>
    <xf numFmtId="177" fontId="63" fillId="12" borderId="146" xfId="24" applyNumberFormat="1" applyFont="1" applyFill="1" applyBorder="1" applyAlignment="1">
      <alignment horizontal="center" vertical="center"/>
    </xf>
    <xf numFmtId="177" fontId="63" fillId="12" borderId="106" xfId="24" applyNumberFormat="1" applyFont="1" applyFill="1" applyBorder="1" applyAlignment="1">
      <alignment horizontal="center" vertical="center"/>
    </xf>
    <xf numFmtId="0" fontId="5" fillId="12" borderId="189" xfId="24" applyFont="1" applyFill="1" applyBorder="1" applyAlignment="1">
      <alignment horizontal="center" vertical="center"/>
    </xf>
    <xf numFmtId="0" fontId="11" fillId="14" borderId="227" xfId="24" applyFont="1" applyFill="1" applyBorder="1" applyAlignment="1">
      <alignment horizontal="center" vertical="center"/>
    </xf>
    <xf numFmtId="0" fontId="11" fillId="14" borderId="119" xfId="24" applyFont="1" applyFill="1" applyBorder="1" applyAlignment="1">
      <alignment horizontal="center" vertical="center"/>
    </xf>
    <xf numFmtId="185" fontId="11" fillId="14" borderId="228" xfId="24" applyNumberFormat="1" applyFont="1" applyFill="1" applyBorder="1" applyAlignment="1">
      <alignment horizontal="center" vertical="center"/>
    </xf>
    <xf numFmtId="185" fontId="11" fillId="14" borderId="124" xfId="24" applyNumberFormat="1" applyFont="1" applyFill="1" applyBorder="1" applyAlignment="1">
      <alignment horizontal="center" vertical="center"/>
    </xf>
    <xf numFmtId="0" fontId="52" fillId="0" borderId="146" xfId="24" applyFont="1" applyBorder="1" applyAlignment="1">
      <alignment horizontal="center" vertical="center"/>
    </xf>
    <xf numFmtId="0" fontId="63" fillId="0" borderId="189" xfId="24" applyFont="1" applyBorder="1" applyAlignment="1">
      <alignment horizontal="center" vertical="center"/>
    </xf>
    <xf numFmtId="185" fontId="11" fillId="14" borderId="153" xfId="24" applyNumberFormat="1" applyFont="1" applyFill="1" applyBorder="1" applyAlignment="1">
      <alignment horizontal="center" vertical="center"/>
    </xf>
    <xf numFmtId="185" fontId="11" fillId="14" borderId="115" xfId="24" applyNumberFormat="1" applyFont="1" applyFill="1" applyBorder="1" applyAlignment="1">
      <alignment horizontal="center" vertical="center"/>
    </xf>
    <xf numFmtId="0" fontId="63" fillId="11" borderId="189" xfId="17" applyFont="1" applyFill="1" applyBorder="1" applyAlignment="1">
      <alignment horizontal="center" vertical="center"/>
    </xf>
    <xf numFmtId="0" fontId="5" fillId="0" borderId="0" xfId="24" applyFont="1">
      <alignment vertical="center"/>
    </xf>
    <xf numFmtId="0" fontId="63" fillId="15" borderId="189" xfId="17" applyFont="1" applyFill="1" applyBorder="1" applyAlignment="1">
      <alignment horizontal="center" vertical="center"/>
    </xf>
    <xf numFmtId="0" fontId="63" fillId="16" borderId="189" xfId="17" applyFont="1" applyFill="1" applyBorder="1" applyAlignment="1">
      <alignment horizontal="center" vertical="center"/>
    </xf>
    <xf numFmtId="0" fontId="63" fillId="17" borderId="189" xfId="17" applyFont="1" applyFill="1" applyBorder="1" applyAlignment="1">
      <alignment horizontal="center" vertical="center"/>
    </xf>
    <xf numFmtId="0" fontId="63" fillId="18" borderId="189" xfId="17" applyFont="1" applyFill="1" applyBorder="1" applyAlignment="1">
      <alignment horizontal="center" vertical="center"/>
    </xf>
    <xf numFmtId="0" fontId="63" fillId="19" borderId="189" xfId="17" applyFont="1" applyFill="1" applyBorder="1" applyAlignment="1">
      <alignment horizontal="center" vertical="center"/>
    </xf>
    <xf numFmtId="185" fontId="11" fillId="14" borderId="128" xfId="24" applyNumberFormat="1" applyFont="1" applyFill="1" applyBorder="1" applyAlignment="1">
      <alignment horizontal="center" vertical="center"/>
    </xf>
    <xf numFmtId="185" fontId="11" fillId="14" borderId="110" xfId="24" applyNumberFormat="1" applyFont="1" applyFill="1" applyBorder="1" applyAlignment="1">
      <alignment horizontal="center" vertical="center"/>
    </xf>
    <xf numFmtId="0" fontId="52" fillId="0" borderId="229" xfId="24" applyFont="1" applyBorder="1" applyAlignment="1">
      <alignment horizontal="center" vertical="center"/>
    </xf>
    <xf numFmtId="176" fontId="5" fillId="12" borderId="136" xfId="24" applyNumberFormat="1" applyFont="1" applyFill="1" applyBorder="1" applyAlignment="1">
      <alignment horizontal="center" vertical="center"/>
    </xf>
    <xf numFmtId="176" fontId="4" fillId="12" borderId="154" xfId="24" applyNumberFormat="1" applyFill="1" applyBorder="1" applyAlignment="1">
      <alignment horizontal="center" vertical="center"/>
    </xf>
    <xf numFmtId="176" fontId="4" fillId="12" borderId="135" xfId="24" applyNumberFormat="1" applyFill="1" applyBorder="1" applyAlignment="1">
      <alignment horizontal="center" vertical="center"/>
    </xf>
    <xf numFmtId="20" fontId="5" fillId="0" borderId="0" xfId="24" applyNumberFormat="1" applyFont="1" applyAlignment="1">
      <alignment horizontal="center" vertical="center"/>
    </xf>
    <xf numFmtId="0" fontId="5" fillId="0" borderId="0" xfId="24" applyFont="1" applyAlignment="1">
      <alignment horizontal="center" vertical="center"/>
    </xf>
    <xf numFmtId="0" fontId="11" fillId="14" borderId="101" xfId="24" applyFont="1" applyFill="1" applyBorder="1" applyAlignment="1">
      <alignment horizontal="center" vertical="center"/>
    </xf>
    <xf numFmtId="0" fontId="11" fillId="14" borderId="96" xfId="24" applyFont="1" applyFill="1" applyBorder="1" applyAlignment="1">
      <alignment horizontal="center" vertical="center"/>
    </xf>
    <xf numFmtId="0" fontId="52" fillId="0" borderId="106" xfId="24" applyFont="1" applyBorder="1" applyAlignment="1">
      <alignment horizontal="center" vertical="center"/>
    </xf>
    <xf numFmtId="0" fontId="52" fillId="0" borderId="111" xfId="24" applyFont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3" borderId="143" xfId="0" applyFont="1" applyFill="1" applyBorder="1" applyAlignment="1">
      <alignment horizontal="center" vertical="center"/>
    </xf>
    <xf numFmtId="41" fontId="11" fillId="3" borderId="167" xfId="1" applyFont="1" applyFill="1" applyBorder="1">
      <alignment vertical="center"/>
    </xf>
    <xf numFmtId="0" fontId="11" fillId="3" borderId="140" xfId="0" applyFont="1" applyFill="1" applyBorder="1" applyAlignment="1">
      <alignment horizontal="center" vertical="center"/>
    </xf>
    <xf numFmtId="41" fontId="11" fillId="3" borderId="168" xfId="1" applyFont="1" applyFill="1" applyBorder="1">
      <alignment vertical="center"/>
    </xf>
    <xf numFmtId="0" fontId="11" fillId="3" borderId="171" xfId="0" applyFont="1" applyFill="1" applyBorder="1" applyAlignment="1">
      <alignment horizontal="center" vertical="center"/>
    </xf>
    <xf numFmtId="41" fontId="11" fillId="3" borderId="169" xfId="1" applyFont="1" applyFill="1" applyBorder="1">
      <alignment vertical="center"/>
    </xf>
    <xf numFmtId="41" fontId="12" fillId="0" borderId="12" xfId="1" applyFont="1" applyBorder="1">
      <alignment vertical="center"/>
    </xf>
    <xf numFmtId="41" fontId="10" fillId="2" borderId="49" xfId="0" applyNumberFormat="1" applyFont="1" applyFill="1" applyBorder="1">
      <alignment vertical="center"/>
    </xf>
    <xf numFmtId="41" fontId="12" fillId="2" borderId="25" xfId="1" applyFont="1" applyFill="1" applyBorder="1">
      <alignment vertical="center"/>
    </xf>
    <xf numFmtId="41" fontId="12" fillId="2" borderId="26" xfId="1" applyFont="1" applyFill="1" applyBorder="1">
      <alignment vertical="center"/>
    </xf>
    <xf numFmtId="0" fontId="54" fillId="0" borderId="0" xfId="13" applyFont="1">
      <alignment vertical="center"/>
    </xf>
    <xf numFmtId="0" fontId="2" fillId="0" borderId="0" xfId="13" applyAlignment="1">
      <alignment vertical="center" shrinkToFit="1"/>
    </xf>
    <xf numFmtId="0" fontId="2" fillId="0" borderId="0" xfId="13">
      <alignment vertical="center"/>
    </xf>
    <xf numFmtId="0" fontId="55" fillId="0" borderId="0" xfId="13" applyFont="1" applyAlignment="1">
      <alignment horizontal="right" vertical="center"/>
    </xf>
    <xf numFmtId="0" fontId="55" fillId="0" borderId="0" xfId="13" applyFont="1" applyAlignment="1">
      <alignment horizontal="center" vertical="center"/>
    </xf>
    <xf numFmtId="0" fontId="56" fillId="7" borderId="171" xfId="13" applyFont="1" applyFill="1" applyBorder="1" applyAlignment="1">
      <alignment horizontal="center" vertical="center" shrinkToFit="1"/>
    </xf>
    <xf numFmtId="0" fontId="56" fillId="7" borderId="176" xfId="13" applyFont="1" applyFill="1" applyBorder="1" applyAlignment="1">
      <alignment horizontal="center" vertical="center" shrinkToFit="1"/>
    </xf>
    <xf numFmtId="0" fontId="56" fillId="7" borderId="170" xfId="13" applyFont="1" applyFill="1" applyBorder="1" applyAlignment="1">
      <alignment horizontal="center" vertical="center"/>
    </xf>
    <xf numFmtId="0" fontId="56" fillId="7" borderId="177" xfId="13" applyFont="1" applyFill="1" applyBorder="1" applyAlignment="1">
      <alignment horizontal="center" vertical="center" shrinkToFit="1"/>
    </xf>
    <xf numFmtId="0" fontId="56" fillId="7" borderId="169" xfId="13" applyFont="1" applyFill="1" applyBorder="1" applyAlignment="1">
      <alignment horizontal="center" vertical="center"/>
    </xf>
    <xf numFmtId="0" fontId="56" fillId="9" borderId="138" xfId="13" applyFont="1" applyFill="1" applyBorder="1" applyAlignment="1">
      <alignment horizontal="center" vertical="center"/>
    </xf>
    <xf numFmtId="41" fontId="57" fillId="6" borderId="137" xfId="14" applyFont="1" applyFill="1" applyBorder="1" applyAlignment="1" applyProtection="1">
      <alignment vertical="center" shrinkToFit="1"/>
    </xf>
    <xf numFmtId="41" fontId="57" fillId="6" borderId="178" xfId="14" applyFont="1" applyFill="1" applyBorder="1" applyAlignment="1" applyProtection="1">
      <alignment vertical="center" shrinkToFit="1"/>
    </xf>
    <xf numFmtId="41" fontId="57" fillId="0" borderId="139" xfId="14" applyFont="1" applyBorder="1" applyProtection="1">
      <alignment vertical="center"/>
    </xf>
    <xf numFmtId="0" fontId="56" fillId="9" borderId="141" xfId="13" applyFont="1" applyFill="1" applyBorder="1" applyAlignment="1">
      <alignment horizontal="center" vertical="center"/>
    </xf>
    <xf numFmtId="41" fontId="57" fillId="6" borderId="140" xfId="14" applyFont="1" applyFill="1" applyBorder="1" applyAlignment="1" applyProtection="1">
      <alignment vertical="center" shrinkToFit="1"/>
    </xf>
    <xf numFmtId="41" fontId="57" fillId="6" borderId="179" xfId="14" applyFont="1" applyFill="1" applyBorder="1" applyAlignment="1" applyProtection="1">
      <alignment vertical="center" shrinkToFit="1"/>
    </xf>
    <xf numFmtId="41" fontId="57" fillId="0" borderId="142" xfId="14" applyFont="1" applyBorder="1" applyProtection="1">
      <alignment vertical="center"/>
    </xf>
    <xf numFmtId="0" fontId="56" fillId="9" borderId="144" xfId="13" applyFont="1" applyFill="1" applyBorder="1" applyAlignment="1">
      <alignment horizontal="center" vertical="center"/>
    </xf>
    <xf numFmtId="41" fontId="57" fillId="6" borderId="143" xfId="14" applyFont="1" applyFill="1" applyBorder="1" applyAlignment="1" applyProtection="1">
      <alignment vertical="center" shrinkToFit="1"/>
    </xf>
    <xf numFmtId="41" fontId="57" fillId="6" borderId="180" xfId="14" applyFont="1" applyFill="1" applyBorder="1" applyAlignment="1" applyProtection="1">
      <alignment vertical="center" shrinkToFit="1"/>
    </xf>
    <xf numFmtId="41" fontId="57" fillId="0" borderId="145" xfId="14" applyFont="1" applyBorder="1" applyProtection="1">
      <alignment vertical="center"/>
    </xf>
    <xf numFmtId="0" fontId="56" fillId="9" borderId="172" xfId="13" applyFont="1" applyFill="1" applyBorder="1" applyAlignment="1">
      <alignment horizontal="center" vertical="center"/>
    </xf>
    <xf numFmtId="0" fontId="57" fillId="6" borderId="171" xfId="13" applyFont="1" applyFill="1" applyBorder="1" applyAlignment="1">
      <alignment vertical="center" shrinkToFit="1"/>
    </xf>
    <xf numFmtId="0" fontId="57" fillId="6" borderId="176" xfId="13" applyFont="1" applyFill="1" applyBorder="1" applyAlignment="1">
      <alignment vertical="center" shrinkToFit="1"/>
    </xf>
    <xf numFmtId="41" fontId="57" fillId="0" borderId="170" xfId="14" applyFont="1" applyBorder="1" applyProtection="1">
      <alignment vertical="center"/>
    </xf>
    <xf numFmtId="0" fontId="56" fillId="7" borderId="108" xfId="13" applyFont="1" applyFill="1" applyBorder="1" applyAlignment="1">
      <alignment horizontal="center" vertical="center"/>
    </xf>
    <xf numFmtId="0" fontId="9" fillId="0" borderId="0" xfId="17" applyFont="1" applyAlignment="1" applyProtection="1">
      <alignment horizontal="right" vertical="center"/>
      <protection locked="0"/>
    </xf>
    <xf numFmtId="0" fontId="9" fillId="0" borderId="0" xfId="17" applyFont="1" applyProtection="1">
      <alignment vertical="center"/>
      <protection locked="0"/>
    </xf>
    <xf numFmtId="0" fontId="4" fillId="0" borderId="0" xfId="17" applyProtection="1">
      <alignment vertical="center"/>
      <protection locked="0"/>
    </xf>
    <xf numFmtId="0" fontId="8" fillId="0" borderId="0" xfId="17" applyFont="1" applyProtection="1">
      <alignment vertical="center"/>
      <protection locked="0"/>
    </xf>
    <xf numFmtId="0" fontId="62" fillId="0" borderId="0" xfId="18" applyProtection="1">
      <alignment vertical="center"/>
      <protection locked="0"/>
    </xf>
    <xf numFmtId="0" fontId="12" fillId="0" borderId="0" xfId="17" applyFont="1" applyProtection="1">
      <alignment vertical="center"/>
      <protection locked="0"/>
    </xf>
    <xf numFmtId="0" fontId="4" fillId="0" borderId="0" xfId="17" applyAlignment="1" applyProtection="1">
      <alignment horizontal="center" vertical="center"/>
      <protection locked="0"/>
    </xf>
    <xf numFmtId="0" fontId="6" fillId="12" borderId="99" xfId="17" applyFont="1" applyFill="1" applyBorder="1" applyAlignment="1" applyProtection="1">
      <alignment horizontal="center" vertical="center"/>
      <protection locked="0"/>
    </xf>
    <xf numFmtId="0" fontId="30" fillId="12" borderId="99" xfId="17" applyFont="1" applyFill="1" applyBorder="1" applyAlignment="1" applyProtection="1">
      <alignment horizontal="center" vertical="center"/>
      <protection locked="0"/>
    </xf>
    <xf numFmtId="49" fontId="30" fillId="12" borderId="99" xfId="17" applyNumberFormat="1" applyFont="1" applyFill="1" applyBorder="1" applyAlignment="1" applyProtection="1">
      <alignment horizontal="center" vertical="center"/>
      <protection locked="0"/>
    </xf>
    <xf numFmtId="41" fontId="4" fillId="12" borderId="190" xfId="19" applyFill="1" applyBorder="1" applyProtection="1">
      <alignment vertical="center"/>
      <protection locked="0"/>
    </xf>
    <xf numFmtId="0" fontId="6" fillId="12" borderId="212" xfId="17" applyFont="1" applyFill="1" applyBorder="1" applyAlignment="1" applyProtection="1">
      <alignment horizontal="center" vertical="center"/>
      <protection locked="0"/>
    </xf>
    <xf numFmtId="41" fontId="4" fillId="12" borderId="99" xfId="19" applyFill="1" applyBorder="1" applyProtection="1">
      <alignment vertical="center"/>
      <protection locked="0"/>
    </xf>
    <xf numFmtId="0" fontId="6" fillId="4" borderId="6" xfId="17" applyFont="1" applyFill="1" applyBorder="1" applyAlignment="1" applyProtection="1">
      <alignment horizontal="center" vertical="center"/>
      <protection locked="0"/>
    </xf>
    <xf numFmtId="0" fontId="6" fillId="4" borderId="14" xfId="17" applyFont="1" applyFill="1" applyBorder="1" applyAlignment="1" applyProtection="1">
      <alignment horizontal="center" vertical="center"/>
      <protection locked="0"/>
    </xf>
    <xf numFmtId="0" fontId="6" fillId="4" borderId="31" xfId="17" applyFont="1" applyFill="1" applyBorder="1" applyAlignment="1" applyProtection="1">
      <alignment horizontal="center" vertical="center"/>
      <protection locked="0"/>
    </xf>
    <xf numFmtId="0" fontId="6" fillId="4" borderId="215" xfId="17" applyFont="1" applyFill="1" applyBorder="1" applyAlignment="1" applyProtection="1">
      <alignment horizontal="center" vertical="center"/>
      <protection locked="0"/>
    </xf>
    <xf numFmtId="0" fontId="6" fillId="4" borderId="88" xfId="17" applyFont="1" applyFill="1" applyBorder="1" applyAlignment="1" applyProtection="1">
      <alignment horizontal="center" vertical="center"/>
      <protection locked="0"/>
    </xf>
    <xf numFmtId="0" fontId="4" fillId="0" borderId="19" xfId="19" applyNumberFormat="1" applyBorder="1" applyAlignment="1" applyProtection="1">
      <alignment horizontal="center" vertical="center"/>
      <protection locked="0"/>
    </xf>
    <xf numFmtId="178" fontId="4" fillId="0" borderId="8" xfId="19" applyNumberFormat="1" applyBorder="1" applyAlignment="1" applyProtection="1">
      <alignment horizontal="center" vertical="center"/>
      <protection locked="0"/>
    </xf>
    <xf numFmtId="41" fontId="4" fillId="0" borderId="20" xfId="20" applyFont="1" applyBorder="1" applyAlignment="1" applyProtection="1">
      <alignment horizontal="center" vertical="center"/>
      <protection locked="0"/>
    </xf>
    <xf numFmtId="41" fontId="4" fillId="0" borderId="218" xfId="19" applyBorder="1" applyAlignment="1" applyProtection="1">
      <alignment horizontal="center" vertical="center"/>
      <protection locked="0"/>
    </xf>
    <xf numFmtId="41" fontId="4" fillId="0" borderId="71" xfId="19" applyBorder="1" applyAlignment="1" applyProtection="1">
      <alignment horizontal="center" vertical="center"/>
      <protection locked="0"/>
    </xf>
    <xf numFmtId="0" fontId="4" fillId="0" borderId="153" xfId="17" applyBorder="1" applyAlignment="1" applyProtection="1">
      <alignment horizontal="center" vertical="center"/>
      <protection locked="0"/>
    </xf>
    <xf numFmtId="178" fontId="4" fillId="0" borderId="5" xfId="19" applyNumberFormat="1" applyBorder="1" applyAlignment="1" applyProtection="1">
      <alignment horizontal="center" vertical="center"/>
      <protection locked="0"/>
    </xf>
    <xf numFmtId="41" fontId="4" fillId="0" borderId="30" xfId="20" applyFont="1" applyBorder="1" applyAlignment="1" applyProtection="1">
      <alignment horizontal="center" vertical="center"/>
      <protection locked="0"/>
    </xf>
    <xf numFmtId="41" fontId="4" fillId="0" borderId="30" xfId="21" applyFont="1" applyBorder="1" applyAlignment="1" applyProtection="1">
      <alignment horizontal="center" vertical="center"/>
      <protection locked="0"/>
    </xf>
    <xf numFmtId="0" fontId="4" fillId="0" borderId="17" xfId="17" applyBorder="1" applyAlignment="1" applyProtection="1">
      <alignment horizontal="center" vertical="center"/>
      <protection locked="0"/>
    </xf>
    <xf numFmtId="0" fontId="4" fillId="6" borderId="110" xfId="0" applyFont="1" applyFill="1" applyBorder="1" applyAlignment="1" applyProtection="1">
      <alignment horizontal="center" vertical="center"/>
      <protection locked="0"/>
    </xf>
    <xf numFmtId="41" fontId="11" fillId="0" borderId="0" xfId="1" applyFont="1" applyFill="1" applyAlignment="1" applyProtection="1">
      <alignment horizontal="center" vertical="center"/>
      <protection locked="0"/>
    </xf>
    <xf numFmtId="0" fontId="6" fillId="8" borderId="108" xfId="0" applyFont="1" applyFill="1" applyBorder="1" applyAlignment="1">
      <alignment horizontal="center" vertical="center" wrapText="1"/>
    </xf>
    <xf numFmtId="0" fontId="6" fillId="8" borderId="108" xfId="25" applyFont="1" applyFill="1" applyBorder="1" applyAlignment="1">
      <alignment horizontal="center" vertical="center"/>
    </xf>
    <xf numFmtId="0" fontId="6" fillId="8" borderId="108" xfId="25" applyFont="1" applyFill="1" applyBorder="1" applyAlignment="1">
      <alignment horizontal="center" vertical="center" wrapText="1"/>
    </xf>
    <xf numFmtId="41" fontId="4" fillId="0" borderId="0" xfId="19">
      <alignment vertical="center"/>
    </xf>
    <xf numFmtId="0" fontId="4" fillId="0" borderId="108" xfId="25" applyBorder="1" applyAlignment="1">
      <alignment horizontal="center" vertical="center"/>
    </xf>
    <xf numFmtId="41" fontId="4" fillId="0" borderId="0" xfId="1" applyFont="1" applyFill="1">
      <alignment vertical="center"/>
    </xf>
    <xf numFmtId="41" fontId="7" fillId="0" borderId="0" xfId="1" applyFont="1" applyFill="1">
      <alignment vertical="center"/>
    </xf>
    <xf numFmtId="0" fontId="4" fillId="3" borderId="29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12" xfId="0" applyFont="1" applyFill="1" applyBorder="1">
      <alignment vertical="center"/>
    </xf>
    <xf numFmtId="0" fontId="4" fillId="3" borderId="30" xfId="0" applyFont="1" applyFill="1" applyBorder="1">
      <alignment vertical="center"/>
    </xf>
    <xf numFmtId="0" fontId="4" fillId="3" borderId="17" xfId="0" applyFont="1" applyFill="1" applyBorder="1">
      <alignment vertical="center"/>
    </xf>
    <xf numFmtId="0" fontId="4" fillId="3" borderId="11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9" fontId="4" fillId="3" borderId="5" xfId="0" applyNumberFormat="1" applyFont="1" applyFill="1" applyBorder="1" applyAlignment="1">
      <alignment horizontal="center" vertical="center"/>
    </xf>
    <xf numFmtId="0" fontId="5" fillId="0" borderId="0" xfId="1" applyNumberFormat="1" applyFont="1" applyAlignment="1">
      <alignment horizontal="left" vertical="center"/>
    </xf>
    <xf numFmtId="0" fontId="12" fillId="0" borderId="103" xfId="0" applyFont="1" applyBorder="1" applyAlignment="1">
      <alignment horizontal="center" vertical="center"/>
    </xf>
    <xf numFmtId="41" fontId="45" fillId="2" borderId="49" xfId="1" applyFont="1" applyFill="1" applyBorder="1" applyAlignment="1">
      <alignment horizontal="center" vertical="center"/>
    </xf>
    <xf numFmtId="0" fontId="0" fillId="0" borderId="245" xfId="0" applyBorder="1">
      <alignment vertical="center"/>
    </xf>
    <xf numFmtId="0" fontId="17" fillId="0" borderId="105" xfId="0" applyFont="1" applyBorder="1">
      <alignment vertical="center"/>
    </xf>
    <xf numFmtId="0" fontId="17" fillId="0" borderId="0" xfId="0" applyFont="1">
      <alignment vertical="center"/>
    </xf>
    <xf numFmtId="0" fontId="5" fillId="0" borderId="0" xfId="1" applyNumberFormat="1" applyFont="1" applyBorder="1">
      <alignment vertical="center"/>
    </xf>
    <xf numFmtId="0" fontId="11" fillId="0" borderId="43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14" fontId="11" fillId="0" borderId="33" xfId="0" applyNumberFormat="1" applyFont="1" applyBorder="1" applyAlignment="1">
      <alignment horizontal="center" vertical="center"/>
    </xf>
    <xf numFmtId="177" fontId="10" fillId="0" borderId="11" xfId="0" applyNumberFormat="1" applyFont="1" applyBorder="1" applyAlignment="1">
      <alignment horizontal="center" vertical="center"/>
    </xf>
    <xf numFmtId="176" fontId="11" fillId="3" borderId="109" xfId="0" applyNumberFormat="1" applyFont="1" applyFill="1" applyBorder="1" applyAlignment="1">
      <alignment horizontal="center" vertical="center"/>
    </xf>
    <xf numFmtId="41" fontId="45" fillId="6" borderId="253" xfId="1" applyFont="1" applyFill="1" applyBorder="1">
      <alignment vertical="center"/>
    </xf>
    <xf numFmtId="41" fontId="45" fillId="6" borderId="254" xfId="1" applyFont="1" applyFill="1" applyBorder="1">
      <alignment vertical="center"/>
    </xf>
    <xf numFmtId="41" fontId="45" fillId="6" borderId="140" xfId="1" applyFont="1" applyFill="1" applyBorder="1">
      <alignment vertical="center"/>
    </xf>
    <xf numFmtId="41" fontId="45" fillId="6" borderId="179" xfId="1" applyFont="1" applyFill="1" applyBorder="1">
      <alignment vertical="center"/>
    </xf>
    <xf numFmtId="176" fontId="5" fillId="0" borderId="0" xfId="0" applyNumberFormat="1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0" fillId="0" borderId="210" xfId="0" applyBorder="1">
      <alignment vertical="center"/>
    </xf>
    <xf numFmtId="0" fontId="8" fillId="0" borderId="0" xfId="0" applyFont="1">
      <alignment vertical="center"/>
    </xf>
    <xf numFmtId="0" fontId="61" fillId="0" borderId="0" xfId="0" applyFont="1">
      <alignment vertical="center"/>
    </xf>
    <xf numFmtId="0" fontId="65" fillId="0" borderId="0" xfId="0" applyFont="1">
      <alignment vertical="center"/>
    </xf>
    <xf numFmtId="0" fontId="52" fillId="0" borderId="0" xfId="0" applyFont="1">
      <alignment vertical="center"/>
    </xf>
    <xf numFmtId="0" fontId="66" fillId="0" borderId="0" xfId="0" applyFont="1">
      <alignment vertical="center"/>
    </xf>
    <xf numFmtId="0" fontId="52" fillId="2" borderId="97" xfId="0" applyFont="1" applyFill="1" applyBorder="1" applyAlignment="1">
      <alignment horizontal="center" vertical="center"/>
    </xf>
    <xf numFmtId="0" fontId="52" fillId="2" borderId="105" xfId="0" applyFont="1" applyFill="1" applyBorder="1" applyAlignment="1">
      <alignment horizontal="center" vertical="center"/>
    </xf>
    <xf numFmtId="0" fontId="52" fillId="2" borderId="203" xfId="0" applyFont="1" applyFill="1" applyBorder="1" applyAlignment="1">
      <alignment horizontal="center" vertical="center"/>
    </xf>
    <xf numFmtId="41" fontId="10" fillId="2" borderId="260" xfId="1" applyFont="1" applyFill="1" applyBorder="1">
      <alignment vertical="center"/>
    </xf>
    <xf numFmtId="0" fontId="52" fillId="2" borderId="204" xfId="0" applyFont="1" applyFill="1" applyBorder="1" applyAlignment="1">
      <alignment horizontal="center" vertical="center"/>
    </xf>
    <xf numFmtId="0" fontId="7" fillId="0" borderId="108" xfId="0" applyFont="1" applyBorder="1" applyAlignment="1">
      <alignment horizontal="center" vertical="center"/>
    </xf>
    <xf numFmtId="0" fontId="21" fillId="0" borderId="265" xfId="0" applyFont="1" applyBorder="1">
      <alignment vertical="center"/>
    </xf>
    <xf numFmtId="0" fontId="21" fillId="0" borderId="266" xfId="0" applyFont="1" applyBorder="1">
      <alignment vertical="center"/>
    </xf>
    <xf numFmtId="0" fontId="22" fillId="0" borderId="0" xfId="0" applyFont="1">
      <alignment vertical="center"/>
    </xf>
    <xf numFmtId="0" fontId="17" fillId="0" borderId="265" xfId="0" applyFont="1" applyBorder="1">
      <alignment vertical="center"/>
    </xf>
    <xf numFmtId="0" fontId="22" fillId="0" borderId="266" xfId="0" applyFont="1" applyBorder="1">
      <alignment vertical="center"/>
    </xf>
    <xf numFmtId="0" fontId="17" fillId="0" borderId="266" xfId="0" applyFont="1" applyBorder="1">
      <alignment vertical="center"/>
    </xf>
    <xf numFmtId="0" fontId="21" fillId="0" borderId="284" xfId="0" applyFont="1" applyBorder="1">
      <alignment vertical="center"/>
    </xf>
    <xf numFmtId="0" fontId="21" fillId="2" borderId="266" xfId="0" applyFont="1" applyFill="1" applyBorder="1" applyAlignment="1">
      <alignment horizontal="center" vertical="center"/>
    </xf>
    <xf numFmtId="0" fontId="4" fillId="20" borderId="126" xfId="0" applyFont="1" applyFill="1" applyBorder="1" applyAlignment="1" applyProtection="1">
      <alignment horizontal="center" vertical="center"/>
      <protection locked="0"/>
    </xf>
    <xf numFmtId="0" fontId="0" fillId="20" borderId="115" xfId="0" applyFill="1" applyBorder="1" applyAlignment="1" applyProtection="1">
      <alignment horizontal="center" vertical="center"/>
      <protection locked="0"/>
    </xf>
    <xf numFmtId="14" fontId="0" fillId="20" borderId="115" xfId="0" applyNumberFormat="1" applyFill="1" applyBorder="1" applyAlignment="1" applyProtection="1">
      <alignment horizontal="center" vertical="center"/>
      <protection locked="0"/>
    </xf>
    <xf numFmtId="0" fontId="0" fillId="20" borderId="106" xfId="0" applyFill="1" applyBorder="1" applyProtection="1">
      <alignment vertical="center"/>
      <protection locked="0"/>
    </xf>
    <xf numFmtId="0" fontId="4" fillId="20" borderId="115" xfId="0" applyFont="1" applyFill="1" applyBorder="1" applyAlignment="1" applyProtection="1">
      <alignment horizontal="center" vertical="center"/>
      <protection locked="0"/>
    </xf>
    <xf numFmtId="0" fontId="4" fillId="6" borderId="106" xfId="0" applyFont="1" applyFill="1" applyBorder="1" applyProtection="1">
      <alignment vertical="center"/>
      <protection locked="0"/>
    </xf>
    <xf numFmtId="0" fontId="4" fillId="6" borderId="106" xfId="0" applyFont="1" applyFill="1" applyBorder="1" applyAlignment="1" applyProtection="1">
      <alignment horizontal="center" vertical="center"/>
      <protection locked="0"/>
    </xf>
    <xf numFmtId="0" fontId="4" fillId="3" borderId="81" xfId="0" applyFont="1" applyFill="1" applyBorder="1">
      <alignment vertical="center"/>
    </xf>
    <xf numFmtId="0" fontId="30" fillId="7" borderId="117" xfId="0" applyFont="1" applyFill="1" applyBorder="1" applyAlignment="1" applyProtection="1">
      <alignment horizontal="center" vertical="center"/>
      <protection locked="0"/>
    </xf>
    <xf numFmtId="0" fontId="7" fillId="6" borderId="154" xfId="0" applyFont="1" applyFill="1" applyBorder="1" applyAlignment="1" applyProtection="1">
      <alignment horizontal="center" vertical="center"/>
      <protection locked="0"/>
    </xf>
    <xf numFmtId="10" fontId="7" fillId="6" borderId="124" xfId="0" applyNumberFormat="1" applyFont="1" applyFill="1" applyBorder="1" applyAlignment="1" applyProtection="1">
      <alignment horizontal="center" vertical="center"/>
      <protection locked="0"/>
    </xf>
    <xf numFmtId="10" fontId="7" fillId="6" borderId="154" xfId="0" applyNumberFormat="1" applyFont="1" applyFill="1" applyBorder="1" applyAlignment="1" applyProtection="1">
      <alignment horizontal="center" vertical="center"/>
      <protection locked="0"/>
    </xf>
    <xf numFmtId="41" fontId="0" fillId="0" borderId="0" xfId="0" applyNumberFormat="1">
      <alignment vertical="center"/>
    </xf>
    <xf numFmtId="41" fontId="0" fillId="0" borderId="0" xfId="1" applyFont="1" applyFill="1">
      <alignment vertical="center"/>
    </xf>
    <xf numFmtId="184" fontId="0" fillId="16" borderId="291" xfId="1" applyNumberFormat="1" applyFont="1" applyFill="1" applyBorder="1" applyAlignment="1">
      <alignment horizontal="center" vertical="center"/>
    </xf>
    <xf numFmtId="184" fontId="0" fillId="16" borderId="151" xfId="1" applyNumberFormat="1" applyFont="1" applyFill="1" applyBorder="1" applyAlignment="1">
      <alignment horizontal="center" vertical="center"/>
    </xf>
    <xf numFmtId="184" fontId="0" fillId="16" borderId="152" xfId="1" applyNumberFormat="1" applyFont="1" applyFill="1" applyBorder="1" applyAlignment="1">
      <alignment horizontal="center" vertical="center"/>
    </xf>
    <xf numFmtId="0" fontId="24" fillId="21" borderId="75" xfId="0" applyFont="1" applyFill="1" applyBorder="1" applyAlignment="1">
      <alignment horizontal="left" vertical="center" indent="1"/>
    </xf>
    <xf numFmtId="0" fontId="25" fillId="21" borderId="75" xfId="0" applyFont="1" applyFill="1" applyBorder="1">
      <alignment vertical="center"/>
    </xf>
    <xf numFmtId="0" fontId="17" fillId="21" borderId="75" xfId="0" applyFont="1" applyFill="1" applyBorder="1">
      <alignment vertical="center"/>
    </xf>
    <xf numFmtId="0" fontId="26" fillId="21" borderId="75" xfId="0" applyFont="1" applyFill="1" applyBorder="1" applyAlignment="1"/>
    <xf numFmtId="0" fontId="27" fillId="21" borderId="75" xfId="0" applyFont="1" applyFill="1" applyBorder="1">
      <alignment vertical="center"/>
    </xf>
    <xf numFmtId="0" fontId="25" fillId="21" borderId="75" xfId="0" applyFont="1" applyFill="1" applyBorder="1" applyAlignment="1"/>
    <xf numFmtId="182" fontId="47" fillId="21" borderId="108" xfId="0" applyNumberFormat="1" applyFont="1" applyFill="1" applyBorder="1" applyAlignment="1">
      <alignment horizontal="left"/>
    </xf>
    <xf numFmtId="0" fontId="4" fillId="20" borderId="106" xfId="0" applyFont="1" applyFill="1" applyBorder="1" applyAlignment="1" applyProtection="1">
      <alignment horizontal="center" vertical="center"/>
      <protection locked="0"/>
    </xf>
    <xf numFmtId="14" fontId="4" fillId="6" borderId="115" xfId="0" applyNumberFormat="1" applyFont="1" applyFill="1" applyBorder="1" applyAlignment="1" applyProtection="1">
      <alignment horizontal="center" vertical="center"/>
      <protection locked="0"/>
    </xf>
    <xf numFmtId="0" fontId="4" fillId="2" borderId="22" xfId="0" applyFont="1" applyFill="1" applyBorder="1" applyAlignment="1">
      <alignment horizontal="center" vertical="center"/>
    </xf>
    <xf numFmtId="0" fontId="4" fillId="2" borderId="259" xfId="0" applyFont="1" applyFill="1" applyBorder="1" applyAlignment="1">
      <alignment horizontal="center" vertical="center"/>
    </xf>
    <xf numFmtId="0" fontId="4" fillId="6" borderId="107" xfId="0" applyFont="1" applyFill="1" applyBorder="1" applyAlignment="1" applyProtection="1">
      <alignment horizontal="center" vertical="center"/>
      <protection locked="0"/>
    </xf>
    <xf numFmtId="0" fontId="4" fillId="0" borderId="124" xfId="0" applyFont="1" applyBorder="1" applyAlignment="1" applyProtection="1">
      <alignment horizontal="center" vertical="center"/>
      <protection locked="0"/>
    </xf>
    <xf numFmtId="0" fontId="4" fillId="3" borderId="14" xfId="0" applyFont="1" applyFill="1" applyBorder="1">
      <alignment vertical="center"/>
    </xf>
    <xf numFmtId="177" fontId="12" fillId="2" borderId="55" xfId="0" applyNumberFormat="1" applyFont="1" applyFill="1" applyBorder="1" applyAlignment="1">
      <alignment horizontal="center" vertical="center"/>
    </xf>
    <xf numFmtId="0" fontId="6" fillId="8" borderId="118" xfId="0" applyFont="1" applyFill="1" applyBorder="1" applyAlignment="1" applyProtection="1">
      <alignment horizontal="center" vertical="center"/>
      <protection locked="0"/>
    </xf>
    <xf numFmtId="41" fontId="11" fillId="3" borderId="189" xfId="7" applyFont="1" applyFill="1" applyBorder="1">
      <alignment vertical="center"/>
    </xf>
    <xf numFmtId="41" fontId="11" fillId="3" borderId="146" xfId="7" applyFont="1" applyFill="1" applyBorder="1">
      <alignment vertical="center"/>
    </xf>
    <xf numFmtId="41" fontId="11" fillId="3" borderId="96" xfId="7" applyFont="1" applyFill="1" applyBorder="1">
      <alignment vertical="center"/>
    </xf>
    <xf numFmtId="41" fontId="11" fillId="3" borderId="229" xfId="7" applyFont="1" applyFill="1" applyBorder="1">
      <alignment vertical="center"/>
    </xf>
    <xf numFmtId="41" fontId="11" fillId="0" borderId="32" xfId="7" applyFont="1" applyBorder="1" applyAlignment="1">
      <alignment horizontal="center" vertical="center"/>
    </xf>
    <xf numFmtId="41" fontId="11" fillId="0" borderId="55" xfId="7" applyFont="1" applyBorder="1">
      <alignment vertical="center"/>
    </xf>
    <xf numFmtId="41" fontId="11" fillId="0" borderId="206" xfId="7" applyFont="1" applyBorder="1">
      <alignment vertical="center"/>
    </xf>
    <xf numFmtId="41" fontId="11" fillId="0" borderId="205" xfId="7" applyFont="1" applyBorder="1">
      <alignment vertical="center"/>
    </xf>
    <xf numFmtId="0" fontId="10" fillId="2" borderId="292" xfId="0" applyFont="1" applyFill="1" applyBorder="1" applyAlignment="1">
      <alignment horizontal="center" vertical="center"/>
    </xf>
    <xf numFmtId="0" fontId="10" fillId="2" borderId="293" xfId="0" applyFont="1" applyFill="1" applyBorder="1" applyAlignment="1">
      <alignment horizontal="center" vertical="center"/>
    </xf>
    <xf numFmtId="0" fontId="10" fillId="2" borderId="294" xfId="0" applyFont="1" applyFill="1" applyBorder="1" applyAlignment="1">
      <alignment horizontal="center" vertical="center"/>
    </xf>
    <xf numFmtId="0" fontId="10" fillId="2" borderId="295" xfId="0" applyFont="1" applyFill="1" applyBorder="1" applyAlignment="1">
      <alignment horizontal="center" vertical="center"/>
    </xf>
    <xf numFmtId="0" fontId="10" fillId="2" borderId="296" xfId="0" applyFont="1" applyFill="1" applyBorder="1" applyAlignment="1">
      <alignment horizontal="center" vertical="center"/>
    </xf>
    <xf numFmtId="0" fontId="10" fillId="0" borderId="206" xfId="0" applyFont="1" applyBorder="1" applyAlignment="1">
      <alignment horizontal="center" vertical="center"/>
    </xf>
    <xf numFmtId="0" fontId="10" fillId="2" borderId="297" xfId="0" applyFont="1" applyFill="1" applyBorder="1" applyAlignment="1">
      <alignment horizontal="center" vertical="center"/>
    </xf>
    <xf numFmtId="41" fontId="11" fillId="3" borderId="106" xfId="7" applyFont="1" applyFill="1" applyBorder="1">
      <alignment vertical="center"/>
    </xf>
    <xf numFmtId="41" fontId="11" fillId="3" borderId="111" xfId="7" applyFont="1" applyFill="1" applyBorder="1">
      <alignment vertical="center"/>
    </xf>
    <xf numFmtId="41" fontId="11" fillId="3" borderId="299" xfId="7" applyFont="1" applyFill="1" applyBorder="1">
      <alignment vertical="center"/>
    </xf>
    <xf numFmtId="41" fontId="11" fillId="3" borderId="300" xfId="7" applyFont="1" applyFill="1" applyBorder="1">
      <alignment vertical="center"/>
    </xf>
    <xf numFmtId="0" fontId="4" fillId="0" borderId="106" xfId="0" applyFont="1" applyBorder="1" applyAlignment="1" applyProtection="1">
      <alignment horizontal="center" vertical="center"/>
      <protection locked="0"/>
    </xf>
    <xf numFmtId="0" fontId="4" fillId="0" borderId="230" xfId="0" applyFont="1" applyBorder="1" applyAlignment="1" applyProtection="1">
      <alignment horizontal="center" vertical="center"/>
      <protection locked="0"/>
    </xf>
    <xf numFmtId="0" fontId="30" fillId="8" borderId="116" xfId="0" applyFont="1" applyFill="1" applyBorder="1" applyAlignment="1" applyProtection="1">
      <alignment horizontal="center" vertical="center"/>
      <protection locked="0"/>
    </xf>
    <xf numFmtId="3" fontId="7" fillId="6" borderId="107" xfId="0" applyNumberFormat="1" applyFont="1" applyFill="1" applyBorder="1" applyAlignment="1" applyProtection="1">
      <alignment horizontal="center" vertical="center"/>
      <protection locked="0"/>
    </xf>
    <xf numFmtId="0" fontId="7" fillId="6" borderId="107" xfId="0" applyFont="1" applyFill="1" applyBorder="1" applyAlignment="1" applyProtection="1">
      <alignment horizontal="center" vertical="center"/>
      <protection locked="0"/>
    </xf>
    <xf numFmtId="41" fontId="59" fillId="8" borderId="116" xfId="1" applyFont="1" applyFill="1" applyBorder="1" applyProtection="1">
      <alignment vertical="center"/>
      <protection locked="0"/>
    </xf>
    <xf numFmtId="3" fontId="4" fillId="6" borderId="107" xfId="0" applyNumberFormat="1" applyFont="1" applyFill="1" applyBorder="1" applyAlignment="1" applyProtection="1">
      <alignment horizontal="center" vertical="center"/>
      <protection locked="0"/>
    </xf>
    <xf numFmtId="0" fontId="4" fillId="6" borderId="194" xfId="0" applyFont="1" applyFill="1" applyBorder="1" applyAlignment="1" applyProtection="1">
      <alignment horizontal="center" vertical="center"/>
      <protection locked="0"/>
    </xf>
    <xf numFmtId="0" fontId="6" fillId="8" borderId="150" xfId="0" applyFont="1" applyFill="1" applyBorder="1" applyAlignment="1" applyProtection="1">
      <alignment horizontal="center" vertical="center" wrapText="1"/>
      <protection locked="0"/>
    </xf>
    <xf numFmtId="41" fontId="51" fillId="6" borderId="301" xfId="1" applyFont="1" applyFill="1" applyBorder="1" applyProtection="1">
      <alignment vertical="center"/>
      <protection locked="0"/>
    </xf>
    <xf numFmtId="41" fontId="51" fillId="6" borderId="151" xfId="1" applyFont="1" applyFill="1" applyBorder="1" applyProtection="1">
      <alignment vertical="center"/>
      <protection locked="0"/>
    </xf>
    <xf numFmtId="41" fontId="51" fillId="8" borderId="302" xfId="1" applyFont="1" applyFill="1" applyBorder="1" applyProtection="1">
      <alignment vertical="center"/>
      <protection locked="0"/>
    </xf>
    <xf numFmtId="41" fontId="11" fillId="3" borderId="95" xfId="1" applyFont="1" applyFill="1" applyBorder="1" applyAlignment="1" applyProtection="1">
      <alignment horizontal="center" vertical="center"/>
      <protection locked="0"/>
    </xf>
    <xf numFmtId="41" fontId="11" fillId="3" borderId="189" xfId="1" applyFont="1" applyFill="1" applyBorder="1" applyAlignment="1" applyProtection="1">
      <alignment horizontal="center" vertical="center"/>
      <protection locked="0"/>
    </xf>
    <xf numFmtId="41" fontId="11" fillId="3" borderId="96" xfId="1" applyFont="1" applyFill="1" applyBorder="1" applyAlignment="1" applyProtection="1">
      <alignment horizontal="center" vertical="center"/>
      <protection locked="0"/>
    </xf>
    <xf numFmtId="41" fontId="11" fillId="3" borderId="29" xfId="19" applyFont="1" applyFill="1" applyBorder="1" applyAlignment="1" applyProtection="1">
      <alignment horizontal="center" vertical="center"/>
      <protection locked="0"/>
    </xf>
    <xf numFmtId="41" fontId="11" fillId="3" borderId="12" xfId="19" applyFont="1" applyFill="1" applyBorder="1" applyAlignment="1" applyProtection="1">
      <alignment horizontal="center" vertical="center"/>
      <protection locked="0"/>
    </xf>
    <xf numFmtId="41" fontId="11" fillId="3" borderId="30" xfId="19" applyFont="1" applyFill="1" applyBorder="1" applyAlignment="1" applyProtection="1">
      <alignment horizontal="center" vertical="center"/>
      <protection locked="0"/>
    </xf>
    <xf numFmtId="14" fontId="4" fillId="20" borderId="115" xfId="0" applyNumberFormat="1" applyFont="1" applyFill="1" applyBorder="1" applyAlignment="1" applyProtection="1">
      <alignment horizontal="center" vertical="center"/>
      <protection locked="0"/>
    </xf>
    <xf numFmtId="0" fontId="4" fillId="2" borderId="303" xfId="0" applyFont="1" applyFill="1" applyBorder="1" applyAlignment="1">
      <alignment horizontal="center" vertical="center"/>
    </xf>
    <xf numFmtId="0" fontId="10" fillId="2" borderId="304" xfId="0" applyFont="1" applyFill="1" applyBorder="1" applyAlignment="1">
      <alignment horizontal="center" vertical="center"/>
    </xf>
    <xf numFmtId="41" fontId="10" fillId="2" borderId="3" xfId="1" applyFont="1" applyFill="1" applyBorder="1">
      <alignment vertical="center"/>
    </xf>
    <xf numFmtId="0" fontId="4" fillId="20" borderId="106" xfId="0" applyFont="1" applyFill="1" applyBorder="1" applyProtection="1">
      <alignment vertical="center"/>
      <protection locked="0"/>
    </xf>
    <xf numFmtId="41" fontId="11" fillId="3" borderId="119" xfId="19" applyFont="1" applyFill="1" applyBorder="1">
      <alignment vertical="center"/>
    </xf>
    <xf numFmtId="41" fontId="11" fillId="3" borderId="238" xfId="19" applyFont="1" applyFill="1" applyBorder="1">
      <alignment vertical="center"/>
    </xf>
    <xf numFmtId="41" fontId="11" fillId="3" borderId="125" xfId="19" applyFont="1" applyFill="1" applyBorder="1">
      <alignment vertical="center"/>
    </xf>
    <xf numFmtId="41" fontId="11" fillId="3" borderId="298" xfId="19" applyFont="1" applyFill="1" applyBorder="1">
      <alignment vertical="center"/>
    </xf>
    <xf numFmtId="41" fontId="11" fillId="3" borderId="189" xfId="19" applyFont="1" applyFill="1" applyBorder="1">
      <alignment vertical="center"/>
    </xf>
    <xf numFmtId="41" fontId="11" fillId="3" borderId="146" xfId="19" applyFont="1" applyFill="1" applyBorder="1">
      <alignment vertical="center"/>
    </xf>
    <xf numFmtId="41" fontId="11" fillId="3" borderId="106" xfId="19" applyFont="1" applyFill="1" applyBorder="1">
      <alignment vertical="center"/>
    </xf>
    <xf numFmtId="41" fontId="11" fillId="3" borderId="299" xfId="19" applyFont="1" applyFill="1" applyBorder="1">
      <alignment vertical="center"/>
    </xf>
    <xf numFmtId="0" fontId="37" fillId="4" borderId="166" xfId="0" applyFont="1" applyFill="1" applyBorder="1" applyAlignment="1">
      <alignment horizontal="center" vertical="center" wrapText="1"/>
    </xf>
    <xf numFmtId="0" fontId="37" fillId="4" borderId="244" xfId="0" applyFont="1" applyFill="1" applyBorder="1" applyAlignment="1">
      <alignment horizontal="center" vertical="center" wrapText="1"/>
    </xf>
    <xf numFmtId="0" fontId="37" fillId="4" borderId="234" xfId="0" applyFont="1" applyFill="1" applyBorder="1" applyAlignment="1">
      <alignment horizontal="center" vertical="center" wrapText="1"/>
    </xf>
    <xf numFmtId="0" fontId="37" fillId="4" borderId="178" xfId="0" applyFont="1" applyFill="1" applyBorder="1" applyAlignment="1">
      <alignment horizontal="center" vertical="center" wrapText="1"/>
    </xf>
    <xf numFmtId="41" fontId="22" fillId="0" borderId="235" xfId="1" applyFont="1" applyBorder="1" applyAlignment="1">
      <alignment horizontal="center" vertical="center"/>
    </xf>
    <xf numFmtId="41" fontId="22" fillId="0" borderId="144" xfId="1" applyFont="1" applyBorder="1" applyAlignment="1">
      <alignment horizontal="center" vertical="center"/>
    </xf>
    <xf numFmtId="41" fontId="22" fillId="0" borderId="236" xfId="1" applyFont="1" applyBorder="1" applyAlignment="1">
      <alignment horizontal="center" vertical="center"/>
    </xf>
    <xf numFmtId="41" fontId="22" fillId="0" borderId="201" xfId="1" applyFont="1" applyBorder="1" applyAlignment="1">
      <alignment horizontal="center" vertical="center"/>
    </xf>
    <xf numFmtId="41" fontId="22" fillId="0" borderId="138" xfId="1" applyFont="1" applyBorder="1" applyAlignment="1">
      <alignment horizontal="center" vertical="center"/>
    </xf>
    <xf numFmtId="41" fontId="22" fillId="0" borderId="202" xfId="1" applyFont="1" applyBorder="1" applyAlignment="1">
      <alignment horizontal="center" vertical="center"/>
    </xf>
    <xf numFmtId="0" fontId="37" fillId="4" borderId="134" xfId="0" applyFont="1" applyFill="1" applyBorder="1" applyAlignment="1">
      <alignment horizontal="center" vertical="center" shrinkToFit="1"/>
    </xf>
    <xf numFmtId="0" fontId="37" fillId="4" borderId="167" xfId="0" applyFont="1" applyFill="1" applyBorder="1" applyAlignment="1">
      <alignment horizontal="center" vertical="center" shrinkToFit="1"/>
    </xf>
    <xf numFmtId="186" fontId="36" fillId="4" borderId="145" xfId="3" applyNumberFormat="1" applyFont="1" applyFill="1" applyBorder="1" applyAlignment="1">
      <alignment horizontal="center" vertical="center"/>
    </xf>
    <xf numFmtId="186" fontId="36" fillId="4" borderId="139" xfId="3" applyNumberFormat="1" applyFont="1" applyFill="1" applyBorder="1" applyAlignment="1">
      <alignment horizontal="center" vertical="center"/>
    </xf>
    <xf numFmtId="41" fontId="21" fillId="4" borderId="235" xfId="1" applyFont="1" applyFill="1" applyBorder="1" applyAlignment="1">
      <alignment horizontal="center" vertical="center"/>
    </xf>
    <xf numFmtId="41" fontId="21" fillId="4" borderId="144" xfId="1" applyFont="1" applyFill="1" applyBorder="1" applyAlignment="1">
      <alignment horizontal="center" vertical="center"/>
    </xf>
    <xf numFmtId="41" fontId="21" fillId="4" borderId="236" xfId="1" applyFont="1" applyFill="1" applyBorder="1" applyAlignment="1">
      <alignment horizontal="center" vertical="center"/>
    </xf>
    <xf numFmtId="41" fontId="21" fillId="4" borderId="201" xfId="1" applyFont="1" applyFill="1" applyBorder="1" applyAlignment="1">
      <alignment horizontal="center" vertical="center"/>
    </xf>
    <xf numFmtId="41" fontId="21" fillId="4" borderId="138" xfId="1" applyFont="1" applyFill="1" applyBorder="1" applyAlignment="1">
      <alignment horizontal="center" vertical="center"/>
    </xf>
    <xf numFmtId="41" fontId="21" fillId="4" borderId="202" xfId="1" applyFont="1" applyFill="1" applyBorder="1" applyAlignment="1">
      <alignment horizontal="center" vertical="center"/>
    </xf>
    <xf numFmtId="186" fontId="36" fillId="7" borderId="166" xfId="3" applyNumberFormat="1" applyFont="1" applyFill="1" applyBorder="1" applyAlignment="1">
      <alignment horizontal="center" vertical="center"/>
    </xf>
    <xf numFmtId="186" fontId="36" fillId="7" borderId="167" xfId="3" applyNumberFormat="1" applyFont="1" applyFill="1" applyBorder="1" applyAlignment="1">
      <alignment horizontal="center" vertical="center"/>
    </xf>
    <xf numFmtId="0" fontId="35" fillId="2" borderId="288" xfId="0" applyFont="1" applyFill="1" applyBorder="1" applyAlignment="1">
      <alignment horizontal="center" vertical="center" wrapText="1"/>
    </xf>
    <xf numFmtId="0" fontId="35" fillId="2" borderId="270" xfId="0" applyFont="1" applyFill="1" applyBorder="1" applyAlignment="1">
      <alignment horizontal="center" vertical="center" wrapText="1"/>
    </xf>
    <xf numFmtId="0" fontId="35" fillId="2" borderId="273" xfId="0" applyFont="1" applyFill="1" applyBorder="1" applyAlignment="1">
      <alignment horizontal="center" vertical="center" wrapText="1"/>
    </xf>
    <xf numFmtId="0" fontId="37" fillId="4" borderId="166" xfId="0" applyFont="1" applyFill="1" applyBorder="1" applyAlignment="1">
      <alignment horizontal="center" vertical="center"/>
    </xf>
    <xf numFmtId="0" fontId="37" fillId="4" borderId="192" xfId="0" applyFont="1" applyFill="1" applyBorder="1" applyAlignment="1">
      <alignment horizontal="center" vertical="center"/>
    </xf>
    <xf numFmtId="0" fontId="37" fillId="4" borderId="125" xfId="0" applyFont="1" applyFill="1" applyBorder="1" applyAlignment="1">
      <alignment horizontal="center" vertical="center"/>
    </xf>
    <xf numFmtId="0" fontId="37" fillId="4" borderId="227" xfId="0" applyFont="1" applyFill="1" applyBorder="1" applyAlignment="1">
      <alignment horizontal="center" vertical="center"/>
    </xf>
    <xf numFmtId="41" fontId="22" fillId="0" borderId="205" xfId="1" applyFont="1" applyBorder="1" applyAlignment="1">
      <alignment horizontal="center" vertical="center"/>
    </xf>
    <xf numFmtId="41" fontId="22" fillId="0" borderId="206" xfId="1" applyFont="1" applyBorder="1" applyAlignment="1">
      <alignment horizontal="center" vertical="center"/>
    </xf>
    <xf numFmtId="41" fontId="22" fillId="0" borderId="148" xfId="1" applyFont="1" applyBorder="1" applyAlignment="1">
      <alignment horizontal="center" vertical="center"/>
    </xf>
    <xf numFmtId="186" fontId="36" fillId="4" borderId="238" xfId="3" applyNumberFormat="1" applyFont="1" applyFill="1" applyBorder="1" applyAlignment="1">
      <alignment horizontal="center" vertical="center"/>
    </xf>
    <xf numFmtId="41" fontId="21" fillId="4" borderId="205" xfId="1" applyFont="1" applyFill="1" applyBorder="1" applyAlignment="1">
      <alignment horizontal="center" vertical="center"/>
    </xf>
    <xf numFmtId="41" fontId="21" fillId="4" borderId="206" xfId="1" applyFont="1" applyFill="1" applyBorder="1" applyAlignment="1">
      <alignment horizontal="center" vertical="center"/>
    </xf>
    <xf numFmtId="41" fontId="21" fillId="4" borderId="148" xfId="1" applyFont="1" applyFill="1" applyBorder="1" applyAlignment="1">
      <alignment horizontal="center" vertical="center"/>
    </xf>
    <xf numFmtId="186" fontId="36" fillId="7" borderId="125" xfId="3" applyNumberFormat="1" applyFont="1" applyFill="1" applyBorder="1" applyAlignment="1">
      <alignment horizontal="center" vertical="center"/>
    </xf>
    <xf numFmtId="0" fontId="35" fillId="2" borderId="288" xfId="0" applyFont="1" applyFill="1" applyBorder="1" applyAlignment="1">
      <alignment horizontal="center" vertical="center"/>
    </xf>
    <xf numFmtId="0" fontId="35" fillId="2" borderId="270" xfId="0" applyFont="1" applyFill="1" applyBorder="1" applyAlignment="1">
      <alignment horizontal="center" vertical="center"/>
    </xf>
    <xf numFmtId="0" fontId="35" fillId="2" borderId="287" xfId="0" applyFont="1" applyFill="1" applyBorder="1" applyAlignment="1">
      <alignment horizontal="center" vertical="center"/>
    </xf>
    <xf numFmtId="0" fontId="37" fillId="4" borderId="230" xfId="0" applyFont="1" applyFill="1" applyBorder="1" applyAlignment="1">
      <alignment horizontal="center" vertical="center"/>
    </xf>
    <xf numFmtId="0" fontId="37" fillId="4" borderId="231" xfId="0" applyFont="1" applyFill="1" applyBorder="1" applyAlignment="1">
      <alignment horizontal="center" vertical="center"/>
    </xf>
    <xf numFmtId="0" fontId="37" fillId="4" borderId="167" xfId="0" applyFont="1" applyFill="1" applyBorder="1" applyAlignment="1">
      <alignment horizontal="center" vertical="center"/>
    </xf>
    <xf numFmtId="0" fontId="37" fillId="4" borderId="193" xfId="0" applyFont="1" applyFill="1" applyBorder="1" applyAlignment="1">
      <alignment horizontal="center" vertical="center"/>
    </xf>
    <xf numFmtId="41" fontId="22" fillId="0" borderId="232" xfId="1" applyFont="1" applyBorder="1" applyAlignment="1">
      <alignment horizontal="center" vertical="center"/>
    </xf>
    <xf numFmtId="41" fontId="22" fillId="0" borderId="233" xfId="1" applyFont="1" applyBorder="1" applyAlignment="1">
      <alignment horizontal="center" vertical="center"/>
    </xf>
    <xf numFmtId="41" fontId="22" fillId="0" borderId="194" xfId="1" applyFont="1" applyBorder="1" applyAlignment="1">
      <alignment horizontal="center" vertical="center"/>
    </xf>
    <xf numFmtId="186" fontId="36" fillId="4" borderId="237" xfId="3" applyNumberFormat="1" applyFont="1" applyFill="1" applyBorder="1" applyAlignment="1">
      <alignment horizontal="center" vertical="center"/>
    </xf>
    <xf numFmtId="41" fontId="21" fillId="4" borderId="232" xfId="1" applyFont="1" applyFill="1" applyBorder="1" applyAlignment="1">
      <alignment horizontal="center" vertical="center"/>
    </xf>
    <xf numFmtId="41" fontId="21" fillId="4" borderId="233" xfId="1" applyFont="1" applyFill="1" applyBorder="1" applyAlignment="1">
      <alignment horizontal="center" vertical="center"/>
    </xf>
    <xf numFmtId="41" fontId="21" fillId="4" borderId="194" xfId="1" applyFont="1" applyFill="1" applyBorder="1" applyAlignment="1">
      <alignment horizontal="center" vertical="center"/>
    </xf>
    <xf numFmtId="186" fontId="36" fillId="7" borderId="230" xfId="3" applyNumberFormat="1" applyFont="1" applyFill="1" applyBorder="1" applyAlignment="1">
      <alignment horizontal="center" vertical="center"/>
    </xf>
    <xf numFmtId="183" fontId="41" fillId="21" borderId="75" xfId="0" applyNumberFormat="1" applyFont="1" applyFill="1" applyBorder="1" applyAlignment="1">
      <alignment horizontal="center"/>
    </xf>
    <xf numFmtId="0" fontId="28" fillId="21" borderId="105" xfId="0" applyFont="1" applyFill="1" applyBorder="1" applyAlignment="1">
      <alignment horizontal="center"/>
    </xf>
    <xf numFmtId="0" fontId="21" fillId="2" borderId="261" xfId="0" applyFont="1" applyFill="1" applyBorder="1" applyAlignment="1">
      <alignment horizontal="center" vertical="center"/>
    </xf>
    <xf numFmtId="0" fontId="21" fillId="2" borderId="164" xfId="0" applyFont="1" applyFill="1" applyBorder="1" applyAlignment="1">
      <alignment horizontal="center" vertical="center"/>
    </xf>
    <xf numFmtId="41" fontId="42" fillId="0" borderId="131" xfId="0" applyNumberFormat="1" applyFont="1" applyBorder="1" applyAlignment="1">
      <alignment horizontal="center" vertical="center"/>
    </xf>
    <xf numFmtId="41" fontId="42" fillId="0" borderId="164" xfId="0" applyNumberFormat="1" applyFont="1" applyBorder="1" applyAlignment="1">
      <alignment horizontal="center" vertical="center"/>
    </xf>
    <xf numFmtId="0" fontId="21" fillId="2" borderId="102" xfId="0" applyFont="1" applyFill="1" applyBorder="1" applyAlignment="1">
      <alignment horizontal="center" vertical="center"/>
    </xf>
    <xf numFmtId="0" fontId="21" fillId="2" borderId="129" xfId="0" applyFont="1" applyFill="1" applyBorder="1" applyAlignment="1">
      <alignment horizontal="center" vertical="center"/>
    </xf>
    <xf numFmtId="9" fontId="42" fillId="0" borderId="239" xfId="3" applyFont="1" applyBorder="1" applyAlignment="1">
      <alignment horizontal="center" vertical="center"/>
    </xf>
    <xf numFmtId="9" fontId="42" fillId="0" borderId="262" xfId="3" applyFont="1" applyBorder="1" applyAlignment="1">
      <alignment horizontal="center" vertical="center"/>
    </xf>
    <xf numFmtId="9" fontId="42" fillId="0" borderId="130" xfId="3" applyFont="1" applyBorder="1" applyAlignment="1">
      <alignment horizontal="center" vertical="center"/>
    </xf>
    <xf numFmtId="9" fontId="42" fillId="0" borderId="264" xfId="3" applyFont="1" applyBorder="1" applyAlignment="1">
      <alignment horizontal="center" vertical="center"/>
    </xf>
    <xf numFmtId="0" fontId="21" fillId="2" borderId="263" xfId="0" applyFont="1" applyFill="1" applyBorder="1" applyAlignment="1">
      <alignment horizontal="center" vertical="center"/>
    </xf>
    <xf numFmtId="0" fontId="21" fillId="2" borderId="196" xfId="0" applyFont="1" applyFill="1" applyBorder="1" applyAlignment="1">
      <alignment horizontal="center" vertical="center"/>
    </xf>
    <xf numFmtId="41" fontId="21" fillId="0" borderId="197" xfId="0" applyNumberFormat="1" applyFont="1" applyBorder="1" applyAlignment="1">
      <alignment horizontal="center" vertical="center"/>
    </xf>
    <xf numFmtId="41" fontId="21" fillId="0" borderId="196" xfId="0" applyNumberFormat="1" applyFont="1" applyBorder="1" applyAlignment="1">
      <alignment horizontal="center" vertical="center"/>
    </xf>
    <xf numFmtId="177" fontId="69" fillId="21" borderId="105" xfId="0" applyNumberFormat="1" applyFont="1" applyFill="1" applyBorder="1" applyAlignment="1">
      <alignment horizontal="center"/>
    </xf>
    <xf numFmtId="0" fontId="25" fillId="21" borderId="105" xfId="0" applyFont="1" applyFill="1" applyBorder="1" applyAlignment="1">
      <alignment horizontal="center"/>
    </xf>
    <xf numFmtId="0" fontId="19" fillId="7" borderId="267" xfId="0" applyFont="1" applyFill="1" applyBorder="1" applyAlignment="1">
      <alignment horizontal="center" vertical="center"/>
    </xf>
    <xf numFmtId="0" fontId="19" fillId="7" borderId="165" xfId="0" applyFont="1" applyFill="1" applyBorder="1" applyAlignment="1">
      <alignment horizontal="center" vertical="center"/>
    </xf>
    <xf numFmtId="0" fontId="19" fillId="7" borderId="226" xfId="0" applyFont="1" applyFill="1" applyBorder="1" applyAlignment="1">
      <alignment horizontal="center" vertical="center"/>
    </xf>
    <xf numFmtId="0" fontId="19" fillId="7" borderId="268" xfId="0" applyFont="1" applyFill="1" applyBorder="1" applyAlignment="1">
      <alignment horizontal="center" vertical="center"/>
    </xf>
    <xf numFmtId="0" fontId="19" fillId="7" borderId="108" xfId="0" applyFont="1" applyFill="1" applyBorder="1" applyAlignment="1">
      <alignment horizontal="center" vertical="center"/>
    </xf>
    <xf numFmtId="0" fontId="19" fillId="7" borderId="209" xfId="0" applyFont="1" applyFill="1" applyBorder="1" applyAlignment="1">
      <alignment horizontal="center" vertical="center"/>
    </xf>
    <xf numFmtId="0" fontId="21" fillId="7" borderId="131" xfId="0" applyFont="1" applyFill="1" applyBorder="1" applyAlignment="1">
      <alignment horizontal="center" vertical="center"/>
    </xf>
    <xf numFmtId="0" fontId="21" fillId="7" borderId="175" xfId="0" applyFont="1" applyFill="1" applyBorder="1" applyAlignment="1">
      <alignment horizontal="center" vertical="center"/>
    </xf>
    <xf numFmtId="0" fontId="21" fillId="7" borderId="243" xfId="0" applyFont="1" applyFill="1" applyBorder="1" applyAlignment="1">
      <alignment horizontal="center" vertical="center"/>
    </xf>
    <xf numFmtId="9" fontId="31" fillId="7" borderId="132" xfId="3" applyFont="1" applyFill="1" applyBorder="1" applyAlignment="1">
      <alignment horizontal="center" vertical="center"/>
    </xf>
    <xf numFmtId="9" fontId="31" fillId="7" borderId="133" xfId="3" applyFont="1" applyFill="1" applyBorder="1" applyAlignment="1">
      <alignment horizontal="center" vertical="center"/>
    </xf>
    <xf numFmtId="41" fontId="42" fillId="7" borderId="197" xfId="0" applyNumberFormat="1" applyFont="1" applyFill="1" applyBorder="1" applyAlignment="1">
      <alignment horizontal="center" vertical="center"/>
    </xf>
    <xf numFmtId="41" fontId="42" fillId="7" borderId="198" xfId="0" applyNumberFormat="1" applyFont="1" applyFill="1" applyBorder="1" applyAlignment="1">
      <alignment horizontal="center" vertical="center"/>
    </xf>
    <xf numFmtId="41" fontId="42" fillId="7" borderId="199" xfId="0" applyNumberFormat="1" applyFont="1" applyFill="1" applyBorder="1" applyAlignment="1">
      <alignment horizontal="center" vertical="center"/>
    </xf>
    <xf numFmtId="0" fontId="19" fillId="2" borderId="267" xfId="0" applyFont="1" applyFill="1" applyBorder="1" applyAlignment="1">
      <alignment horizontal="center" vertical="center"/>
    </xf>
    <xf numFmtId="0" fontId="19" fillId="2" borderId="165" xfId="0" applyFont="1" applyFill="1" applyBorder="1" applyAlignment="1">
      <alignment horizontal="center" vertical="center"/>
    </xf>
    <xf numFmtId="0" fontId="19" fillId="2" borderId="226" xfId="0" applyFont="1" applyFill="1" applyBorder="1" applyAlignment="1">
      <alignment horizontal="center" vertical="center"/>
    </xf>
    <xf numFmtId="0" fontId="19" fillId="2" borderId="268" xfId="0" applyFont="1" applyFill="1" applyBorder="1" applyAlignment="1">
      <alignment horizontal="center" vertical="center"/>
    </xf>
    <xf numFmtId="0" fontId="19" fillId="2" borderId="108" xfId="0" applyFont="1" applyFill="1" applyBorder="1" applyAlignment="1">
      <alignment horizontal="center" vertical="center"/>
    </xf>
    <xf numFmtId="0" fontId="19" fillId="2" borderId="209" xfId="0" applyFont="1" applyFill="1" applyBorder="1" applyAlignment="1">
      <alignment horizontal="center" vertical="center"/>
    </xf>
    <xf numFmtId="0" fontId="21" fillId="2" borderId="239" xfId="0" applyFont="1" applyFill="1" applyBorder="1" applyAlignment="1">
      <alignment horizontal="center" vertical="center"/>
    </xf>
    <xf numFmtId="0" fontId="21" fillId="2" borderId="226" xfId="0" applyFont="1" applyFill="1" applyBorder="1" applyAlignment="1">
      <alignment horizontal="center" vertical="center"/>
    </xf>
    <xf numFmtId="0" fontId="37" fillId="4" borderId="145" xfId="0" applyFont="1" applyFill="1" applyBorder="1" applyAlignment="1">
      <alignment horizontal="center" vertical="center"/>
    </xf>
    <xf numFmtId="0" fontId="37" fillId="4" borderId="139" xfId="0" applyFont="1" applyFill="1" applyBorder="1" applyAlignment="1">
      <alignment horizontal="center" vertical="center"/>
    </xf>
    <xf numFmtId="0" fontId="21" fillId="2" borderId="262" xfId="0" applyFont="1" applyFill="1" applyBorder="1" applyAlignment="1">
      <alignment horizontal="center" vertical="center"/>
    </xf>
    <xf numFmtId="41" fontId="39" fillId="2" borderId="130" xfId="0" applyNumberFormat="1" applyFont="1" applyFill="1" applyBorder="1" applyAlignment="1">
      <alignment horizontal="center" vertical="center"/>
    </xf>
    <xf numFmtId="41" fontId="39" fillId="2" borderId="209" xfId="0" applyNumberFormat="1" applyFont="1" applyFill="1" applyBorder="1" applyAlignment="1">
      <alignment horizontal="center" vertical="center"/>
    </xf>
    <xf numFmtId="41" fontId="40" fillId="2" borderId="130" xfId="0" applyNumberFormat="1" applyFont="1" applyFill="1" applyBorder="1" applyAlignment="1">
      <alignment horizontal="center" vertical="center"/>
    </xf>
    <xf numFmtId="41" fontId="40" fillId="2" borderId="264" xfId="0" applyNumberFormat="1" applyFont="1" applyFill="1" applyBorder="1" applyAlignment="1">
      <alignment horizontal="center" vertical="center"/>
    </xf>
    <xf numFmtId="0" fontId="37" fillId="4" borderId="134" xfId="0" applyFont="1" applyFill="1" applyBorder="1" applyAlignment="1">
      <alignment horizontal="center" vertical="center"/>
    </xf>
    <xf numFmtId="0" fontId="37" fillId="4" borderId="226" xfId="0" applyFont="1" applyFill="1" applyBorder="1" applyAlignment="1">
      <alignment horizontal="center" vertical="center"/>
    </xf>
    <xf numFmtId="0" fontId="22" fillId="4" borderId="166" xfId="0" applyFont="1" applyFill="1" applyBorder="1" applyAlignment="1">
      <alignment horizontal="center" vertical="center"/>
    </xf>
    <xf numFmtId="0" fontId="17" fillId="4" borderId="192" xfId="0" applyFont="1" applyFill="1" applyBorder="1" applyAlignment="1">
      <alignment horizontal="center" vertical="center"/>
    </xf>
    <xf numFmtId="0" fontId="17" fillId="4" borderId="167" xfId="0" applyFont="1" applyFill="1" applyBorder="1" applyAlignment="1">
      <alignment horizontal="center" vertical="center"/>
    </xf>
    <xf numFmtId="0" fontId="17" fillId="4" borderId="193" xfId="0" applyFont="1" applyFill="1" applyBorder="1" applyAlignment="1">
      <alignment horizontal="center" vertical="center"/>
    </xf>
    <xf numFmtId="41" fontId="22" fillId="0" borderId="239" xfId="1" applyFont="1" applyBorder="1" applyAlignment="1">
      <alignment horizontal="center" vertical="center"/>
    </xf>
    <xf numFmtId="41" fontId="22" fillId="0" borderId="226" xfId="1" applyFont="1" applyBorder="1" applyAlignment="1">
      <alignment horizontal="center" vertical="center"/>
    </xf>
    <xf numFmtId="41" fontId="22" fillId="0" borderId="193" xfId="1" applyFont="1" applyBorder="1" applyAlignment="1">
      <alignment horizontal="center" vertical="center"/>
    </xf>
    <xf numFmtId="0" fontId="35" fillId="2" borderId="269" xfId="0" applyFont="1" applyFill="1" applyBorder="1" applyAlignment="1">
      <alignment horizontal="center" vertical="center"/>
    </xf>
    <xf numFmtId="0" fontId="35" fillId="2" borderId="273" xfId="0" applyFont="1" applyFill="1" applyBorder="1" applyAlignment="1">
      <alignment horizontal="center" vertical="center"/>
    </xf>
    <xf numFmtId="41" fontId="22" fillId="0" borderId="192" xfId="1" applyFont="1" applyBorder="1" applyAlignment="1">
      <alignment horizontal="center" vertical="center"/>
    </xf>
    <xf numFmtId="41" fontId="21" fillId="4" borderId="272" xfId="1" applyFont="1" applyFill="1" applyBorder="1" applyAlignment="1">
      <alignment horizontal="center" vertical="center"/>
    </xf>
    <xf numFmtId="41" fontId="21" fillId="4" borderId="271" xfId="1" applyFont="1" applyFill="1" applyBorder="1" applyAlignment="1">
      <alignment horizontal="center" vertical="center"/>
    </xf>
    <xf numFmtId="0" fontId="37" fillId="4" borderId="135" xfId="0" applyFont="1" applyFill="1" applyBorder="1" applyAlignment="1">
      <alignment horizontal="center" vertical="center"/>
    </xf>
    <xf numFmtId="0" fontId="37" fillId="4" borderId="209" xfId="0" applyFont="1" applyFill="1" applyBorder="1" applyAlignment="1">
      <alignment horizontal="center" vertical="center"/>
    </xf>
    <xf numFmtId="41" fontId="22" fillId="0" borderId="130" xfId="1" applyFont="1" applyBorder="1" applyAlignment="1">
      <alignment horizontal="center" vertical="center"/>
    </xf>
    <xf numFmtId="41" fontId="22" fillId="0" borderId="209" xfId="1" applyFont="1" applyBorder="1" applyAlignment="1">
      <alignment horizontal="center" vertical="center"/>
    </xf>
    <xf numFmtId="41" fontId="21" fillId="4" borderId="239" xfId="1" applyFont="1" applyFill="1" applyBorder="1" applyAlignment="1">
      <alignment horizontal="center" vertical="center"/>
    </xf>
    <xf numFmtId="41" fontId="21" fillId="4" borderId="262" xfId="1" applyFont="1" applyFill="1" applyBorder="1" applyAlignment="1">
      <alignment horizontal="center" vertical="center"/>
    </xf>
    <xf numFmtId="41" fontId="21" fillId="4" borderId="130" xfId="1" applyFont="1" applyFill="1" applyBorder="1" applyAlignment="1">
      <alignment horizontal="center" vertical="center"/>
    </xf>
    <xf numFmtId="41" fontId="21" fillId="4" borderId="264" xfId="1" applyFont="1" applyFill="1" applyBorder="1" applyAlignment="1">
      <alignment horizontal="center" vertical="center"/>
    </xf>
    <xf numFmtId="0" fontId="35" fillId="2" borderId="269" xfId="0" applyFont="1" applyFill="1" applyBorder="1" applyAlignment="1">
      <alignment horizontal="center" vertical="center" wrapText="1"/>
    </xf>
    <xf numFmtId="0" fontId="35" fillId="2" borderId="278" xfId="0" applyFont="1" applyFill="1" applyBorder="1" applyAlignment="1">
      <alignment horizontal="center" vertical="center"/>
    </xf>
    <xf numFmtId="0" fontId="35" fillId="2" borderId="279" xfId="0" applyFont="1" applyFill="1" applyBorder="1" applyAlignment="1">
      <alignment horizontal="center" vertical="center"/>
    </xf>
    <xf numFmtId="41" fontId="22" fillId="0" borderId="244" xfId="1" applyFont="1" applyBorder="1" applyAlignment="1">
      <alignment horizontal="center" vertical="center"/>
    </xf>
    <xf numFmtId="41" fontId="22" fillId="0" borderId="174" xfId="1" applyFont="1" applyBorder="1" applyAlignment="1">
      <alignment horizontal="center" vertical="center"/>
    </xf>
    <xf numFmtId="41" fontId="22" fillId="0" borderId="125" xfId="1" applyFont="1" applyBorder="1" applyAlignment="1">
      <alignment horizontal="center" vertical="center"/>
    </xf>
    <xf numFmtId="0" fontId="37" fillId="9" borderId="182" xfId="0" applyFont="1" applyFill="1" applyBorder="1" applyAlignment="1">
      <alignment horizontal="center" vertical="center"/>
    </xf>
    <xf numFmtId="0" fontId="37" fillId="9" borderId="179" xfId="0" applyFont="1" applyFill="1" applyBorder="1" applyAlignment="1">
      <alignment horizontal="center" vertical="center"/>
    </xf>
    <xf numFmtId="0" fontId="35" fillId="2" borderId="289" xfId="0" applyFont="1" applyFill="1" applyBorder="1" applyAlignment="1">
      <alignment horizontal="center" vertical="center" wrapText="1"/>
    </xf>
    <xf numFmtId="0" fontId="35" fillId="2" borderId="265" xfId="0" applyFont="1" applyFill="1" applyBorder="1" applyAlignment="1">
      <alignment horizontal="center" vertical="center" wrapText="1"/>
    </xf>
    <xf numFmtId="0" fontId="35" fillId="2" borderId="289" xfId="0" applyFont="1" applyFill="1" applyBorder="1" applyAlignment="1">
      <alignment horizontal="center" vertical="center"/>
    </xf>
    <xf numFmtId="0" fontId="35" fillId="2" borderId="265" xfId="0" applyFont="1" applyFill="1" applyBorder="1" applyAlignment="1">
      <alignment horizontal="center" vertical="center"/>
    </xf>
    <xf numFmtId="0" fontId="35" fillId="2" borderId="290" xfId="0" applyFont="1" applyFill="1" applyBorder="1" applyAlignment="1">
      <alignment horizontal="center" vertical="center"/>
    </xf>
    <xf numFmtId="0" fontId="64" fillId="4" borderId="166" xfId="0" applyFont="1" applyFill="1" applyBorder="1" applyAlignment="1">
      <alignment horizontal="center" vertical="center"/>
    </xf>
    <xf numFmtId="0" fontId="64" fillId="4" borderId="192" xfId="0" applyFont="1" applyFill="1" applyBorder="1" applyAlignment="1">
      <alignment horizontal="center" vertical="center"/>
    </xf>
    <xf numFmtId="0" fontId="64" fillId="4" borderId="167" xfId="0" applyFont="1" applyFill="1" applyBorder="1" applyAlignment="1">
      <alignment horizontal="center" vertical="center"/>
    </xf>
    <xf numFmtId="0" fontId="64" fillId="4" borderId="193" xfId="0" applyFont="1" applyFill="1" applyBorder="1" applyAlignment="1">
      <alignment horizontal="center" vertical="center"/>
    </xf>
    <xf numFmtId="0" fontId="37" fillId="4" borderId="244" xfId="0" applyFont="1" applyFill="1" applyBorder="1" applyAlignment="1">
      <alignment horizontal="center" vertical="center"/>
    </xf>
    <xf numFmtId="0" fontId="37" fillId="4" borderId="242" xfId="0" applyFont="1" applyFill="1" applyBorder="1" applyAlignment="1">
      <alignment horizontal="center" vertical="center"/>
    </xf>
    <xf numFmtId="41" fontId="22" fillId="0" borderId="241" xfId="1" applyFont="1" applyBorder="1" applyAlignment="1">
      <alignment horizontal="center" vertical="center"/>
    </xf>
    <xf numFmtId="41" fontId="22" fillId="0" borderId="0" xfId="1" applyFont="1" applyBorder="1" applyAlignment="1">
      <alignment horizontal="center" vertical="center"/>
    </xf>
    <xf numFmtId="186" fontId="36" fillId="4" borderId="246" xfId="3" applyNumberFormat="1" applyFont="1" applyFill="1" applyBorder="1" applyAlignment="1">
      <alignment horizontal="center" vertical="center"/>
    </xf>
    <xf numFmtId="0" fontId="21" fillId="2" borderId="165" xfId="0" applyFont="1" applyFill="1" applyBorder="1" applyAlignment="1">
      <alignment horizontal="center" vertical="center"/>
    </xf>
    <xf numFmtId="0" fontId="35" fillId="2" borderId="282" xfId="0" applyFont="1" applyFill="1" applyBorder="1" applyAlignment="1">
      <alignment horizontal="center" vertical="center"/>
    </xf>
    <xf numFmtId="0" fontId="35" fillId="2" borderId="280" xfId="0" applyFont="1" applyFill="1" applyBorder="1" applyAlignment="1">
      <alignment horizontal="center" vertical="center"/>
    </xf>
    <xf numFmtId="0" fontId="17" fillId="0" borderId="232" xfId="0" applyFont="1" applyBorder="1" applyAlignment="1">
      <alignment horizontal="left" vertical="center" wrapText="1"/>
    </xf>
    <xf numFmtId="0" fontId="17" fillId="0" borderId="231" xfId="0" applyFont="1" applyBorder="1" applyAlignment="1">
      <alignment horizontal="left" vertical="center" wrapText="1"/>
    </xf>
    <xf numFmtId="0" fontId="17" fillId="0" borderId="241" xfId="0" applyFont="1" applyBorder="1" applyAlignment="1">
      <alignment horizontal="left" vertical="center" wrapText="1"/>
    </xf>
    <xf numFmtId="0" fontId="17" fillId="0" borderId="242" xfId="0" applyFont="1" applyBorder="1" applyAlignment="1">
      <alignment horizontal="left" vertical="center" wrapText="1"/>
    </xf>
    <xf numFmtId="0" fontId="17" fillId="0" borderId="130" xfId="0" applyFont="1" applyBorder="1" applyAlignment="1">
      <alignment horizontal="left" vertical="center" wrapText="1"/>
    </xf>
    <xf numFmtId="0" fontId="17" fillId="0" borderId="209" xfId="0" applyFont="1" applyBorder="1" applyAlignment="1">
      <alignment horizontal="left" vertical="center" wrapText="1"/>
    </xf>
    <xf numFmtId="0" fontId="17" fillId="0" borderId="283" xfId="0" applyFont="1" applyBorder="1" applyAlignment="1">
      <alignment horizontal="left" vertical="center" wrapText="1"/>
    </xf>
    <xf numFmtId="0" fontId="17" fillId="0" borderId="266" xfId="0" applyFont="1" applyBorder="1" applyAlignment="1">
      <alignment horizontal="left" vertical="center" wrapText="1"/>
    </xf>
    <xf numFmtId="0" fontId="17" fillId="0" borderId="264" xfId="0" applyFont="1" applyBorder="1" applyAlignment="1">
      <alignment horizontal="left" vertical="center" wrapText="1"/>
    </xf>
    <xf numFmtId="0" fontId="36" fillId="0" borderId="158" xfId="0" applyFont="1" applyBorder="1" applyAlignment="1">
      <alignment horizontal="center" vertical="center"/>
    </xf>
    <xf numFmtId="0" fontId="36" fillId="0" borderId="154" xfId="0" applyFont="1" applyBorder="1" applyAlignment="1">
      <alignment horizontal="center" vertical="center"/>
    </xf>
    <xf numFmtId="176" fontId="36" fillId="0" borderId="275" xfId="0" applyNumberFormat="1" applyFont="1" applyBorder="1" applyAlignment="1">
      <alignment horizontal="center" vertical="center"/>
    </xf>
    <xf numFmtId="176" fontId="36" fillId="0" borderId="277" xfId="0" applyNumberFormat="1" applyFont="1" applyBorder="1" applyAlignment="1">
      <alignment horizontal="center" vertical="center"/>
    </xf>
    <xf numFmtId="0" fontId="35" fillId="2" borderId="281" xfId="0" applyFont="1" applyFill="1" applyBorder="1" applyAlignment="1">
      <alignment horizontal="center" vertical="center"/>
    </xf>
    <xf numFmtId="0" fontId="17" fillId="0" borderId="239" xfId="0" applyFont="1" applyBorder="1" applyAlignment="1">
      <alignment horizontal="left" vertical="center" wrapText="1"/>
    </xf>
    <xf numFmtId="0" fontId="17" fillId="0" borderId="226" xfId="0" applyFont="1" applyBorder="1" applyAlignment="1">
      <alignment horizontal="left" vertical="center" wrapText="1"/>
    </xf>
    <xf numFmtId="0" fontId="17" fillId="0" borderId="205" xfId="0" applyFont="1" applyBorder="1" applyAlignment="1">
      <alignment horizontal="left" vertical="center" wrapText="1"/>
    </xf>
    <xf numFmtId="0" fontId="17" fillId="0" borderId="227" xfId="0" applyFont="1" applyBorder="1" applyAlignment="1">
      <alignment horizontal="left" vertical="center" wrapText="1"/>
    </xf>
    <xf numFmtId="0" fontId="17" fillId="0" borderId="262" xfId="0" applyFont="1" applyBorder="1" applyAlignment="1">
      <alignment horizontal="left" vertical="center" wrapText="1"/>
    </xf>
    <xf numFmtId="0" fontId="17" fillId="0" borderId="274" xfId="0" applyFont="1" applyBorder="1" applyAlignment="1">
      <alignment horizontal="left" vertical="center" wrapText="1"/>
    </xf>
    <xf numFmtId="0" fontId="35" fillId="0" borderId="265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8" xfId="0" applyFont="1" applyBorder="1" applyAlignment="1">
      <alignment horizontal="left" vertical="center"/>
    </xf>
    <xf numFmtId="0" fontId="35" fillId="0" borderId="108" xfId="0" applyFont="1" applyBorder="1" applyAlignment="1">
      <alignment horizontal="left" vertical="center"/>
    </xf>
    <xf numFmtId="0" fontId="36" fillId="4" borderId="275" xfId="0" applyFont="1" applyFill="1" applyBorder="1" applyAlignment="1">
      <alignment horizontal="center" vertical="center"/>
    </xf>
    <xf numFmtId="0" fontId="36" fillId="4" borderId="276" xfId="0" applyFont="1" applyFill="1" applyBorder="1" applyAlignment="1">
      <alignment horizontal="center" vertical="center"/>
    </xf>
    <xf numFmtId="184" fontId="38" fillId="4" borderId="134" xfId="0" applyNumberFormat="1" applyFont="1" applyFill="1" applyBorder="1" applyAlignment="1">
      <alignment horizontal="center" vertical="center"/>
    </xf>
    <xf numFmtId="184" fontId="38" fillId="4" borderId="165" xfId="0" applyNumberFormat="1" applyFont="1" applyFill="1" applyBorder="1" applyAlignment="1">
      <alignment horizontal="center" vertical="center"/>
    </xf>
    <xf numFmtId="184" fontId="38" fillId="4" borderId="262" xfId="0" applyNumberFormat="1" applyFont="1" applyFill="1" applyBorder="1" applyAlignment="1">
      <alignment horizontal="center" vertical="center"/>
    </xf>
    <xf numFmtId="184" fontId="38" fillId="4" borderId="125" xfId="0" applyNumberFormat="1" applyFont="1" applyFill="1" applyBorder="1" applyAlignment="1">
      <alignment horizontal="center" vertical="center"/>
    </xf>
    <xf numFmtId="184" fontId="38" fillId="4" borderId="206" xfId="0" applyNumberFormat="1" applyFont="1" applyFill="1" applyBorder="1" applyAlignment="1">
      <alignment horizontal="center" vertical="center"/>
    </xf>
    <xf numFmtId="184" fontId="38" fillId="4" borderId="274" xfId="0" applyNumberFormat="1" applyFont="1" applyFill="1" applyBorder="1" applyAlignment="1">
      <alignment horizontal="center" vertical="center"/>
    </xf>
    <xf numFmtId="0" fontId="36" fillId="4" borderId="158" xfId="0" applyFont="1" applyFill="1" applyBorder="1" applyAlignment="1">
      <alignment horizontal="center" vertical="center"/>
    </xf>
    <xf numFmtId="0" fontId="36" fillId="4" borderId="124" xfId="0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181" fontId="36" fillId="0" borderId="250" xfId="1" applyNumberFormat="1" applyFont="1" applyBorder="1" applyAlignment="1">
      <alignment horizontal="center" vertical="center"/>
    </xf>
    <xf numFmtId="181" fontId="36" fillId="0" borderId="228" xfId="1" applyNumberFormat="1" applyFont="1" applyBorder="1" applyAlignment="1">
      <alignment horizontal="center" vertical="center"/>
    </xf>
    <xf numFmtId="181" fontId="34" fillId="4" borderId="250" xfId="1" applyNumberFormat="1" applyFont="1" applyFill="1" applyBorder="1" applyAlignment="1">
      <alignment horizontal="center" vertical="center"/>
    </xf>
    <xf numFmtId="181" fontId="34" fillId="4" borderId="228" xfId="1" applyNumberFormat="1" applyFont="1" applyFill="1" applyBorder="1" applyAlignment="1">
      <alignment horizontal="center" vertical="center"/>
    </xf>
    <xf numFmtId="41" fontId="39" fillId="2" borderId="108" xfId="0" applyNumberFormat="1" applyFont="1" applyFill="1" applyBorder="1" applyAlignment="1">
      <alignment horizontal="center" vertical="center"/>
    </xf>
    <xf numFmtId="41" fontId="22" fillId="0" borderId="165" xfId="1" applyFont="1" applyBorder="1" applyAlignment="1">
      <alignment horizontal="center" vertical="center"/>
    </xf>
    <xf numFmtId="41" fontId="22" fillId="0" borderId="173" xfId="1" applyFont="1" applyBorder="1" applyAlignment="1">
      <alignment horizontal="center" vertical="center"/>
    </xf>
    <xf numFmtId="9" fontId="31" fillId="7" borderId="134" xfId="3" applyFont="1" applyFill="1" applyBorder="1" applyAlignment="1">
      <alignment horizontal="center" vertical="center"/>
    </xf>
    <xf numFmtId="9" fontId="31" fillId="7" borderId="262" xfId="3" applyFont="1" applyFill="1" applyBorder="1" applyAlignment="1">
      <alignment horizontal="center" vertical="center"/>
    </xf>
    <xf numFmtId="9" fontId="31" fillId="7" borderId="135" xfId="3" applyFont="1" applyFill="1" applyBorder="1" applyAlignment="1">
      <alignment horizontal="center" vertical="center"/>
    </xf>
    <xf numFmtId="9" fontId="31" fillId="7" borderId="264" xfId="3" applyFont="1" applyFill="1" applyBorder="1" applyAlignment="1">
      <alignment horizontal="center" vertical="center"/>
    </xf>
    <xf numFmtId="186" fontId="36" fillId="7" borderId="244" xfId="3" applyNumberFormat="1" applyFont="1" applyFill="1" applyBorder="1" applyAlignment="1">
      <alignment horizontal="center" vertical="center"/>
    </xf>
    <xf numFmtId="41" fontId="22" fillId="0" borderId="249" xfId="1" applyFont="1" applyBorder="1" applyAlignment="1">
      <alignment horizontal="center" vertical="center"/>
    </xf>
    <xf numFmtId="41" fontId="22" fillId="0" borderId="186" xfId="1" applyFont="1" applyBorder="1" applyAlignment="1">
      <alignment horizontal="center" vertical="center"/>
    </xf>
    <xf numFmtId="41" fontId="22" fillId="0" borderId="247" xfId="1" applyFont="1" applyBorder="1" applyAlignment="1">
      <alignment horizontal="center" vertical="center"/>
    </xf>
    <xf numFmtId="41" fontId="22" fillId="0" borderId="251" xfId="1" applyFont="1" applyBorder="1" applyAlignment="1">
      <alignment horizontal="center" vertical="center"/>
    </xf>
    <xf numFmtId="41" fontId="22" fillId="0" borderId="141" xfId="1" applyFont="1" applyBorder="1" applyAlignment="1">
      <alignment horizontal="center" vertical="center"/>
    </xf>
    <xf numFmtId="41" fontId="22" fillId="0" borderId="248" xfId="1" applyFont="1" applyBorder="1" applyAlignment="1">
      <alignment horizontal="center" vertical="center"/>
    </xf>
    <xf numFmtId="41" fontId="21" fillId="4" borderId="249" xfId="1" applyFont="1" applyFill="1" applyBorder="1" applyAlignment="1">
      <alignment horizontal="center" vertical="center"/>
    </xf>
    <xf numFmtId="41" fontId="21" fillId="4" borderId="186" xfId="1" applyFont="1" applyFill="1" applyBorder="1" applyAlignment="1">
      <alignment horizontal="center" vertical="center"/>
    </xf>
    <xf numFmtId="41" fontId="21" fillId="4" borderId="247" xfId="1" applyFont="1" applyFill="1" applyBorder="1" applyAlignment="1">
      <alignment horizontal="center" vertical="center"/>
    </xf>
    <xf numFmtId="41" fontId="21" fillId="4" borderId="251" xfId="1" applyFont="1" applyFill="1" applyBorder="1" applyAlignment="1">
      <alignment horizontal="center" vertical="center"/>
    </xf>
    <xf numFmtId="41" fontId="21" fillId="4" borderId="141" xfId="1" applyFont="1" applyFill="1" applyBorder="1" applyAlignment="1">
      <alignment horizontal="center" vertical="center"/>
    </xf>
    <xf numFmtId="41" fontId="21" fillId="4" borderId="248" xfId="1" applyFont="1" applyFill="1" applyBorder="1" applyAlignment="1">
      <alignment horizontal="center" vertical="center"/>
    </xf>
    <xf numFmtId="186" fontId="36" fillId="7" borderId="183" xfId="3" applyNumberFormat="1" applyFont="1" applyFill="1" applyBorder="1" applyAlignment="1">
      <alignment horizontal="center" vertical="center"/>
    </xf>
    <xf numFmtId="186" fontId="36" fillId="7" borderId="168" xfId="3" applyNumberFormat="1" applyFont="1" applyFill="1" applyBorder="1" applyAlignment="1">
      <alignment horizontal="center" vertical="center"/>
    </xf>
    <xf numFmtId="0" fontId="37" fillId="4" borderId="183" xfId="0" applyFont="1" applyFill="1" applyBorder="1" applyAlignment="1">
      <alignment horizontal="center" vertical="center"/>
    </xf>
    <xf numFmtId="0" fontId="37" fillId="4" borderId="187" xfId="0" applyFont="1" applyFill="1" applyBorder="1" applyAlignment="1">
      <alignment horizontal="center" vertical="center"/>
    </xf>
    <xf numFmtId="0" fontId="37" fillId="4" borderId="168" xfId="0" applyFont="1" applyFill="1" applyBorder="1" applyAlignment="1">
      <alignment horizontal="center" vertical="center"/>
    </xf>
    <xf numFmtId="0" fontId="37" fillId="4" borderId="256" xfId="0" applyFont="1" applyFill="1" applyBorder="1" applyAlignment="1">
      <alignment horizontal="center" vertical="center"/>
    </xf>
    <xf numFmtId="41" fontId="21" fillId="4" borderId="244" xfId="1" applyFont="1" applyFill="1" applyBorder="1" applyAlignment="1">
      <alignment horizontal="center" vertical="center"/>
    </xf>
    <xf numFmtId="41" fontId="21" fillId="4" borderId="174" xfId="1" applyFont="1" applyFill="1" applyBorder="1" applyAlignment="1">
      <alignment horizontal="center" vertical="center"/>
    </xf>
    <xf numFmtId="41" fontId="21" fillId="4" borderId="125" xfId="1" applyFont="1" applyFill="1" applyBorder="1" applyAlignment="1">
      <alignment horizontal="center" vertical="center"/>
    </xf>
    <xf numFmtId="186" fontId="36" fillId="4" borderId="255" xfId="3" applyNumberFormat="1" applyFont="1" applyFill="1" applyBorder="1" applyAlignment="1">
      <alignment horizontal="center" vertical="center"/>
    </xf>
    <xf numFmtId="186" fontId="36" fillId="4" borderId="142" xfId="3" applyNumberFormat="1" applyFont="1" applyFill="1" applyBorder="1" applyAlignment="1">
      <alignment horizontal="center" vertical="center"/>
    </xf>
    <xf numFmtId="186" fontId="36" fillId="4" borderId="132" xfId="3" applyNumberFormat="1" applyFont="1" applyFill="1" applyBorder="1" applyAlignment="1">
      <alignment horizontal="center" vertical="center"/>
    </xf>
    <xf numFmtId="41" fontId="21" fillId="4" borderId="165" xfId="1" applyFont="1" applyFill="1" applyBorder="1" applyAlignment="1">
      <alignment horizontal="center" vertical="center"/>
    </xf>
    <xf numFmtId="41" fontId="21" fillId="4" borderId="173" xfId="1" applyFont="1" applyFill="1" applyBorder="1" applyAlignment="1">
      <alignment horizontal="center" vertical="center"/>
    </xf>
    <xf numFmtId="186" fontId="31" fillId="7" borderId="275" xfId="3" applyNumberFormat="1" applyFont="1" applyFill="1" applyBorder="1" applyAlignment="1">
      <alignment horizontal="center" vertical="center"/>
    </xf>
    <xf numFmtId="186" fontId="31" fillId="7" borderId="286" xfId="3" applyNumberFormat="1" applyFont="1" applyFill="1" applyBorder="1" applyAlignment="1">
      <alignment horizontal="center" vertical="center"/>
    </xf>
    <xf numFmtId="186" fontId="31" fillId="7" borderId="276" xfId="3" applyNumberFormat="1" applyFont="1" applyFill="1" applyBorder="1" applyAlignment="1">
      <alignment horizontal="center" vertical="center"/>
    </xf>
    <xf numFmtId="0" fontId="37" fillId="4" borderId="166" xfId="0" applyFont="1" applyFill="1" applyBorder="1" applyAlignment="1">
      <alignment horizontal="center" vertical="center" shrinkToFit="1"/>
    </xf>
    <xf numFmtId="186" fontId="34" fillId="7" borderId="275" xfId="3" applyNumberFormat="1" applyFont="1" applyFill="1" applyBorder="1" applyAlignment="1">
      <alignment horizontal="center" vertical="center"/>
    </xf>
    <xf numFmtId="186" fontId="34" fillId="7" borderId="286" xfId="3" applyNumberFormat="1" applyFont="1" applyFill="1" applyBorder="1" applyAlignment="1">
      <alignment horizontal="center" vertical="center"/>
    </xf>
    <xf numFmtId="186" fontId="34" fillId="7" borderId="277" xfId="3" applyNumberFormat="1" applyFont="1" applyFill="1" applyBorder="1" applyAlignment="1">
      <alignment horizontal="center" vertical="center"/>
    </xf>
    <xf numFmtId="9" fontId="31" fillId="2" borderId="108" xfId="3" applyFont="1" applyFill="1" applyBorder="1" applyAlignment="1">
      <alignment horizontal="center" vertical="center"/>
    </xf>
    <xf numFmtId="9" fontId="31" fillId="2" borderId="264" xfId="3" applyFont="1" applyFill="1" applyBorder="1" applyAlignment="1">
      <alignment horizontal="center" vertical="center"/>
    </xf>
    <xf numFmtId="0" fontId="37" fillId="9" borderId="255" xfId="0" applyFont="1" applyFill="1" applyBorder="1" applyAlignment="1">
      <alignment horizontal="center" vertical="center" shrinkToFit="1"/>
    </xf>
    <xf numFmtId="0" fontId="37" fillId="9" borderId="142" xfId="0" applyFont="1" applyFill="1" applyBorder="1" applyAlignment="1">
      <alignment horizontal="center" vertical="center" shrinkToFit="1"/>
    </xf>
    <xf numFmtId="0" fontId="37" fillId="9" borderId="139" xfId="0" applyFont="1" applyFill="1" applyBorder="1" applyAlignment="1">
      <alignment horizontal="center" vertical="center" shrinkToFit="1"/>
    </xf>
    <xf numFmtId="0" fontId="17" fillId="9" borderId="142" xfId="0" applyFont="1" applyFill="1" applyBorder="1" applyAlignment="1">
      <alignment horizontal="center" vertical="center" shrinkToFit="1"/>
    </xf>
    <xf numFmtId="41" fontId="22" fillId="0" borderId="108" xfId="1" applyFont="1" applyBorder="1" applyAlignment="1">
      <alignment horizontal="center" vertical="center"/>
    </xf>
    <xf numFmtId="41" fontId="22" fillId="0" borderId="195" xfId="1" applyFont="1" applyBorder="1" applyAlignment="1">
      <alignment horizontal="center" vertical="center"/>
    </xf>
    <xf numFmtId="186" fontId="36" fillId="4" borderId="133" xfId="3" applyNumberFormat="1" applyFont="1" applyFill="1" applyBorder="1" applyAlignment="1">
      <alignment horizontal="center" vertical="center"/>
    </xf>
    <xf numFmtId="41" fontId="21" fillId="4" borderId="108" xfId="1" applyFont="1" applyFill="1" applyBorder="1" applyAlignment="1">
      <alignment horizontal="center" vertical="center"/>
    </xf>
    <xf numFmtId="41" fontId="21" fillId="4" borderId="195" xfId="1" applyFont="1" applyFill="1" applyBorder="1" applyAlignment="1">
      <alignment horizontal="center" vertical="center"/>
    </xf>
    <xf numFmtId="186" fontId="36" fillId="7" borderId="135" xfId="3" applyNumberFormat="1" applyFont="1" applyFill="1" applyBorder="1" applyAlignment="1">
      <alignment horizontal="center" vertical="center"/>
    </xf>
    <xf numFmtId="41" fontId="21" fillId="4" borderId="241" xfId="1" applyFont="1" applyFill="1" applyBorder="1" applyAlignment="1">
      <alignment horizontal="center" vertical="center"/>
    </xf>
    <xf numFmtId="41" fontId="21" fillId="4" borderId="0" xfId="1" applyFont="1" applyFill="1" applyBorder="1" applyAlignment="1">
      <alignment horizontal="center" vertical="center"/>
    </xf>
    <xf numFmtId="186" fontId="31" fillId="7" borderId="285" xfId="3" applyNumberFormat="1" applyFont="1" applyFill="1" applyBorder="1" applyAlignment="1">
      <alignment horizontal="center" vertical="center"/>
    </xf>
    <xf numFmtId="181" fontId="34" fillId="9" borderId="240" xfId="0" applyNumberFormat="1" applyFont="1" applyFill="1" applyBorder="1" applyAlignment="1">
      <alignment horizontal="center" vertical="center"/>
    </xf>
    <xf numFmtId="181" fontId="34" fillId="9" borderId="250" xfId="0" applyNumberFormat="1" applyFont="1" applyFill="1" applyBorder="1" applyAlignment="1">
      <alignment horizontal="center" vertical="center"/>
    </xf>
    <xf numFmtId="181" fontId="34" fillId="9" borderId="137" xfId="0" applyNumberFormat="1" applyFont="1" applyFill="1" applyBorder="1" applyAlignment="1">
      <alignment horizontal="center" vertical="center"/>
    </xf>
    <xf numFmtId="41" fontId="21" fillId="9" borderId="230" xfId="0" applyNumberFormat="1" applyFont="1" applyFill="1" applyBorder="1" applyAlignment="1">
      <alignment horizontal="center" vertical="center"/>
    </xf>
    <xf numFmtId="0" fontId="21" fillId="9" borderId="233" xfId="0" applyFont="1" applyFill="1" applyBorder="1" applyAlignment="1">
      <alignment horizontal="center" vertical="center"/>
    </xf>
    <xf numFmtId="0" fontId="21" fillId="9" borderId="244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9" borderId="167" xfId="0" applyFont="1" applyFill="1" applyBorder="1" applyAlignment="1">
      <alignment horizontal="center" vertical="center"/>
    </xf>
    <xf numFmtId="0" fontId="21" fillId="9" borderId="138" xfId="0" applyFont="1" applyFill="1" applyBorder="1" applyAlignment="1">
      <alignment horizontal="center" vertical="center"/>
    </xf>
    <xf numFmtId="186" fontId="34" fillId="7" borderId="276" xfId="3" applyNumberFormat="1" applyFont="1" applyFill="1" applyBorder="1" applyAlignment="1">
      <alignment horizontal="center" vertical="center"/>
    </xf>
    <xf numFmtId="181" fontId="36" fillId="0" borderId="181" xfId="0" applyNumberFormat="1" applyFont="1" applyBorder="1" applyAlignment="1">
      <alignment horizontal="center" vertical="center"/>
    </xf>
    <xf numFmtId="181" fontId="36" fillId="0" borderId="140" xfId="0" applyNumberFormat="1" applyFont="1" applyBorder="1" applyAlignment="1">
      <alignment horizontal="center" vertical="center"/>
    </xf>
    <xf numFmtId="41" fontId="22" fillId="0" borderId="230" xfId="1" applyFont="1" applyBorder="1" applyAlignment="1">
      <alignment horizontal="center" vertical="center"/>
    </xf>
    <xf numFmtId="41" fontId="22" fillId="0" borderId="167" xfId="1" applyFont="1" applyBorder="1" applyAlignment="1">
      <alignment horizontal="center" vertical="center"/>
    </xf>
    <xf numFmtId="0" fontId="37" fillId="4" borderId="132" xfId="0" applyFont="1" applyFill="1" applyBorder="1" applyAlignment="1">
      <alignment horizontal="center" vertical="center" shrinkToFit="1"/>
    </xf>
    <xf numFmtId="0" fontId="37" fillId="4" borderId="139" xfId="0" applyFont="1" applyFill="1" applyBorder="1" applyAlignment="1">
      <alignment horizontal="center" vertical="center" shrinkToFit="1"/>
    </xf>
    <xf numFmtId="0" fontId="37" fillId="4" borderId="145" xfId="0" applyFont="1" applyFill="1" applyBorder="1" applyAlignment="1">
      <alignment horizontal="center" vertical="center" shrinkToFit="1"/>
    </xf>
    <xf numFmtId="0" fontId="35" fillId="7" borderId="269" xfId="0" applyFont="1" applyFill="1" applyBorder="1" applyAlignment="1">
      <alignment horizontal="center" vertical="center"/>
    </xf>
    <xf numFmtId="0" fontId="35" fillId="7" borderId="270" xfId="0" applyFont="1" applyFill="1" applyBorder="1" applyAlignment="1">
      <alignment horizontal="center" vertical="center"/>
    </xf>
    <xf numFmtId="0" fontId="35" fillId="7" borderId="287" xfId="0" applyFont="1" applyFill="1" applyBorder="1" applyAlignment="1">
      <alignment horizontal="center" vertical="center"/>
    </xf>
    <xf numFmtId="0" fontId="37" fillId="4" borderId="169" xfId="0" applyFont="1" applyFill="1" applyBorder="1" applyAlignment="1">
      <alignment horizontal="center" vertical="center"/>
    </xf>
    <xf numFmtId="0" fontId="37" fillId="4" borderId="257" xfId="0" applyFont="1" applyFill="1" applyBorder="1" applyAlignment="1">
      <alignment horizontal="center" vertical="center"/>
    </xf>
    <xf numFmtId="41" fontId="22" fillId="0" borderId="258" xfId="1" applyFont="1" applyBorder="1" applyAlignment="1">
      <alignment horizontal="center" vertical="center"/>
    </xf>
    <xf numFmtId="41" fontId="22" fillId="0" borderId="172" xfId="1" applyFont="1" applyBorder="1" applyAlignment="1">
      <alignment horizontal="center" vertical="center"/>
    </xf>
    <xf numFmtId="41" fontId="22" fillId="0" borderId="177" xfId="1" applyFont="1" applyBorder="1" applyAlignment="1">
      <alignment horizontal="center" vertical="center"/>
    </xf>
    <xf numFmtId="186" fontId="36" fillId="4" borderId="170" xfId="3" applyNumberFormat="1" applyFont="1" applyFill="1" applyBorder="1" applyAlignment="1">
      <alignment horizontal="center" vertical="center"/>
    </xf>
    <xf numFmtId="41" fontId="21" fillId="4" borderId="258" xfId="1" applyFont="1" applyFill="1" applyBorder="1" applyAlignment="1">
      <alignment horizontal="center" vertical="center"/>
    </xf>
    <xf numFmtId="41" fontId="21" fillId="4" borderId="172" xfId="1" applyFont="1" applyFill="1" applyBorder="1" applyAlignment="1">
      <alignment horizontal="center" vertical="center"/>
    </xf>
    <xf numFmtId="41" fontId="21" fillId="4" borderId="177" xfId="1" applyFont="1" applyFill="1" applyBorder="1" applyAlignment="1">
      <alignment horizontal="center" vertical="center"/>
    </xf>
    <xf numFmtId="186" fontId="36" fillId="7" borderId="169" xfId="3" applyNumberFormat="1" applyFont="1" applyFill="1" applyBorder="1" applyAlignment="1">
      <alignment horizontal="center" vertical="center"/>
    </xf>
    <xf numFmtId="0" fontId="35" fillId="2" borderId="239" xfId="0" applyFont="1" applyFill="1" applyBorder="1" applyAlignment="1">
      <alignment horizontal="center" vertical="center"/>
    </xf>
    <xf numFmtId="0" fontId="35" fillId="2" borderId="226" xfId="0" applyFont="1" applyFill="1" applyBorder="1" applyAlignment="1">
      <alignment horizontal="center" vertical="center"/>
    </xf>
    <xf numFmtId="0" fontId="35" fillId="2" borderId="130" xfId="0" applyFont="1" applyFill="1" applyBorder="1" applyAlignment="1">
      <alignment horizontal="center" vertical="center"/>
    </xf>
    <xf numFmtId="0" fontId="35" fillId="2" borderId="209" xfId="0" applyFont="1" applyFill="1" applyBorder="1" applyAlignment="1">
      <alignment horizontal="center" vertical="center"/>
    </xf>
    <xf numFmtId="0" fontId="35" fillId="2" borderId="262" xfId="0" applyFont="1" applyFill="1" applyBorder="1" applyAlignment="1">
      <alignment horizontal="center" vertical="center"/>
    </xf>
    <xf numFmtId="0" fontId="35" fillId="2" borderId="264" xfId="0" applyFont="1" applyFill="1" applyBorder="1" applyAlignment="1">
      <alignment horizontal="center" vertical="center"/>
    </xf>
    <xf numFmtId="186" fontId="31" fillId="7" borderId="275" xfId="0" applyNumberFormat="1" applyFont="1" applyFill="1" applyBorder="1" applyAlignment="1">
      <alignment horizontal="center" vertical="center"/>
    </xf>
    <xf numFmtId="0" fontId="31" fillId="7" borderId="286" xfId="0" applyFont="1" applyFill="1" applyBorder="1" applyAlignment="1">
      <alignment horizontal="center" vertical="center"/>
    </xf>
    <xf numFmtId="0" fontId="31" fillId="7" borderId="276" xfId="0" applyFont="1" applyFill="1" applyBorder="1" applyAlignment="1">
      <alignment horizontal="center" vertical="center"/>
    </xf>
    <xf numFmtId="0" fontId="6" fillId="8" borderId="118" xfId="0" applyFont="1" applyFill="1" applyBorder="1" applyAlignment="1" applyProtection="1">
      <alignment horizontal="center" vertical="center"/>
      <protection locked="0"/>
    </xf>
    <xf numFmtId="0" fontId="6" fillId="8" borderId="120" xfId="0" applyFont="1" applyFill="1" applyBorder="1" applyAlignment="1" applyProtection="1">
      <alignment horizontal="center" vertical="center"/>
      <protection locked="0"/>
    </xf>
    <xf numFmtId="0" fontId="51" fillId="0" borderId="115" xfId="0" applyFont="1" applyBorder="1" applyAlignment="1" applyProtection="1">
      <alignment horizontal="left" vertical="center"/>
      <protection locked="0"/>
    </xf>
    <xf numFmtId="0" fontId="51" fillId="0" borderId="155" xfId="0" applyFont="1" applyBorder="1" applyAlignment="1" applyProtection="1">
      <alignment horizontal="left" vertical="center"/>
      <protection locked="0"/>
    </xf>
    <xf numFmtId="0" fontId="33" fillId="0" borderId="106" xfId="0" applyFont="1" applyBorder="1" applyAlignment="1" applyProtection="1">
      <alignment horizontal="center" vertical="center"/>
      <protection locked="0"/>
    </xf>
    <xf numFmtId="0" fontId="33" fillId="0" borderId="191" xfId="0" applyFont="1" applyBorder="1" applyAlignment="1" applyProtection="1">
      <alignment horizontal="center" vertical="center"/>
      <protection locked="0"/>
    </xf>
    <xf numFmtId="0" fontId="51" fillId="0" borderId="106" xfId="0" applyFont="1" applyBorder="1" applyAlignment="1" applyProtection="1">
      <alignment horizontal="center" vertical="center"/>
      <protection locked="0"/>
    </xf>
    <xf numFmtId="0" fontId="51" fillId="0" borderId="191" xfId="0" applyFont="1" applyBorder="1" applyAlignment="1" applyProtection="1">
      <alignment horizontal="center" vertical="center"/>
      <protection locked="0"/>
    </xf>
    <xf numFmtId="0" fontId="6" fillId="8" borderId="121" xfId="0" applyFont="1" applyFill="1" applyBorder="1" applyAlignment="1" applyProtection="1">
      <alignment horizontal="center" vertical="center"/>
      <protection locked="0"/>
    </xf>
    <xf numFmtId="0" fontId="6" fillId="8" borderId="105" xfId="0" applyFont="1" applyFill="1" applyBorder="1" applyAlignment="1" applyProtection="1">
      <alignment horizontal="center" vertical="center"/>
      <protection locked="0"/>
    </xf>
    <xf numFmtId="0" fontId="6" fillId="8" borderId="117" xfId="0" applyFont="1" applyFill="1" applyBorder="1" applyAlignment="1" applyProtection="1">
      <alignment horizontal="center" vertical="center"/>
      <protection locked="0"/>
    </xf>
    <xf numFmtId="0" fontId="6" fillId="8" borderId="156" xfId="0" applyFont="1" applyFill="1" applyBorder="1" applyAlignment="1" applyProtection="1">
      <alignment horizontal="center" vertical="center"/>
      <protection locked="0"/>
    </xf>
    <xf numFmtId="0" fontId="51" fillId="0" borderId="158" xfId="0" applyFont="1" applyBorder="1" applyAlignment="1" applyProtection="1">
      <alignment horizontal="left" vertical="center"/>
      <protection locked="0"/>
    </xf>
    <xf numFmtId="0" fontId="51" fillId="0" borderId="159" xfId="0" applyFont="1" applyBorder="1" applyAlignment="1" applyProtection="1">
      <alignment horizontal="left" vertical="center"/>
      <protection locked="0"/>
    </xf>
    <xf numFmtId="0" fontId="29" fillId="16" borderId="108" xfId="0" applyFont="1" applyFill="1" applyBorder="1" applyAlignment="1" applyProtection="1">
      <alignment horizontal="center" vertical="center"/>
      <protection locked="0"/>
    </xf>
    <xf numFmtId="0" fontId="10" fillId="2" borderId="57" xfId="0" applyFont="1" applyFill="1" applyBorder="1" applyAlignment="1" applyProtection="1">
      <alignment horizontal="center" vertical="center"/>
      <protection locked="0"/>
    </xf>
    <xf numFmtId="0" fontId="10" fillId="2" borderId="23" xfId="0" applyFont="1" applyFill="1" applyBorder="1" applyAlignment="1" applyProtection="1">
      <alignment horizontal="center" vertical="center"/>
      <protection locked="0"/>
    </xf>
    <xf numFmtId="0" fontId="10" fillId="2" borderId="41" xfId="0" applyFont="1" applyFill="1" applyBorder="1" applyAlignment="1" applyProtection="1">
      <alignment horizontal="center" vertical="center"/>
      <protection locked="0"/>
    </xf>
    <xf numFmtId="0" fontId="10" fillId="2" borderId="45" xfId="0" applyFont="1" applyFill="1" applyBorder="1" applyAlignment="1" applyProtection="1">
      <alignment horizontal="center" vertical="center"/>
      <protection locked="0"/>
    </xf>
    <xf numFmtId="0" fontId="10" fillId="2" borderId="92" xfId="0" applyFont="1" applyFill="1" applyBorder="1" applyAlignment="1" applyProtection="1">
      <alignment horizontal="center" vertical="center"/>
      <protection locked="0"/>
    </xf>
    <xf numFmtId="0" fontId="12" fillId="2" borderId="84" xfId="0" applyFont="1" applyFill="1" applyBorder="1" applyAlignment="1" applyProtection="1">
      <alignment horizontal="center" vertical="center"/>
      <protection locked="0"/>
    </xf>
    <xf numFmtId="0" fontId="12" fillId="2" borderId="87" xfId="0" applyFont="1" applyFill="1" applyBorder="1" applyAlignment="1" applyProtection="1">
      <alignment horizontal="center" vertical="center"/>
      <protection locked="0"/>
    </xf>
    <xf numFmtId="0" fontId="10" fillId="2" borderId="85" xfId="0" applyFont="1" applyFill="1" applyBorder="1" applyAlignment="1" applyProtection="1">
      <alignment horizontal="center" vertical="center"/>
      <protection locked="0"/>
    </xf>
    <xf numFmtId="0" fontId="10" fillId="2" borderId="59" xfId="0" applyFont="1" applyFill="1" applyBorder="1" applyAlignment="1" applyProtection="1">
      <alignment horizontal="center" vertical="center"/>
      <protection locked="0"/>
    </xf>
    <xf numFmtId="42" fontId="10" fillId="2" borderId="85" xfId="2" applyFont="1" applyFill="1" applyBorder="1" applyAlignment="1" applyProtection="1">
      <alignment horizontal="center" vertical="center"/>
      <protection locked="0"/>
    </xf>
    <xf numFmtId="42" fontId="10" fillId="2" borderId="59" xfId="2" applyFont="1" applyFill="1" applyBorder="1" applyAlignment="1" applyProtection="1">
      <alignment horizontal="center" vertical="center"/>
      <protection locked="0"/>
    </xf>
    <xf numFmtId="0" fontId="10" fillId="2" borderId="85" xfId="0" applyFont="1" applyFill="1" applyBorder="1" applyAlignment="1" applyProtection="1">
      <alignment horizontal="center" vertical="center" wrapText="1"/>
      <protection locked="0"/>
    </xf>
    <xf numFmtId="0" fontId="10" fillId="2" borderId="70" xfId="0" applyFont="1" applyFill="1" applyBorder="1" applyAlignment="1" applyProtection="1">
      <alignment horizontal="center" vertical="center"/>
      <protection locked="0"/>
    </xf>
    <xf numFmtId="0" fontId="10" fillId="2" borderId="98" xfId="0" applyFont="1" applyFill="1" applyBorder="1" applyAlignment="1" applyProtection="1">
      <alignment horizontal="center" vertical="center"/>
      <protection locked="0"/>
    </xf>
    <xf numFmtId="0" fontId="10" fillId="2" borderId="100" xfId="0" applyFont="1" applyFill="1" applyBorder="1" applyAlignment="1" applyProtection="1">
      <alignment horizontal="center" vertical="center"/>
      <protection locked="0"/>
    </xf>
    <xf numFmtId="0" fontId="10" fillId="2" borderId="72" xfId="0" applyFont="1" applyFill="1" applyBorder="1" applyAlignment="1" applyProtection="1">
      <alignment horizontal="center" vertical="center"/>
      <protection locked="0"/>
    </xf>
    <xf numFmtId="0" fontId="10" fillId="2" borderId="102" xfId="0" applyFont="1" applyFill="1" applyBorder="1" applyAlignment="1" applyProtection="1">
      <alignment horizontal="center" vertical="center"/>
      <protection locked="0"/>
    </xf>
    <xf numFmtId="0" fontId="10" fillId="2" borderId="129" xfId="0" applyFont="1" applyFill="1" applyBorder="1" applyAlignment="1" applyProtection="1">
      <alignment horizontal="center" vertical="center"/>
      <protection locked="0"/>
    </xf>
    <xf numFmtId="0" fontId="10" fillId="2" borderId="99" xfId="0" applyFont="1" applyFill="1" applyBorder="1" applyAlignment="1" applyProtection="1">
      <alignment horizontal="center" vertical="center"/>
      <protection locked="0"/>
    </xf>
    <xf numFmtId="0" fontId="6" fillId="7" borderId="160" xfId="0" applyFont="1" applyFill="1" applyBorder="1" applyAlignment="1" applyProtection="1">
      <alignment horizontal="center" vertical="center"/>
      <protection locked="0"/>
    </xf>
    <xf numFmtId="0" fontId="6" fillId="7" borderId="161" xfId="0" applyFont="1" applyFill="1" applyBorder="1" applyAlignment="1" applyProtection="1">
      <alignment horizontal="center" vertical="center"/>
      <protection locked="0"/>
    </xf>
    <xf numFmtId="0" fontId="6" fillId="7" borderId="162" xfId="0" applyFont="1" applyFill="1" applyBorder="1" applyAlignment="1" applyProtection="1">
      <alignment horizontal="center" vertical="center"/>
      <protection locked="0"/>
    </xf>
    <xf numFmtId="41" fontId="10" fillId="0" borderId="125" xfId="1" applyFont="1" applyBorder="1" applyAlignment="1">
      <alignment horizontal="center" vertical="center"/>
    </xf>
    <xf numFmtId="41" fontId="10" fillId="0" borderId="148" xfId="1" applyFont="1" applyBorder="1" applyAlignment="1">
      <alignment horizontal="center" vertical="center"/>
    </xf>
    <xf numFmtId="177" fontId="10" fillId="2" borderId="19" xfId="0" applyNumberFormat="1" applyFont="1" applyFill="1" applyBorder="1" applyAlignment="1">
      <alignment horizontal="center" vertical="center" wrapText="1"/>
    </xf>
    <xf numFmtId="177" fontId="10" fillId="2" borderId="14" xfId="0" applyNumberFormat="1" applyFont="1" applyFill="1" applyBorder="1" applyAlignment="1">
      <alignment horizontal="center" vertical="center" wrapText="1"/>
    </xf>
    <xf numFmtId="0" fontId="5" fillId="2" borderId="80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41" fontId="10" fillId="0" borderId="106" xfId="1" applyFont="1" applyBorder="1" applyAlignment="1">
      <alignment horizontal="center" vertical="center"/>
    </xf>
    <xf numFmtId="41" fontId="10" fillId="0" borderId="107" xfId="1" applyFont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5" fillId="2" borderId="70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10" fillId="2" borderId="85" xfId="0" applyFont="1" applyFill="1" applyBorder="1" applyAlignment="1">
      <alignment horizontal="center" vertical="center" wrapText="1"/>
    </xf>
    <xf numFmtId="0" fontId="10" fillId="2" borderId="59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29" fillId="16" borderId="0" xfId="0" applyFont="1" applyFill="1" applyAlignment="1">
      <alignment horizontal="center" vertical="center"/>
    </xf>
    <xf numFmtId="177" fontId="10" fillId="2" borderId="18" xfId="0" applyNumberFormat="1" applyFont="1" applyFill="1" applyBorder="1" applyAlignment="1">
      <alignment horizontal="center" vertical="center" wrapText="1"/>
    </xf>
    <xf numFmtId="177" fontId="10" fillId="2" borderId="13" xfId="0" applyNumberFormat="1" applyFont="1" applyFill="1" applyBorder="1" applyAlignment="1">
      <alignment horizontal="center" vertical="center" wrapText="1"/>
    </xf>
    <xf numFmtId="177" fontId="10" fillId="2" borderId="9" xfId="0" applyNumberFormat="1" applyFont="1" applyFill="1" applyBorder="1" applyAlignment="1">
      <alignment horizontal="center" vertical="center" wrapText="1"/>
    </xf>
    <xf numFmtId="177" fontId="10" fillId="2" borderId="10" xfId="0" applyNumberFormat="1" applyFont="1" applyFill="1" applyBorder="1" applyAlignment="1">
      <alignment horizontal="center" vertical="center"/>
    </xf>
    <xf numFmtId="177" fontId="10" fillId="2" borderId="8" xfId="0" applyNumberFormat="1" applyFont="1" applyFill="1" applyBorder="1" applyAlignment="1">
      <alignment horizontal="center" vertical="center" wrapText="1"/>
    </xf>
    <xf numFmtId="177" fontId="10" fillId="2" borderId="6" xfId="0" applyNumberFormat="1" applyFont="1" applyFill="1" applyBorder="1" applyAlignment="1">
      <alignment horizontal="center" vertical="center"/>
    </xf>
    <xf numFmtId="177" fontId="10" fillId="2" borderId="58" xfId="0" applyNumberFormat="1" applyFont="1" applyFill="1" applyBorder="1" applyAlignment="1">
      <alignment horizontal="center" vertical="center" wrapText="1"/>
    </xf>
    <xf numFmtId="177" fontId="10" fillId="2" borderId="173" xfId="0" applyNumberFormat="1" applyFont="1" applyFill="1" applyBorder="1" applyAlignment="1">
      <alignment horizontal="center" vertical="center" wrapText="1"/>
    </xf>
    <xf numFmtId="177" fontId="10" fillId="2" borderId="4" xfId="0" applyNumberFormat="1" applyFont="1" applyFill="1" applyBorder="1" applyAlignment="1">
      <alignment horizontal="center" vertical="center" wrapText="1"/>
    </xf>
    <xf numFmtId="177" fontId="10" fillId="2" borderId="195" xfId="0" applyNumberFormat="1" applyFont="1" applyFill="1" applyBorder="1" applyAlignment="1">
      <alignment horizontal="center" vertical="center" wrapText="1"/>
    </xf>
    <xf numFmtId="177" fontId="10" fillId="2" borderId="252" xfId="0" applyNumberFormat="1" applyFont="1" applyFill="1" applyBorder="1" applyAlignment="1">
      <alignment horizontal="center" vertical="center" wrapText="1"/>
    </xf>
    <xf numFmtId="177" fontId="10" fillId="2" borderId="154" xfId="0" applyNumberFormat="1" applyFont="1" applyFill="1" applyBorder="1" applyAlignment="1">
      <alignment horizontal="center" vertical="center" wrapText="1"/>
    </xf>
    <xf numFmtId="177" fontId="10" fillId="2" borderId="91" xfId="0" applyNumberFormat="1" applyFont="1" applyFill="1" applyBorder="1" applyAlignment="1">
      <alignment horizontal="center" vertical="center" wrapText="1"/>
    </xf>
    <xf numFmtId="177" fontId="10" fillId="2" borderId="56" xfId="0" applyNumberFormat="1" applyFont="1" applyFill="1" applyBorder="1" applyAlignment="1">
      <alignment horizontal="center" vertical="center" wrapText="1"/>
    </xf>
    <xf numFmtId="41" fontId="10" fillId="0" borderId="11" xfId="1" applyFont="1" applyBorder="1" applyAlignment="1">
      <alignment horizontal="center" vertical="center"/>
    </xf>
    <xf numFmtId="41" fontId="10" fillId="0" borderId="15" xfId="1" applyFont="1" applyBorder="1" applyAlignment="1">
      <alignment horizontal="center" vertical="center"/>
    </xf>
    <xf numFmtId="41" fontId="5" fillId="2" borderId="26" xfId="0" applyNumberFormat="1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177" fontId="10" fillId="12" borderId="98" xfId="24" applyNumberFormat="1" applyFont="1" applyFill="1" applyBorder="1" applyAlignment="1">
      <alignment horizontal="center" vertical="center"/>
    </xf>
    <xf numFmtId="177" fontId="10" fillId="12" borderId="99" xfId="24" applyNumberFormat="1" applyFont="1" applyFill="1" applyBorder="1" applyAlignment="1">
      <alignment horizontal="center" vertical="center"/>
    </xf>
    <xf numFmtId="177" fontId="10" fillId="12" borderId="100" xfId="24" applyNumberFormat="1" applyFont="1" applyFill="1" applyBorder="1" applyAlignment="1">
      <alignment horizontal="center" vertical="center"/>
    </xf>
    <xf numFmtId="0" fontId="29" fillId="16" borderId="0" xfId="24" applyFont="1" applyFill="1" applyAlignment="1">
      <alignment horizontal="center" vertical="center"/>
    </xf>
    <xf numFmtId="0" fontId="10" fillId="12" borderId="226" xfId="24" applyFont="1" applyFill="1" applyBorder="1" applyAlignment="1">
      <alignment horizontal="center" vertical="center"/>
    </xf>
    <xf numFmtId="0" fontId="10" fillId="12" borderId="227" xfId="24" applyFont="1" applyFill="1" applyBorder="1" applyAlignment="1">
      <alignment horizontal="center" vertical="center"/>
    </xf>
    <xf numFmtId="0" fontId="10" fillId="12" borderId="102" xfId="24" applyFont="1" applyFill="1" applyBorder="1" applyAlignment="1">
      <alignment horizontal="center" vertical="center" wrapText="1"/>
    </xf>
    <xf numFmtId="0" fontId="10" fillId="12" borderId="119" xfId="24" applyFont="1" applyFill="1" applyBorder="1" applyAlignment="1">
      <alignment horizontal="center" vertical="center" wrapText="1"/>
    </xf>
    <xf numFmtId="0" fontId="5" fillId="0" borderId="103" xfId="17" applyFont="1" applyBorder="1" applyAlignment="1">
      <alignment horizontal="center" vertical="center"/>
    </xf>
    <xf numFmtId="0" fontId="5" fillId="0" borderId="208" xfId="17" applyFont="1" applyBorder="1" applyAlignment="1">
      <alignment horizontal="center" vertical="center"/>
    </xf>
    <xf numFmtId="0" fontId="5" fillId="12" borderId="103" xfId="24" applyFont="1" applyFill="1" applyBorder="1" applyAlignment="1">
      <alignment horizontal="center" vertical="center"/>
    </xf>
    <xf numFmtId="0" fontId="5" fillId="12" borderId="208" xfId="24" applyFont="1" applyFill="1" applyBorder="1" applyAlignment="1">
      <alignment horizontal="center" vertical="center"/>
    </xf>
    <xf numFmtId="0" fontId="5" fillId="0" borderId="103" xfId="24" applyFont="1" applyBorder="1" applyAlignment="1">
      <alignment horizontal="center" vertical="center"/>
    </xf>
    <xf numFmtId="0" fontId="5" fillId="0" borderId="208" xfId="24" applyFont="1" applyBorder="1" applyAlignment="1">
      <alignment horizontal="center" vertical="center"/>
    </xf>
    <xf numFmtId="0" fontId="5" fillId="0" borderId="189" xfId="17" applyFont="1" applyBorder="1" applyAlignment="1">
      <alignment horizontal="center" vertical="center"/>
    </xf>
    <xf numFmtId="0" fontId="5" fillId="12" borderId="195" xfId="24" applyFont="1" applyFill="1" applyBorder="1" applyAlignment="1">
      <alignment horizontal="center" vertical="center"/>
    </xf>
    <xf numFmtId="0" fontId="5" fillId="12" borderId="154" xfId="24" applyFont="1" applyFill="1" applyBorder="1" applyAlignment="1">
      <alignment horizontal="center" vertical="center"/>
    </xf>
    <xf numFmtId="0" fontId="52" fillId="2" borderId="105" xfId="0" applyFont="1" applyFill="1" applyBorder="1" applyAlignment="1">
      <alignment horizontal="center" vertical="center"/>
    </xf>
    <xf numFmtId="0" fontId="29" fillId="16" borderId="23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83" xfId="0" applyFont="1" applyFill="1" applyBorder="1" applyAlignment="1">
      <alignment horizontal="center" vertical="center"/>
    </xf>
    <xf numFmtId="0" fontId="10" fillId="2" borderId="86" xfId="0" applyFont="1" applyFill="1" applyBorder="1" applyAlignment="1">
      <alignment horizontal="center" vertical="center" wrapText="1"/>
    </xf>
    <xf numFmtId="0" fontId="10" fillId="2" borderId="86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48" fillId="0" borderId="0" xfId="0" quotePrefix="1" applyFont="1" applyAlignment="1">
      <alignment horizontal="center" wrapText="1"/>
    </xf>
    <xf numFmtId="0" fontId="48" fillId="0" borderId="0" xfId="0" applyFont="1" applyAlignment="1">
      <alignment horizontal="center"/>
    </xf>
    <xf numFmtId="0" fontId="52" fillId="2" borderId="97" xfId="0" applyFont="1" applyFill="1" applyBorder="1" applyAlignment="1">
      <alignment horizontal="center" vertical="center"/>
    </xf>
    <xf numFmtId="0" fontId="52" fillId="2" borderId="121" xfId="0" applyFont="1" applyFill="1" applyBorder="1" applyAlignment="1">
      <alignment horizontal="center" vertical="center"/>
    </xf>
    <xf numFmtId="0" fontId="52" fillId="6" borderId="108" xfId="0" applyFont="1" applyFill="1" applyBorder="1" applyAlignment="1">
      <alignment horizontal="center" vertical="center"/>
    </xf>
    <xf numFmtId="177" fontId="56" fillId="7" borderId="131" xfId="13" applyNumberFormat="1" applyFont="1" applyFill="1" applyBorder="1" applyAlignment="1">
      <alignment horizontal="center" vertical="center"/>
    </xf>
    <xf numFmtId="177" fontId="56" fillId="7" borderId="175" xfId="13" applyNumberFormat="1" applyFont="1" applyFill="1" applyBorder="1" applyAlignment="1">
      <alignment horizontal="center" vertical="center"/>
    </xf>
    <xf numFmtId="177" fontId="56" fillId="7" borderId="164" xfId="13" applyNumberFormat="1" applyFont="1" applyFill="1" applyBorder="1" applyAlignment="1">
      <alignment horizontal="center" vertical="center"/>
    </xf>
    <xf numFmtId="0" fontId="56" fillId="7" borderId="175" xfId="13" applyFont="1" applyFill="1" applyBorder="1" applyAlignment="1">
      <alignment horizontal="center" vertical="center"/>
    </xf>
    <xf numFmtId="0" fontId="56" fillId="7" borderId="172" xfId="13" applyFont="1" applyFill="1" applyBorder="1" applyAlignment="1">
      <alignment horizontal="center" vertical="center"/>
    </xf>
    <xf numFmtId="0" fontId="55" fillId="10" borderId="184" xfId="13" applyFont="1" applyFill="1" applyBorder="1" applyAlignment="1">
      <alignment horizontal="center" vertical="center" shrinkToFit="1"/>
    </xf>
    <xf numFmtId="0" fontId="55" fillId="10" borderId="163" xfId="13" applyFont="1" applyFill="1" applyBorder="1" applyAlignment="1">
      <alignment horizontal="center" vertical="center" shrinkToFit="1"/>
    </xf>
    <xf numFmtId="0" fontId="60" fillId="0" borderId="163" xfId="13" applyFont="1" applyBorder="1" applyAlignment="1">
      <alignment horizontal="center" vertical="center" shrinkToFit="1"/>
    </xf>
    <xf numFmtId="0" fontId="60" fillId="0" borderId="97" xfId="13" applyFont="1" applyBorder="1" applyAlignment="1">
      <alignment horizontal="center" vertical="center" shrinkToFit="1"/>
    </xf>
    <xf numFmtId="0" fontId="55" fillId="0" borderId="163" xfId="13" applyFont="1" applyBorder="1" applyAlignment="1">
      <alignment horizontal="center" vertical="center" shrinkToFit="1"/>
    </xf>
    <xf numFmtId="0" fontId="55" fillId="0" borderId="185" xfId="13" applyFont="1" applyBorder="1" applyAlignment="1">
      <alignment horizontal="center" vertical="center" shrinkToFit="1"/>
    </xf>
    <xf numFmtId="41" fontId="57" fillId="7" borderId="305" xfId="14" applyFont="1" applyFill="1" applyBorder="1" applyAlignment="1" applyProtection="1">
      <alignment horizontal="center" vertical="center"/>
    </xf>
    <xf numFmtId="41" fontId="57" fillId="7" borderId="306" xfId="14" applyFont="1" applyFill="1" applyBorder="1" applyAlignment="1" applyProtection="1">
      <alignment horizontal="center" vertical="center"/>
    </xf>
    <xf numFmtId="41" fontId="57" fillId="7" borderId="101" xfId="14" applyFont="1" applyFill="1" applyBorder="1" applyAlignment="1" applyProtection="1">
      <alignment horizontal="center" vertical="center"/>
    </xf>
    <xf numFmtId="41" fontId="11" fillId="0" borderId="207" xfId="1" applyFont="1" applyBorder="1" applyAlignment="1">
      <alignment horizontal="center" vertical="center"/>
    </xf>
    <xf numFmtId="41" fontId="11" fillId="0" borderId="147" xfId="1" applyFont="1" applyBorder="1" applyAlignment="1">
      <alignment horizontal="center" vertical="center"/>
    </xf>
    <xf numFmtId="41" fontId="11" fillId="0" borderId="119" xfId="1" applyFont="1" applyBorder="1" applyAlignment="1">
      <alignment horizontal="center" vertical="center"/>
    </xf>
    <xf numFmtId="177" fontId="12" fillId="2" borderId="42" xfId="0" applyNumberFormat="1" applyFont="1" applyFill="1" applyBorder="1" applyAlignment="1">
      <alignment horizontal="center" vertical="center"/>
    </xf>
    <xf numFmtId="41" fontId="11" fillId="0" borderId="93" xfId="1" applyFont="1" applyBorder="1" applyAlignment="1">
      <alignment horizontal="center" vertical="center"/>
    </xf>
    <xf numFmtId="41" fontId="11" fillId="0" borderId="86" xfId="1" applyFont="1" applyBorder="1" applyAlignment="1">
      <alignment horizontal="center" vertical="center"/>
    </xf>
    <xf numFmtId="41" fontId="11" fillId="0" borderId="32" xfId="1" applyFont="1" applyBorder="1" applyAlignment="1">
      <alignment horizontal="center" vertical="center"/>
    </xf>
    <xf numFmtId="0" fontId="16" fillId="2" borderId="70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2" fillId="2" borderId="85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/>
    </xf>
    <xf numFmtId="41" fontId="11" fillId="0" borderId="102" xfId="1" applyFont="1" applyBorder="1" applyAlignment="1">
      <alignment horizontal="center" vertical="center"/>
    </xf>
    <xf numFmtId="0" fontId="9" fillId="16" borderId="23" xfId="0" applyFont="1" applyFill="1" applyBorder="1" applyAlignment="1">
      <alignment horizontal="center" vertical="center"/>
    </xf>
    <xf numFmtId="41" fontId="11" fillId="0" borderId="85" xfId="1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9" fillId="2" borderId="70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29" fillId="2" borderId="70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177" fontId="12" fillId="2" borderId="41" xfId="0" applyNumberFormat="1" applyFont="1" applyFill="1" applyBorder="1" applyAlignment="1">
      <alignment horizontal="center" vertical="center"/>
    </xf>
    <xf numFmtId="177" fontId="12" fillId="2" borderId="55" xfId="0" applyNumberFormat="1" applyFont="1" applyFill="1" applyBorder="1" applyAlignment="1">
      <alignment horizontal="center" vertical="center"/>
    </xf>
    <xf numFmtId="0" fontId="29" fillId="2" borderId="72" xfId="0" applyFont="1" applyFill="1" applyBorder="1" applyAlignment="1">
      <alignment horizontal="center" vertical="center"/>
    </xf>
    <xf numFmtId="0" fontId="12" fillId="2" borderId="102" xfId="0" applyFont="1" applyFill="1" applyBorder="1" applyAlignment="1">
      <alignment horizontal="center" vertical="center" wrapText="1"/>
    </xf>
    <xf numFmtId="0" fontId="12" fillId="2" borderId="129" xfId="0" applyFont="1" applyFill="1" applyBorder="1" applyAlignment="1">
      <alignment horizontal="center" vertical="center" wrapText="1"/>
    </xf>
    <xf numFmtId="0" fontId="43" fillId="2" borderId="19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0" fontId="43" fillId="2" borderId="18" xfId="0" applyFont="1" applyFill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12" fillId="2" borderId="84" xfId="0" applyFont="1" applyFill="1" applyBorder="1" applyAlignment="1">
      <alignment horizontal="center" vertical="center"/>
    </xf>
    <xf numFmtId="0" fontId="12" fillId="2" borderId="87" xfId="0" applyFont="1" applyFill="1" applyBorder="1" applyAlignment="1">
      <alignment horizontal="center" vertical="center"/>
    </xf>
    <xf numFmtId="0" fontId="43" fillId="2" borderId="45" xfId="0" applyFont="1" applyFill="1" applyBorder="1" applyAlignment="1">
      <alignment horizontal="center" vertical="center" wrapText="1"/>
    </xf>
    <xf numFmtId="0" fontId="43" fillId="2" borderId="70" xfId="0" applyFont="1" applyFill="1" applyBorder="1" applyAlignment="1">
      <alignment horizontal="center" vertical="center" wrapText="1"/>
    </xf>
    <xf numFmtId="0" fontId="43" fillId="2" borderId="41" xfId="0" applyFont="1" applyFill="1" applyBorder="1" applyAlignment="1">
      <alignment horizontal="center" vertical="center" wrapText="1"/>
    </xf>
    <xf numFmtId="49" fontId="30" fillId="12" borderId="99" xfId="17" applyNumberFormat="1" applyFont="1" applyFill="1" applyBorder="1" applyAlignment="1" applyProtection="1">
      <alignment horizontal="center" vertical="center"/>
      <protection locked="0"/>
    </xf>
    <xf numFmtId="0" fontId="6" fillId="4" borderId="10" xfId="17" applyFont="1" applyFill="1" applyBorder="1" applyAlignment="1" applyProtection="1">
      <alignment horizontal="center" vertical="center"/>
      <protection locked="0"/>
    </xf>
    <xf numFmtId="0" fontId="6" fillId="4" borderId="6" xfId="17" applyFont="1" applyFill="1" applyBorder="1" applyAlignment="1" applyProtection="1">
      <alignment horizontal="center" vertical="center"/>
      <protection locked="0"/>
    </xf>
    <xf numFmtId="0" fontId="6" fillId="4" borderId="13" xfId="17" applyFont="1" applyFill="1" applyBorder="1" applyAlignment="1" applyProtection="1">
      <alignment horizontal="center" vertical="center"/>
      <protection locked="0"/>
    </xf>
    <xf numFmtId="0" fontId="9" fillId="0" borderId="0" xfId="17" applyFont="1" applyAlignment="1" applyProtection="1">
      <alignment horizontal="center" vertical="center"/>
      <protection locked="0"/>
    </xf>
    <xf numFmtId="0" fontId="8" fillId="2" borderId="211" xfId="17" applyFont="1" applyFill="1" applyBorder="1" applyAlignment="1" applyProtection="1">
      <alignment horizontal="center" vertical="center"/>
      <protection locked="0"/>
    </xf>
    <xf numFmtId="0" fontId="8" fillId="2" borderId="213" xfId="17" applyFont="1" applyFill="1" applyBorder="1" applyAlignment="1" applyProtection="1">
      <alignment horizontal="center" vertical="center"/>
      <protection locked="0"/>
    </xf>
    <xf numFmtId="0" fontId="8" fillId="2" borderId="92" xfId="17" applyFont="1" applyFill="1" applyBorder="1" applyAlignment="1" applyProtection="1">
      <alignment horizontal="center" vertical="center"/>
      <protection locked="0"/>
    </xf>
    <xf numFmtId="0" fontId="8" fillId="2" borderId="214" xfId="17" applyFont="1" applyFill="1" applyBorder="1" applyAlignment="1" applyProtection="1">
      <alignment horizontal="center" vertical="center"/>
      <protection locked="0"/>
    </xf>
    <xf numFmtId="0" fontId="4" fillId="0" borderId="212" xfId="17" applyBorder="1" applyAlignment="1" applyProtection="1">
      <alignment horizontal="center" vertical="center"/>
      <protection locked="0"/>
    </xf>
    <xf numFmtId="0" fontId="4" fillId="0" borderId="99" xfId="17" applyBorder="1" applyAlignment="1" applyProtection="1">
      <alignment horizontal="center" vertical="center"/>
      <protection locked="0"/>
    </xf>
    <xf numFmtId="0" fontId="4" fillId="0" borderId="112" xfId="17" applyBorder="1" applyAlignment="1" applyProtection="1">
      <alignment horizontal="center" vertical="center"/>
      <protection locked="0"/>
    </xf>
    <xf numFmtId="0" fontId="4" fillId="0" borderId="107" xfId="17" applyBorder="1" applyAlignment="1" applyProtection="1">
      <alignment horizontal="center" vertical="center"/>
      <protection locked="0"/>
    </xf>
    <xf numFmtId="0" fontId="4" fillId="0" borderId="115" xfId="17" applyBorder="1" applyAlignment="1" applyProtection="1">
      <alignment horizontal="center" vertical="center"/>
      <protection locked="0"/>
    </xf>
    <xf numFmtId="0" fontId="4" fillId="0" borderId="106" xfId="17" applyBorder="1" applyAlignment="1" applyProtection="1">
      <alignment horizontal="center" vertical="center"/>
      <protection locked="0"/>
    </xf>
    <xf numFmtId="0" fontId="4" fillId="0" borderId="220" xfId="17" applyBorder="1" applyAlignment="1" applyProtection="1">
      <alignment horizontal="center" vertical="center"/>
      <protection locked="0"/>
    </xf>
    <xf numFmtId="0" fontId="4" fillId="0" borderId="104" xfId="17" applyBorder="1" applyAlignment="1" applyProtection="1">
      <alignment horizontal="center" vertical="center"/>
      <protection locked="0"/>
    </xf>
    <xf numFmtId="0" fontId="8" fillId="0" borderId="216" xfId="17" applyFont="1" applyBorder="1" applyAlignment="1" applyProtection="1">
      <alignment horizontal="center" vertical="center"/>
      <protection locked="0"/>
    </xf>
    <xf numFmtId="0" fontId="8" fillId="0" borderId="219" xfId="17" applyFont="1" applyBorder="1" applyAlignment="1" applyProtection="1">
      <alignment horizontal="center" vertical="center"/>
      <protection locked="0"/>
    </xf>
    <xf numFmtId="41" fontId="8" fillId="0" borderId="217" xfId="17" applyNumberFormat="1" applyFont="1" applyBorder="1" applyAlignment="1" applyProtection="1">
      <alignment horizontal="center" vertical="center"/>
      <protection locked="0"/>
    </xf>
    <xf numFmtId="0" fontId="8" fillId="0" borderId="218" xfId="17" applyFont="1" applyBorder="1" applyAlignment="1" applyProtection="1">
      <alignment horizontal="center" vertical="center"/>
      <protection locked="0"/>
    </xf>
    <xf numFmtId="0" fontId="4" fillId="0" borderId="113" xfId="17" applyBorder="1" applyAlignment="1" applyProtection="1">
      <alignment horizontal="center" vertical="center"/>
      <protection locked="0"/>
    </xf>
    <xf numFmtId="0" fontId="4" fillId="0" borderId="114" xfId="17" applyBorder="1" applyAlignment="1" applyProtection="1">
      <alignment horizontal="center" vertical="center"/>
      <protection locked="0"/>
    </xf>
    <xf numFmtId="41" fontId="8" fillId="0" borderId="218" xfId="17" applyNumberFormat="1" applyFont="1" applyBorder="1" applyAlignment="1" applyProtection="1">
      <alignment horizontal="center" vertical="center"/>
      <protection locked="0"/>
    </xf>
    <xf numFmtId="0" fontId="8" fillId="0" borderId="213" xfId="17" applyFont="1" applyBorder="1" applyAlignment="1" applyProtection="1">
      <alignment horizontal="center" vertical="center"/>
      <protection locked="0"/>
    </xf>
    <xf numFmtId="0" fontId="8" fillId="0" borderId="214" xfId="17" applyFont="1" applyBorder="1" applyAlignment="1" applyProtection="1">
      <alignment horizontal="center" vertical="center"/>
      <protection locked="0"/>
    </xf>
    <xf numFmtId="0" fontId="8" fillId="13" borderId="221" xfId="17" applyFont="1" applyFill="1" applyBorder="1" applyAlignment="1" applyProtection="1">
      <alignment horizontal="center" vertical="center"/>
      <protection locked="0"/>
    </xf>
    <xf numFmtId="0" fontId="8" fillId="13" borderId="223" xfId="17" applyFont="1" applyFill="1" applyBorder="1" applyAlignment="1" applyProtection="1">
      <alignment horizontal="center" vertical="center"/>
      <protection locked="0"/>
    </xf>
    <xf numFmtId="41" fontId="8" fillId="13" borderId="222" xfId="17" applyNumberFormat="1" applyFont="1" applyFill="1" applyBorder="1" applyAlignment="1" applyProtection="1">
      <alignment horizontal="center" vertical="center"/>
      <protection locked="0"/>
    </xf>
    <xf numFmtId="0" fontId="8" fillId="13" borderId="224" xfId="17" applyFont="1" applyFill="1" applyBorder="1" applyAlignment="1" applyProtection="1">
      <alignment horizontal="center" vertical="center"/>
      <protection locked="0"/>
    </xf>
    <xf numFmtId="41" fontId="11" fillId="0" borderId="147" xfId="1" applyFont="1" applyBorder="1" applyAlignment="1" applyProtection="1">
      <alignment horizontal="center" vertical="center"/>
      <protection locked="0"/>
    </xf>
    <xf numFmtId="41" fontId="11" fillId="0" borderId="119" xfId="1" applyFont="1" applyBorder="1" applyAlignment="1" applyProtection="1">
      <alignment horizontal="center" vertical="center"/>
      <protection locked="0"/>
    </xf>
    <xf numFmtId="177" fontId="12" fillId="2" borderId="42" xfId="0" applyNumberFormat="1" applyFont="1" applyFill="1" applyBorder="1" applyAlignment="1" applyProtection="1">
      <alignment horizontal="center" vertical="center"/>
      <protection locked="0"/>
    </xf>
    <xf numFmtId="177" fontId="12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85" xfId="0" applyFont="1" applyFill="1" applyBorder="1" applyAlignment="1" applyProtection="1">
      <alignment horizontal="center" vertical="center" wrapText="1"/>
      <protection locked="0"/>
    </xf>
    <xf numFmtId="0" fontId="12" fillId="2" borderId="59" xfId="0" applyFont="1" applyFill="1" applyBorder="1" applyAlignment="1" applyProtection="1">
      <alignment horizontal="center" vertical="center" wrapText="1"/>
      <protection locked="0"/>
    </xf>
    <xf numFmtId="0" fontId="29" fillId="5" borderId="98" xfId="0" applyFont="1" applyFill="1" applyBorder="1" applyAlignment="1" applyProtection="1">
      <alignment horizontal="center" vertical="center"/>
      <protection locked="0"/>
    </xf>
    <xf numFmtId="0" fontId="29" fillId="5" borderId="99" xfId="0" applyFont="1" applyFill="1" applyBorder="1" applyAlignment="1" applyProtection="1">
      <alignment horizontal="center" vertical="center"/>
      <protection locked="0"/>
    </xf>
    <xf numFmtId="41" fontId="11" fillId="0" borderId="102" xfId="1" applyFont="1" applyBorder="1" applyAlignment="1" applyProtection="1">
      <alignment horizontal="center" vertical="center"/>
      <protection locked="0"/>
    </xf>
    <xf numFmtId="0" fontId="29" fillId="0" borderId="108" xfId="0" applyFont="1" applyBorder="1" applyAlignment="1" applyProtection="1">
      <alignment horizontal="center" vertical="center"/>
      <protection locked="0"/>
    </xf>
    <xf numFmtId="177" fontId="12" fillId="2" borderId="72" xfId="0" applyNumberFormat="1" applyFont="1" applyFill="1" applyBorder="1" applyAlignment="1" applyProtection="1">
      <alignment horizontal="center" vertical="center"/>
      <protection locked="0"/>
    </xf>
    <xf numFmtId="177" fontId="12" fillId="2" borderId="83" xfId="0" applyNumberFormat="1" applyFont="1" applyFill="1" applyBorder="1" applyAlignment="1" applyProtection="1">
      <alignment horizontal="center" vertical="center"/>
      <protection locked="0"/>
    </xf>
    <xf numFmtId="177" fontId="12" fillId="2" borderId="73" xfId="0" applyNumberFormat="1" applyFont="1" applyFill="1" applyBorder="1" applyAlignment="1" applyProtection="1">
      <alignment horizontal="center" vertical="center"/>
      <protection locked="0"/>
    </xf>
    <xf numFmtId="0" fontId="29" fillId="5" borderId="82" xfId="0" applyFont="1" applyFill="1" applyBorder="1" applyAlignment="1" applyProtection="1">
      <alignment horizontal="center" vertical="center"/>
      <protection locked="0"/>
    </xf>
    <xf numFmtId="0" fontId="29" fillId="5" borderId="41" xfId="0" applyFont="1" applyFill="1" applyBorder="1" applyAlignment="1" applyProtection="1">
      <alignment horizontal="center" vertical="center"/>
      <protection locked="0"/>
    </xf>
    <xf numFmtId="0" fontId="29" fillId="5" borderId="70" xfId="0" applyFont="1" applyFill="1" applyBorder="1" applyAlignment="1" applyProtection="1">
      <alignment horizontal="center" vertical="center"/>
      <protection locked="0"/>
    </xf>
  </cellXfs>
  <cellStyles count="27">
    <cellStyle name="백분율" xfId="3" builtinId="5"/>
    <cellStyle name="쉼표 [0]" xfId="1" builtinId="6" customBuiltin="1"/>
    <cellStyle name="쉼표 [0] 2" xfId="7" xr:uid="{00000000-0005-0000-0000-000002000000}"/>
    <cellStyle name="쉼표 [0] 2 2" xfId="19" xr:uid="{88209CD2-4B50-4715-9652-F75F44E32830}"/>
    <cellStyle name="쉼표 [0] 3" xfId="8" xr:uid="{00000000-0005-0000-0000-000003000000}"/>
    <cellStyle name="쉼표 [0] 3 2" xfId="21" xr:uid="{550D4510-CC71-47AC-877D-55D14AACC790}"/>
    <cellStyle name="쉼표 [0] 3 3" xfId="23" xr:uid="{E4CB7E59-6705-46FC-9E45-0AF268635C9D}"/>
    <cellStyle name="쉼표 [0] 4" xfId="10" xr:uid="{00000000-0005-0000-0000-000004000000}"/>
    <cellStyle name="쉼표 [0] 4 2" xfId="26" xr:uid="{1664095C-0313-4CAD-8157-0257B0BAEF7F}"/>
    <cellStyle name="쉼표 [0] 5" xfId="12" xr:uid="{6EFB22B8-304C-42B2-9BC9-580F4DEF31B6}"/>
    <cellStyle name="쉼표 [0] 5 2" xfId="16" xr:uid="{5443DD91-5416-4CA6-919B-7EC50A464FF8}"/>
    <cellStyle name="쉼표 [0] 6" xfId="14" xr:uid="{67334D49-995D-43A9-B6B0-3F1F44DD0D4B}"/>
    <cellStyle name="쉼표 [0] 7" xfId="20" xr:uid="{D911CF60-AFD0-4FF0-BDBC-2595C21E96D3}"/>
    <cellStyle name="통화 [0]" xfId="2" builtinId="7"/>
    <cellStyle name="표준" xfId="0" builtinId="0"/>
    <cellStyle name="표준 2" xfId="4" xr:uid="{00000000-0005-0000-0000-000007000000}"/>
    <cellStyle name="표준 2 2" xfId="5" xr:uid="{00000000-0005-0000-0000-000008000000}"/>
    <cellStyle name="표준 2 3" xfId="17" xr:uid="{26C61300-2219-4988-BC38-A057857A1017}"/>
    <cellStyle name="표준 3" xfId="6" xr:uid="{00000000-0005-0000-0000-000009000000}"/>
    <cellStyle name="표준 3 2" xfId="18" xr:uid="{4CC5E049-2C25-4EBA-8E28-C3A745CF56F2}"/>
    <cellStyle name="표준 3 3" xfId="22" xr:uid="{DB3D8839-D5E7-43B8-8B7E-BF082C3F08C0}"/>
    <cellStyle name="표준 3 4" xfId="24" xr:uid="{F6FA9D3A-E6E0-42B1-B1A0-CD903D0ED854}"/>
    <cellStyle name="표준 4" xfId="9" xr:uid="{00000000-0005-0000-0000-00000A000000}"/>
    <cellStyle name="표준 4 2" xfId="25" xr:uid="{74B1FE52-B9AB-4AAC-B458-86665B1A6487}"/>
    <cellStyle name="표준 5" xfId="11" xr:uid="{442A0CDF-894E-4589-AEA6-BB0695C6F5FC}"/>
    <cellStyle name="표준 5 2" xfId="15" xr:uid="{E31FB424-61A1-45BB-B79D-713A7D9B9349}"/>
    <cellStyle name="표준 6" xfId="13" xr:uid="{FC0B3792-0E0D-42CF-813F-FE2772F6C06B}"/>
  </cellStyles>
  <dxfs count="0"/>
  <tableStyles count="0" defaultTableStyle="TableStyleMedium2" defaultPivotStyle="PivotStyleLight16"/>
  <colors>
    <mruColors>
      <color rgb="FF44546A"/>
      <color rgb="FFED8C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F84"/>
  <sheetViews>
    <sheetView showGridLines="0" tabSelected="1" zoomScale="60" zoomScaleNormal="60" zoomScaleSheetLayoutView="70" workbookViewId="0">
      <selection activeCell="AC9" sqref="AC9"/>
    </sheetView>
  </sheetViews>
  <sheetFormatPr defaultColWidth="9.140625" defaultRowHeight="13.5" x14ac:dyDescent="0.25"/>
  <cols>
    <col min="1" max="1" width="1.42578125" customWidth="1"/>
    <col min="2" max="2" width="2.42578125" customWidth="1"/>
    <col min="3" max="9" width="12.7109375" customWidth="1"/>
    <col min="10" max="10" width="2.7109375" customWidth="1"/>
    <col min="11" max="13" width="12.7109375" customWidth="1"/>
    <col min="14" max="16" width="8.7109375" customWidth="1"/>
    <col min="17" max="17" width="9.28515625" customWidth="1"/>
    <col min="18" max="20" width="9.7109375" customWidth="1"/>
    <col min="21" max="21" width="9.28515625" customWidth="1"/>
    <col min="22" max="22" width="9.7109375" customWidth="1"/>
    <col min="23" max="23" width="2.42578125" customWidth="1"/>
    <col min="24" max="24" width="2" customWidth="1"/>
  </cols>
  <sheetData>
    <row r="1" spans="2:27" ht="9" customHeight="1" thickBot="1" x14ac:dyDescent="0.3"/>
    <row r="2" spans="2:27" ht="15" customHeight="1" thickTop="1" thickBot="1" x14ac:dyDescent="0.3">
      <c r="B2" s="300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452"/>
      <c r="V2" s="452"/>
      <c r="W2" s="302"/>
    </row>
    <row r="3" spans="2:27" ht="48" customHeight="1" thickBot="1" x14ac:dyDescent="0.4">
      <c r="B3" s="303"/>
      <c r="C3" s="508" t="s">
        <v>505</v>
      </c>
      <c r="D3" s="509"/>
      <c r="E3" s="509"/>
      <c r="F3" s="509"/>
      <c r="G3" s="510"/>
      <c r="H3" s="626" t="s">
        <v>495</v>
      </c>
      <c r="I3" s="626"/>
      <c r="J3" s="511" t="s">
        <v>43</v>
      </c>
      <c r="K3" s="512"/>
      <c r="L3" s="512"/>
      <c r="M3" s="512"/>
      <c r="N3" s="643" t="str">
        <f>'0.기초및고정비'!C4</f>
        <v>2026년</v>
      </c>
      <c r="O3" s="643"/>
      <c r="P3" s="513">
        <v>4</v>
      </c>
      <c r="Q3" s="642">
        <v>26</v>
      </c>
      <c r="R3" s="642"/>
      <c r="S3" s="627" t="s">
        <v>120</v>
      </c>
      <c r="T3" s="627"/>
      <c r="U3" s="514" t="str">
        <f>'0.기초및고정비'!E4</f>
        <v>30</v>
      </c>
      <c r="V3" s="514"/>
      <c r="W3" s="304"/>
      <c r="Y3" s="754"/>
      <c r="Z3" s="754"/>
      <c r="AA3" s="754"/>
    </row>
    <row r="4" spans="2:27" ht="18" customHeight="1" thickBot="1" x14ac:dyDescent="0.3">
      <c r="B4" s="303"/>
      <c r="C4" s="466"/>
      <c r="D4" s="466"/>
      <c r="E4" s="467"/>
      <c r="F4" s="467"/>
      <c r="G4" s="468"/>
      <c r="H4" s="467"/>
      <c r="I4" s="469"/>
      <c r="J4" s="454"/>
      <c r="K4" s="454"/>
      <c r="L4" s="454"/>
      <c r="M4" s="454"/>
      <c r="N4" s="305"/>
      <c r="O4" s="305"/>
      <c r="P4" s="305"/>
      <c r="Q4" s="305"/>
      <c r="R4" s="305"/>
      <c r="S4" s="305"/>
      <c r="T4" s="305"/>
      <c r="U4" s="453"/>
      <c r="V4" s="453"/>
      <c r="W4" s="304"/>
      <c r="Y4" s="11"/>
    </row>
    <row r="5" spans="2:27" ht="26.25" customHeight="1" x14ac:dyDescent="0.25">
      <c r="B5" s="303"/>
      <c r="C5" s="628" t="s">
        <v>82</v>
      </c>
      <c r="D5" s="629"/>
      <c r="E5" s="630">
        <f>'0.기초및고정비'!G4</f>
        <v>0</v>
      </c>
      <c r="F5" s="631"/>
      <c r="G5" s="632" t="s">
        <v>46</v>
      </c>
      <c r="H5" s="634">
        <f>IFERROR(E6/E5,0)</f>
        <v>0</v>
      </c>
      <c r="I5" s="635"/>
      <c r="J5" s="470"/>
      <c r="K5" s="644" t="s">
        <v>130</v>
      </c>
      <c r="L5" s="645"/>
      <c r="M5" s="646"/>
      <c r="N5" s="650" t="s">
        <v>131</v>
      </c>
      <c r="O5" s="651"/>
      <c r="P5" s="652"/>
      <c r="Q5" s="653">
        <f>IFERROR(N6/F9,0)</f>
        <v>4.8522865013773973E-2</v>
      </c>
      <c r="R5" s="650" t="s">
        <v>132</v>
      </c>
      <c r="S5" s="651"/>
      <c r="T5" s="652"/>
      <c r="U5" s="762">
        <f>IFERROR(R6/H9,0)</f>
        <v>0.30043295665936642</v>
      </c>
      <c r="V5" s="763"/>
      <c r="W5" s="304"/>
    </row>
    <row r="6" spans="2:27" ht="27.75" customHeight="1" thickBot="1" x14ac:dyDescent="0.3">
      <c r="B6" s="303"/>
      <c r="C6" s="638" t="s">
        <v>78</v>
      </c>
      <c r="D6" s="639"/>
      <c r="E6" s="640">
        <f>H9</f>
        <v>82874500</v>
      </c>
      <c r="F6" s="641"/>
      <c r="G6" s="633"/>
      <c r="H6" s="636"/>
      <c r="I6" s="637"/>
      <c r="J6" s="470"/>
      <c r="K6" s="647"/>
      <c r="L6" s="648"/>
      <c r="M6" s="649"/>
      <c r="N6" s="655">
        <f>F9-N9</f>
        <v>117425.33333333302</v>
      </c>
      <c r="O6" s="656"/>
      <c r="P6" s="657"/>
      <c r="Q6" s="654"/>
      <c r="R6" s="655">
        <f>H9-R9</f>
        <v>24898231.066666663</v>
      </c>
      <c r="S6" s="656"/>
      <c r="T6" s="657"/>
      <c r="U6" s="764"/>
      <c r="V6" s="765"/>
      <c r="W6" s="304"/>
    </row>
    <row r="7" spans="2:27" ht="11.25" customHeight="1" thickBot="1" x14ac:dyDescent="0.3">
      <c r="B7" s="303"/>
      <c r="C7" s="483"/>
      <c r="D7" s="470"/>
      <c r="E7" s="470"/>
      <c r="F7" s="470"/>
      <c r="G7" s="470"/>
      <c r="H7" s="470"/>
      <c r="I7" s="484"/>
      <c r="J7" s="470"/>
      <c r="K7" s="483"/>
      <c r="L7" s="470"/>
      <c r="M7" s="470"/>
      <c r="N7" s="470"/>
      <c r="O7" s="470"/>
      <c r="P7" s="470"/>
      <c r="Q7" s="470"/>
      <c r="R7" s="470"/>
      <c r="S7" s="470"/>
      <c r="T7" s="470"/>
      <c r="U7" s="470"/>
      <c r="V7" s="489"/>
      <c r="W7" s="304"/>
    </row>
    <row r="8" spans="2:27" ht="25.5" customHeight="1" x14ac:dyDescent="0.25">
      <c r="B8" s="303"/>
      <c r="C8" s="658" t="s">
        <v>72</v>
      </c>
      <c r="D8" s="659"/>
      <c r="E8" s="660"/>
      <c r="F8" s="664" t="s">
        <v>23</v>
      </c>
      <c r="G8" s="665"/>
      <c r="H8" s="664" t="s">
        <v>103</v>
      </c>
      <c r="I8" s="668"/>
      <c r="J8" s="470"/>
      <c r="K8" s="658" t="s">
        <v>118</v>
      </c>
      <c r="L8" s="659"/>
      <c r="M8" s="660"/>
      <c r="N8" s="664" t="s">
        <v>23</v>
      </c>
      <c r="O8" s="717"/>
      <c r="P8" s="717"/>
      <c r="Q8" s="665"/>
      <c r="R8" s="664" t="s">
        <v>103</v>
      </c>
      <c r="S8" s="717"/>
      <c r="T8" s="717"/>
      <c r="U8" s="717"/>
      <c r="V8" s="490"/>
      <c r="W8" s="304"/>
    </row>
    <row r="9" spans="2:27" ht="24.75" customHeight="1" thickBot="1" x14ac:dyDescent="0.3">
      <c r="B9" s="303"/>
      <c r="C9" s="661"/>
      <c r="D9" s="662"/>
      <c r="E9" s="663"/>
      <c r="F9" s="669">
        <f>SUM(F10:G15)</f>
        <v>2420000</v>
      </c>
      <c r="G9" s="670"/>
      <c r="H9" s="671">
        <f>SUM(H10:I15)</f>
        <v>82874500</v>
      </c>
      <c r="I9" s="672"/>
      <c r="J9" s="470"/>
      <c r="K9" s="661"/>
      <c r="L9" s="662"/>
      <c r="M9" s="663"/>
      <c r="N9" s="669">
        <f>SUM(N10:P29)+O30+O48+SUM(N50:P71)</f>
        <v>2302574.666666667</v>
      </c>
      <c r="O9" s="759"/>
      <c r="P9" s="759"/>
      <c r="Q9" s="306">
        <f>IFERROR(N9/F9,0)</f>
        <v>0.95147713498622599</v>
      </c>
      <c r="R9" s="669">
        <f>SUM(R10:T29)+S30+S48+SUM(R50:T71)</f>
        <v>57976268.933333337</v>
      </c>
      <c r="S9" s="759"/>
      <c r="T9" s="759"/>
      <c r="U9" s="800">
        <f>IFERROR(R9/H9,0)</f>
        <v>0.69956704334063358</v>
      </c>
      <c r="V9" s="801"/>
      <c r="W9" s="304"/>
    </row>
    <row r="10" spans="2:27" ht="12.6" customHeight="1" x14ac:dyDescent="0.25">
      <c r="B10" s="303"/>
      <c r="C10" s="682" t="s">
        <v>79</v>
      </c>
      <c r="D10" s="673" t="s">
        <v>64</v>
      </c>
      <c r="E10" s="674"/>
      <c r="F10" s="679">
        <f>IFERROR(VLOOKUP($Q$3,'1.매출'!$A$5:$Y$35,5,0),0)</f>
        <v>2362000</v>
      </c>
      <c r="G10" s="680"/>
      <c r="H10" s="691">
        <f>'1.매출'!F36</f>
        <v>73220500</v>
      </c>
      <c r="I10" s="692"/>
      <c r="J10" s="470"/>
      <c r="K10" s="832" t="s">
        <v>173</v>
      </c>
      <c r="L10" s="584" t="s">
        <v>502</v>
      </c>
      <c r="M10" s="829" t="str">
        <f>'3.원,부재료'!C5</f>
        <v>청정</v>
      </c>
      <c r="N10" s="679">
        <f>IFERROR(VLOOKUP($Q$3,'3.원,부재료'!$A$7:$S$37,3,0),0)</f>
        <v>0</v>
      </c>
      <c r="O10" s="760"/>
      <c r="P10" s="761"/>
      <c r="Q10" s="790">
        <f>IFERROR(N10/$F$9,0)</f>
        <v>0</v>
      </c>
      <c r="R10" s="691">
        <f>'3.원,부재료'!C38</f>
        <v>5889634</v>
      </c>
      <c r="S10" s="791"/>
      <c r="T10" s="792"/>
      <c r="U10" s="766">
        <f>IFERROR(R10/$H$9,0)</f>
        <v>7.1066902364418483E-2</v>
      </c>
      <c r="V10" s="814">
        <f>SUM(U10:U23)</f>
        <v>0.29058436551653399</v>
      </c>
      <c r="W10" s="304"/>
    </row>
    <row r="11" spans="2:27" ht="12.6" customHeight="1" x14ac:dyDescent="0.25">
      <c r="B11" s="303"/>
      <c r="C11" s="612"/>
      <c r="D11" s="616"/>
      <c r="E11" s="617"/>
      <c r="F11" s="581"/>
      <c r="G11" s="681"/>
      <c r="H11" s="591"/>
      <c r="I11" s="686"/>
      <c r="J11" s="470"/>
      <c r="K11" s="833"/>
      <c r="L11" s="585"/>
      <c r="M11" s="830"/>
      <c r="N11" s="581"/>
      <c r="O11" s="582"/>
      <c r="P11" s="583"/>
      <c r="Q11" s="587"/>
      <c r="R11" s="591"/>
      <c r="S11" s="592"/>
      <c r="T11" s="593"/>
      <c r="U11" s="595"/>
      <c r="V11" s="794"/>
      <c r="W11" s="304"/>
    </row>
    <row r="12" spans="2:27" ht="12.6" customHeight="1" x14ac:dyDescent="0.25">
      <c r="B12" s="303"/>
      <c r="C12" s="612"/>
      <c r="D12" s="675" t="s">
        <v>491</v>
      </c>
      <c r="E12" s="676"/>
      <c r="F12" s="578">
        <f>IFERROR(VLOOKUP($Q$3,'1.매출'!$A$5:$Y$35,7,0),0)</f>
        <v>58000</v>
      </c>
      <c r="G12" s="684"/>
      <c r="H12" s="588">
        <f>'1.매출'!G36</f>
        <v>5568000</v>
      </c>
      <c r="I12" s="685"/>
      <c r="J12" s="470"/>
      <c r="K12" s="833"/>
      <c r="L12" s="796" t="s">
        <v>503</v>
      </c>
      <c r="M12" s="831" t="str">
        <f>'3.원,부재료'!D5</f>
        <v>오대양</v>
      </c>
      <c r="N12" s="578">
        <f>IFERROR(VLOOKUP($Q$3,'3.원,부재료'!$A$7:$S$37,4,0),0)</f>
        <v>1149300</v>
      </c>
      <c r="O12" s="579"/>
      <c r="P12" s="580"/>
      <c r="Q12" s="586">
        <f>IFERROR(N12/$F$9,0)</f>
        <v>0.47491735537190083</v>
      </c>
      <c r="R12" s="588">
        <f>'3.원,부재료'!D38</f>
        <v>14969150</v>
      </c>
      <c r="S12" s="589"/>
      <c r="T12" s="590"/>
      <c r="U12" s="594">
        <f>IFERROR(R12/$H$9,0)</f>
        <v>0.18062431749211155</v>
      </c>
      <c r="V12" s="794"/>
      <c r="W12" s="304"/>
    </row>
    <row r="13" spans="2:27" ht="12.6" customHeight="1" x14ac:dyDescent="0.25">
      <c r="B13" s="303"/>
      <c r="C13" s="612"/>
      <c r="D13" s="677"/>
      <c r="E13" s="678"/>
      <c r="F13" s="581"/>
      <c r="G13" s="681"/>
      <c r="H13" s="591"/>
      <c r="I13" s="686"/>
      <c r="J13" s="470"/>
      <c r="K13" s="833"/>
      <c r="L13" s="585"/>
      <c r="M13" s="830"/>
      <c r="N13" s="581"/>
      <c r="O13" s="582"/>
      <c r="P13" s="583"/>
      <c r="Q13" s="587"/>
      <c r="R13" s="591"/>
      <c r="S13" s="592"/>
      <c r="T13" s="593"/>
      <c r="U13" s="595"/>
      <c r="V13" s="794"/>
      <c r="W13" s="304"/>
    </row>
    <row r="14" spans="2:27" ht="12.6" customHeight="1" x14ac:dyDescent="0.25">
      <c r="B14" s="303"/>
      <c r="C14" s="612"/>
      <c r="D14" s="599" t="s">
        <v>504</v>
      </c>
      <c r="E14" s="600"/>
      <c r="F14" s="578">
        <f>IFERROR(VLOOKUP($Q$3,'1.매출'!$A$5:$Y$35,14,0),0)+IFERROR(VLOOKUP($Q$3,'1.매출'!$A$5:$Y$35,18,0),0)</f>
        <v>0</v>
      </c>
      <c r="G14" s="684"/>
      <c r="H14" s="588">
        <f>'1.매출'!N36+'1.매출'!R36</f>
        <v>4086000</v>
      </c>
      <c r="I14" s="685"/>
      <c r="J14" s="470"/>
      <c r="K14" s="833"/>
      <c r="L14" s="796" t="s">
        <v>191</v>
      </c>
      <c r="M14" s="666" t="s">
        <v>477</v>
      </c>
      <c r="N14" s="578">
        <f>IFERROR(VLOOKUP($Q$3,'3.원,부재료'!$A$7:$S$37,5,0),0)+IFERROR(VLOOKUP($Q$3,'3.원,부재료'!$A$7:$S$37,6,0),0)+IFERROR(VLOOKUP($Q$3,'3.원,부재료'!$A$7:$S$37,7,0),0)+IFERROR(VLOOKUP($Q$3,'3.원,부재료'!$A$7:$S$37,8,0),0)+IFERROR(VLOOKUP($Q$3,'3.원,부재료'!$A$7:$S$37,9,0),0)</f>
        <v>0</v>
      </c>
      <c r="O14" s="579"/>
      <c r="P14" s="580"/>
      <c r="Q14" s="586">
        <f>IFERROR(N14/$F$9,0)</f>
        <v>0</v>
      </c>
      <c r="R14" s="588">
        <f>'3.원,부재료'!E38+'3.원,부재료'!F38+'3.원,부재료'!G38+'3.원,부재료'!H38+'3.원,부재료'!I38</f>
        <v>2021700</v>
      </c>
      <c r="S14" s="589"/>
      <c r="T14" s="590"/>
      <c r="U14" s="594">
        <f>IFERROR(R14/$H$9,0)</f>
        <v>2.4394717313528286E-2</v>
      </c>
      <c r="V14" s="794"/>
      <c r="W14" s="304"/>
    </row>
    <row r="15" spans="2:27" ht="12.6" customHeight="1" x14ac:dyDescent="0.25">
      <c r="B15" s="303"/>
      <c r="C15" s="612"/>
      <c r="D15" s="616"/>
      <c r="E15" s="617"/>
      <c r="F15" s="581"/>
      <c r="G15" s="681"/>
      <c r="H15" s="591"/>
      <c r="I15" s="686"/>
      <c r="J15" s="470"/>
      <c r="K15" s="833"/>
      <c r="L15" s="585"/>
      <c r="M15" s="667"/>
      <c r="N15" s="581"/>
      <c r="O15" s="582"/>
      <c r="P15" s="583"/>
      <c r="Q15" s="587"/>
      <c r="R15" s="591"/>
      <c r="S15" s="592"/>
      <c r="T15" s="593"/>
      <c r="U15" s="595"/>
      <c r="V15" s="794"/>
      <c r="W15" s="304"/>
    </row>
    <row r="16" spans="2:27" ht="12.6" customHeight="1" x14ac:dyDescent="0.25">
      <c r="B16" s="303"/>
      <c r="C16" s="612"/>
      <c r="D16" s="599" t="s">
        <v>95</v>
      </c>
      <c r="E16" s="600"/>
      <c r="F16" s="578">
        <f>-IFERROR(VLOOKUP($Q$3,'1.매출'!$A$5:$Y$35,9,0),0)</f>
        <v>0</v>
      </c>
      <c r="G16" s="684"/>
      <c r="H16" s="588">
        <f>-'1.매출'!I36</f>
        <v>0</v>
      </c>
      <c r="I16" s="685"/>
      <c r="J16" s="470"/>
      <c r="K16" s="833"/>
      <c r="L16" s="574" t="s">
        <v>192</v>
      </c>
      <c r="M16" s="666">
        <f>'3.원,부재료'!O4</f>
        <v>0</v>
      </c>
      <c r="N16" s="578">
        <f>IFERROR(VLOOKUP($Q$3,'3.원,부재료'!$A$7:$S$37,15,0),0)</f>
        <v>0</v>
      </c>
      <c r="O16" s="579"/>
      <c r="P16" s="580"/>
      <c r="Q16" s="586">
        <f>IFERROR(N16/$F$9,0)</f>
        <v>0</v>
      </c>
      <c r="R16" s="588">
        <f>'3.원,부재료'!O38</f>
        <v>0</v>
      </c>
      <c r="S16" s="589"/>
      <c r="T16" s="590"/>
      <c r="U16" s="594">
        <f>IFERROR(R16/$H$9,0)</f>
        <v>0</v>
      </c>
      <c r="V16" s="794"/>
      <c r="W16" s="304"/>
    </row>
    <row r="17" spans="2:28" ht="12.6" customHeight="1" x14ac:dyDescent="0.25">
      <c r="B17" s="303"/>
      <c r="C17" s="612"/>
      <c r="D17" s="616"/>
      <c r="E17" s="617"/>
      <c r="F17" s="581"/>
      <c r="G17" s="681"/>
      <c r="H17" s="591"/>
      <c r="I17" s="686"/>
      <c r="J17" s="470"/>
      <c r="K17" s="833"/>
      <c r="L17" s="575"/>
      <c r="M17" s="667"/>
      <c r="N17" s="581"/>
      <c r="O17" s="582"/>
      <c r="P17" s="583"/>
      <c r="Q17" s="587"/>
      <c r="R17" s="591"/>
      <c r="S17" s="592"/>
      <c r="T17" s="593"/>
      <c r="U17" s="595"/>
      <c r="V17" s="794"/>
      <c r="W17" s="304"/>
    </row>
    <row r="18" spans="2:28" ht="12.6" customHeight="1" x14ac:dyDescent="0.25">
      <c r="B18" s="303"/>
      <c r="C18" s="612"/>
      <c r="D18" s="599" t="s">
        <v>40</v>
      </c>
      <c r="E18" s="600"/>
      <c r="F18" s="578">
        <f>-VLOOKUP($Q$3,'1.매출'!$A$5:$P$35,10,0)</f>
        <v>0</v>
      </c>
      <c r="G18" s="684"/>
      <c r="H18" s="588">
        <f>-'1.매출'!J36</f>
        <v>0</v>
      </c>
      <c r="I18" s="685"/>
      <c r="J18" s="470"/>
      <c r="K18" s="833"/>
      <c r="L18" s="576"/>
      <c r="M18" s="666">
        <f>'3.원,부재료'!P4</f>
        <v>0</v>
      </c>
      <c r="N18" s="578">
        <f>IFERROR(VLOOKUP($Q$3,'3.원,부재료'!$A$7:$S$37,16,0),0)</f>
        <v>0</v>
      </c>
      <c r="O18" s="579"/>
      <c r="P18" s="580"/>
      <c r="Q18" s="586">
        <f>IFERROR(N18/$F$9,0)</f>
        <v>0</v>
      </c>
      <c r="R18" s="588">
        <f>'3.원,부재료'!P38</f>
        <v>0</v>
      </c>
      <c r="S18" s="589"/>
      <c r="T18" s="590"/>
      <c r="U18" s="594">
        <f>IFERROR(R18/$H$9,0)</f>
        <v>0</v>
      </c>
      <c r="V18" s="794"/>
      <c r="W18" s="304"/>
    </row>
    <row r="19" spans="2:28" ht="12.6" customHeight="1" thickBot="1" x14ac:dyDescent="0.3">
      <c r="B19" s="303"/>
      <c r="C19" s="683"/>
      <c r="D19" s="687"/>
      <c r="E19" s="688"/>
      <c r="F19" s="689"/>
      <c r="G19" s="690"/>
      <c r="H19" s="693"/>
      <c r="I19" s="694"/>
      <c r="J19" s="470"/>
      <c r="K19" s="833"/>
      <c r="L19" s="577"/>
      <c r="M19" s="667"/>
      <c r="N19" s="581"/>
      <c r="O19" s="582"/>
      <c r="P19" s="583"/>
      <c r="Q19" s="587"/>
      <c r="R19" s="591"/>
      <c r="S19" s="592"/>
      <c r="T19" s="593"/>
      <c r="U19" s="595"/>
      <c r="V19" s="794"/>
      <c r="W19" s="304"/>
    </row>
    <row r="20" spans="2:28" ht="12.6" customHeight="1" thickBot="1" x14ac:dyDescent="0.3">
      <c r="B20" s="303"/>
      <c r="C20" s="483"/>
      <c r="D20" s="485"/>
      <c r="E20" s="485"/>
      <c r="F20" s="470"/>
      <c r="G20" s="470"/>
      <c r="H20" s="470"/>
      <c r="I20" s="484"/>
      <c r="J20" s="470"/>
      <c r="K20" s="833"/>
      <c r="L20" s="599" t="s">
        <v>194</v>
      </c>
      <c r="M20" s="600"/>
      <c r="N20" s="578">
        <f>IFERROR(VLOOKUP($Q$3,'3.원,부재료'!$A$7:$S$37,18,0),0)</f>
        <v>0</v>
      </c>
      <c r="O20" s="579"/>
      <c r="P20" s="580"/>
      <c r="Q20" s="586">
        <f>IFERROR(N20/$F$9,0)</f>
        <v>0</v>
      </c>
      <c r="R20" s="588">
        <f>'3.원,부재료'!R38</f>
        <v>858950</v>
      </c>
      <c r="S20" s="589"/>
      <c r="T20" s="590"/>
      <c r="U20" s="594">
        <f>IFERROR(R20/$H$9,0)</f>
        <v>1.0364466753947234E-2</v>
      </c>
      <c r="V20" s="794"/>
      <c r="W20" s="304"/>
    </row>
    <row r="21" spans="2:28" ht="12.6" customHeight="1" x14ac:dyDescent="0.25">
      <c r="B21" s="303"/>
      <c r="C21" s="695" t="s">
        <v>101</v>
      </c>
      <c r="D21" s="673" t="s">
        <v>14</v>
      </c>
      <c r="E21" s="674"/>
      <c r="F21" s="679">
        <f>VLOOKUP($Q$3,'1.매출'!$A$5:$Y$35,20,0)+VLOOKUP($Q$3,'1.매출'!$A$5:$Y$35,21,0)+VLOOKUP($Q$3,'1.매출'!$A$5:$Y$35,22,0)</f>
        <v>0</v>
      </c>
      <c r="G21" s="680"/>
      <c r="H21" s="691">
        <f>'1.매출'!T36+'1.매출'!U36+'1.매출'!V36</f>
        <v>0</v>
      </c>
      <c r="I21" s="692"/>
      <c r="J21" s="470"/>
      <c r="K21" s="833"/>
      <c r="L21" s="616"/>
      <c r="M21" s="617"/>
      <c r="N21" s="581"/>
      <c r="O21" s="582"/>
      <c r="P21" s="583"/>
      <c r="Q21" s="587"/>
      <c r="R21" s="591"/>
      <c r="S21" s="592"/>
      <c r="T21" s="593"/>
      <c r="U21" s="595"/>
      <c r="V21" s="794"/>
      <c r="W21" s="304"/>
    </row>
    <row r="22" spans="2:28" ht="12.6" customHeight="1" x14ac:dyDescent="0.25">
      <c r="B22" s="303"/>
      <c r="C22" s="597"/>
      <c r="D22" s="616"/>
      <c r="E22" s="617"/>
      <c r="F22" s="581"/>
      <c r="G22" s="681"/>
      <c r="H22" s="591"/>
      <c r="I22" s="686"/>
      <c r="J22" s="470"/>
      <c r="K22" s="833"/>
      <c r="L22" s="599" t="s">
        <v>203</v>
      </c>
      <c r="M22" s="600"/>
      <c r="N22" s="578">
        <f>IFERROR(VLOOKUP($Q$3,'3.원,부재료'!$A$7:$S$37,19,0),0)</f>
        <v>0</v>
      </c>
      <c r="O22" s="579"/>
      <c r="P22" s="580"/>
      <c r="Q22" s="586">
        <f>IFERROR(N22/$F$9,0)</f>
        <v>0</v>
      </c>
      <c r="R22" s="588">
        <f>'3.원,부재료'!S38</f>
        <v>342600</v>
      </c>
      <c r="S22" s="589"/>
      <c r="T22" s="590"/>
      <c r="U22" s="594">
        <f>IFERROR(R22/$H$9,0)</f>
        <v>4.1339615925284614E-3</v>
      </c>
      <c r="V22" s="794"/>
      <c r="W22" s="304"/>
    </row>
    <row r="23" spans="2:28" ht="12.6" customHeight="1" x14ac:dyDescent="0.25">
      <c r="B23" s="303"/>
      <c r="C23" s="597"/>
      <c r="D23" s="599" t="s">
        <v>39</v>
      </c>
      <c r="E23" s="600"/>
      <c r="F23" s="578">
        <f>VLOOKUP($Q$3,'1.매출'!$A$5:$Y$35,23,0)+VLOOKUP($Q$3,'1.매출'!$A$5:$Y$35,24,0)</f>
        <v>0</v>
      </c>
      <c r="G23" s="684"/>
      <c r="H23" s="588">
        <f>'1.매출'!W36+'1.매출'!X36</f>
        <v>0</v>
      </c>
      <c r="I23" s="685"/>
      <c r="J23" s="470"/>
      <c r="K23" s="834"/>
      <c r="L23" s="601"/>
      <c r="M23" s="602"/>
      <c r="N23" s="603"/>
      <c r="O23" s="604"/>
      <c r="P23" s="605"/>
      <c r="Q23" s="606"/>
      <c r="R23" s="607"/>
      <c r="S23" s="608"/>
      <c r="T23" s="609"/>
      <c r="U23" s="610"/>
      <c r="V23" s="795"/>
      <c r="W23" s="304"/>
      <c r="AB23" s="88"/>
    </row>
    <row r="24" spans="2:28" ht="12.6" customHeight="1" x14ac:dyDescent="0.25">
      <c r="B24" s="303"/>
      <c r="C24" s="597"/>
      <c r="D24" s="616"/>
      <c r="E24" s="617"/>
      <c r="F24" s="581"/>
      <c r="G24" s="681"/>
      <c r="H24" s="591"/>
      <c r="I24" s="686"/>
      <c r="J24" s="470"/>
      <c r="K24" s="611" t="s">
        <v>30</v>
      </c>
      <c r="L24" s="614" t="s">
        <v>39</v>
      </c>
      <c r="M24" s="615"/>
      <c r="N24" s="618">
        <f>IFERROR(VLOOKUP($Q$3,'3.원,부재료'!$A$7:$S$37,10,0),0)</f>
        <v>0</v>
      </c>
      <c r="O24" s="619"/>
      <c r="P24" s="620"/>
      <c r="Q24" s="621">
        <f>IFERROR(N24/$F$9,0)</f>
        <v>0</v>
      </c>
      <c r="R24" s="622">
        <f>'3.원,부재료'!J38</f>
        <v>4750210</v>
      </c>
      <c r="S24" s="623"/>
      <c r="T24" s="624"/>
      <c r="U24" s="625">
        <f>IFERROR(R24/$H$9,0)</f>
        <v>5.7318113533113321E-2</v>
      </c>
      <c r="V24" s="793">
        <f>SUM(U24:U29)</f>
        <v>6.160169895444316E-2</v>
      </c>
      <c r="W24" s="304"/>
    </row>
    <row r="25" spans="2:28" ht="12.6" customHeight="1" x14ac:dyDescent="0.25">
      <c r="B25" s="303"/>
      <c r="C25" s="597"/>
      <c r="D25" s="599" t="s">
        <v>19</v>
      </c>
      <c r="E25" s="600"/>
      <c r="F25" s="578">
        <f>IFERROR(VLOOKUP($Q$3,'1.매출'!$A$5:$Y$35,25,0),0)</f>
        <v>0</v>
      </c>
      <c r="G25" s="684"/>
      <c r="H25" s="588">
        <f>'1.매출'!Y36</f>
        <v>0</v>
      </c>
      <c r="I25" s="685"/>
      <c r="J25" s="470"/>
      <c r="K25" s="612"/>
      <c r="L25" s="616"/>
      <c r="M25" s="617"/>
      <c r="N25" s="581"/>
      <c r="O25" s="582"/>
      <c r="P25" s="583"/>
      <c r="Q25" s="587"/>
      <c r="R25" s="591"/>
      <c r="S25" s="592"/>
      <c r="T25" s="593"/>
      <c r="U25" s="595"/>
      <c r="V25" s="794"/>
      <c r="W25" s="304"/>
    </row>
    <row r="26" spans="2:28" ht="12.6" customHeight="1" thickBot="1" x14ac:dyDescent="0.3">
      <c r="B26" s="303"/>
      <c r="C26" s="598"/>
      <c r="D26" s="687"/>
      <c r="E26" s="688"/>
      <c r="F26" s="689"/>
      <c r="G26" s="690"/>
      <c r="H26" s="693"/>
      <c r="I26" s="694"/>
      <c r="J26" s="470"/>
      <c r="K26" s="612"/>
      <c r="L26" s="599" t="s">
        <v>35</v>
      </c>
      <c r="M26" s="600"/>
      <c r="N26" s="578">
        <f>IFERROR(VLOOKUP($Q$3,'3.원,부재료'!$A$7:$S$37,13,0),0)</f>
        <v>0</v>
      </c>
      <c r="O26" s="579"/>
      <c r="P26" s="580"/>
      <c r="Q26" s="586">
        <f>IFERROR(N26/$F$9,0)</f>
        <v>0</v>
      </c>
      <c r="R26" s="588">
        <f>'3.원,부재료'!M38</f>
        <v>355000</v>
      </c>
      <c r="S26" s="589"/>
      <c r="T26" s="590"/>
      <c r="U26" s="594">
        <f>IFERROR(R26/$H$9,0)</f>
        <v>4.283585421329842E-3</v>
      </c>
      <c r="V26" s="794"/>
      <c r="W26" s="304"/>
    </row>
    <row r="27" spans="2:28" ht="12.6" customHeight="1" thickBot="1" x14ac:dyDescent="0.3">
      <c r="B27" s="303"/>
      <c r="C27" s="486"/>
      <c r="D27" s="454"/>
      <c r="E27" s="454"/>
      <c r="F27" s="485"/>
      <c r="G27" s="485"/>
      <c r="H27" s="485"/>
      <c r="I27" s="487"/>
      <c r="J27" s="470"/>
      <c r="K27" s="612"/>
      <c r="L27" s="616"/>
      <c r="M27" s="617"/>
      <c r="N27" s="581"/>
      <c r="O27" s="582"/>
      <c r="P27" s="583"/>
      <c r="Q27" s="587"/>
      <c r="R27" s="591"/>
      <c r="S27" s="592"/>
      <c r="T27" s="593"/>
      <c r="U27" s="595"/>
      <c r="V27" s="794"/>
      <c r="W27" s="304"/>
      <c r="Z27" s="88"/>
    </row>
    <row r="28" spans="2:28" ht="12.6" customHeight="1" x14ac:dyDescent="0.25">
      <c r="B28" s="303"/>
      <c r="C28" s="682" t="s">
        <v>85</v>
      </c>
      <c r="D28" s="673" t="s">
        <v>62</v>
      </c>
      <c r="E28" s="674"/>
      <c r="F28" s="679">
        <f>VLOOKUP($Q$3,'1.매출'!$A$5:$Y$35,11,0)</f>
        <v>20</v>
      </c>
      <c r="G28" s="680"/>
      <c r="H28" s="691">
        <f>'1.매출'!K36</f>
        <v>643</v>
      </c>
      <c r="I28" s="692"/>
      <c r="J28" s="470"/>
      <c r="K28" s="612"/>
      <c r="L28" s="599" t="s">
        <v>483</v>
      </c>
      <c r="M28" s="600"/>
      <c r="N28" s="578">
        <f>IFERROR(VLOOKUP($Q$3,'3.원,부재료'!$A$7:$S$37,11,0),0)+IFERROR(VLOOKUP($Q$3,'3.원,부재료'!$A$7:$S$37,12,0),0)</f>
        <v>0</v>
      </c>
      <c r="O28" s="579"/>
      <c r="P28" s="580"/>
      <c r="Q28" s="586">
        <f>IFERROR(N28/$F$9,0)</f>
        <v>0</v>
      </c>
      <c r="R28" s="588">
        <f>'3.원,부재료'!K38+'3.원,부재료'!L38</f>
        <v>0</v>
      </c>
      <c r="S28" s="589"/>
      <c r="T28" s="590"/>
      <c r="U28" s="594">
        <f>IFERROR(R28/$H$9,0)</f>
        <v>0</v>
      </c>
      <c r="V28" s="794"/>
      <c r="W28" s="304"/>
    </row>
    <row r="29" spans="2:28" ht="12.6" customHeight="1" x14ac:dyDescent="0.25">
      <c r="B29" s="303"/>
      <c r="C29" s="612"/>
      <c r="D29" s="616"/>
      <c r="E29" s="617"/>
      <c r="F29" s="581"/>
      <c r="G29" s="681"/>
      <c r="H29" s="591"/>
      <c r="I29" s="686"/>
      <c r="J29" s="470"/>
      <c r="K29" s="613"/>
      <c r="L29" s="601"/>
      <c r="M29" s="602"/>
      <c r="N29" s="603"/>
      <c r="O29" s="604"/>
      <c r="P29" s="605"/>
      <c r="Q29" s="606"/>
      <c r="R29" s="607"/>
      <c r="S29" s="608"/>
      <c r="T29" s="609"/>
      <c r="U29" s="610"/>
      <c r="V29" s="795"/>
      <c r="W29" s="304"/>
    </row>
    <row r="30" spans="2:28" ht="12.6" customHeight="1" x14ac:dyDescent="0.25">
      <c r="B30" s="303"/>
      <c r="C30" s="612"/>
      <c r="D30" s="599" t="s">
        <v>32</v>
      </c>
      <c r="E30" s="600"/>
      <c r="F30" s="578">
        <f>IFERROR(VLOOKUP($Q$3,'1.매출'!$A$5:$Y$35,12,0),0)</f>
        <v>20</v>
      </c>
      <c r="G30" s="684"/>
      <c r="H30" s="588">
        <f>'1.매출'!L36</f>
        <v>613</v>
      </c>
      <c r="I30" s="685"/>
      <c r="J30" s="470"/>
      <c r="K30" s="703" t="s">
        <v>197</v>
      </c>
      <c r="L30" s="701" t="s">
        <v>460</v>
      </c>
      <c r="M30" s="802" t="s">
        <v>451</v>
      </c>
      <c r="N30" s="825">
        <f>IFERROR(HLOOKUP($Q$3,'2-2.근무표'!$F$50:$AK$59,2,0),0)</f>
        <v>4</v>
      </c>
      <c r="O30" s="827">
        <f>IFERROR(HLOOKUP($Q$3,'2-2.근무표'!$G$62:$AK$84,23,0),0)</f>
        <v>625076.33333333337</v>
      </c>
      <c r="P30" s="620"/>
      <c r="Q30" s="621">
        <f>IFERROR(O30/$F$9,0)</f>
        <v>0.25829600550964188</v>
      </c>
      <c r="R30" s="815">
        <f>COUNTA('2-1.직원현황'!C5:C14)</f>
        <v>3</v>
      </c>
      <c r="S30" s="818">
        <f>'2-2.근무표'!AL84</f>
        <v>14891984.666666672</v>
      </c>
      <c r="T30" s="819"/>
      <c r="U30" s="625">
        <f>IFERROR(S30/$H$9,0)</f>
        <v>0.17969320679662226</v>
      </c>
      <c r="V30" s="851">
        <f>SUM(U30:U49)</f>
        <v>0.25566953244564578</v>
      </c>
      <c r="W30" s="471"/>
    </row>
    <row r="31" spans="2:28" ht="12.6" customHeight="1" x14ac:dyDescent="0.25">
      <c r="B31" s="303"/>
      <c r="C31" s="612"/>
      <c r="D31" s="616"/>
      <c r="E31" s="617"/>
      <c r="F31" s="581"/>
      <c r="G31" s="681"/>
      <c r="H31" s="591"/>
      <c r="I31" s="686"/>
      <c r="J31" s="470"/>
      <c r="K31" s="704"/>
      <c r="L31" s="702"/>
      <c r="M31" s="803"/>
      <c r="N31" s="826"/>
      <c r="O31" s="698"/>
      <c r="P31" s="699"/>
      <c r="Q31" s="716"/>
      <c r="R31" s="816"/>
      <c r="S31" s="820"/>
      <c r="T31" s="821"/>
      <c r="U31" s="766"/>
      <c r="V31" s="852"/>
      <c r="W31" s="471"/>
    </row>
    <row r="32" spans="2:28" ht="12.6" customHeight="1" x14ac:dyDescent="0.25">
      <c r="B32" s="303"/>
      <c r="C32" s="612"/>
      <c r="D32" s="599" t="s">
        <v>102</v>
      </c>
      <c r="E32" s="600"/>
      <c r="F32" s="578">
        <f>IFERROR(F9/F28,0)</f>
        <v>121000</v>
      </c>
      <c r="G32" s="684"/>
      <c r="H32" s="588">
        <f>IFERROR(H9/H28,0)</f>
        <v>128887.24727838258</v>
      </c>
      <c r="I32" s="685"/>
      <c r="J32" s="472"/>
      <c r="K32" s="704"/>
      <c r="L32" s="702"/>
      <c r="M32" s="804" t="s">
        <v>452</v>
      </c>
      <c r="N32" s="826">
        <f>IFERROR(HLOOKUP($Q$3,'2-2.근무표'!$F$50:$AK$59,3,0),0)</f>
        <v>0</v>
      </c>
      <c r="O32" s="698"/>
      <c r="P32" s="699"/>
      <c r="Q32" s="716"/>
      <c r="R32" s="816"/>
      <c r="S32" s="820"/>
      <c r="T32" s="821"/>
      <c r="U32" s="766"/>
      <c r="V32" s="852"/>
      <c r="W32" s="471"/>
    </row>
    <row r="33" spans="2:23" ht="12.6" customHeight="1" thickBot="1" x14ac:dyDescent="0.3">
      <c r="B33" s="303"/>
      <c r="C33" s="683"/>
      <c r="D33" s="687"/>
      <c r="E33" s="688"/>
      <c r="F33" s="689"/>
      <c r="G33" s="690"/>
      <c r="H33" s="693"/>
      <c r="I33" s="694"/>
      <c r="J33" s="454"/>
      <c r="K33" s="704"/>
      <c r="L33" s="702"/>
      <c r="M33" s="803"/>
      <c r="N33" s="826"/>
      <c r="O33" s="698"/>
      <c r="P33" s="699"/>
      <c r="Q33" s="716"/>
      <c r="R33" s="816"/>
      <c r="S33" s="820"/>
      <c r="T33" s="821"/>
      <c r="U33" s="766"/>
      <c r="V33" s="852"/>
      <c r="W33" s="471"/>
    </row>
    <row r="34" spans="2:23" ht="12.6" customHeight="1" thickBot="1" x14ac:dyDescent="0.3">
      <c r="B34" s="303"/>
      <c r="C34" s="486"/>
      <c r="D34" s="454"/>
      <c r="E34" s="454"/>
      <c r="F34" s="454"/>
      <c r="G34" s="454"/>
      <c r="H34" s="454"/>
      <c r="I34" s="488"/>
      <c r="J34" s="454"/>
      <c r="K34" s="704"/>
      <c r="L34" s="702"/>
      <c r="M34" s="803" t="s">
        <v>453</v>
      </c>
      <c r="N34" s="826">
        <f>IFERROR(HLOOKUP($Q$3,'2-2.근무표'!$F$50:$AK$59,4,0),0)</f>
        <v>1</v>
      </c>
      <c r="O34" s="698"/>
      <c r="P34" s="699"/>
      <c r="Q34" s="716"/>
      <c r="R34" s="816"/>
      <c r="S34" s="820"/>
      <c r="T34" s="821"/>
      <c r="U34" s="766"/>
      <c r="V34" s="852"/>
      <c r="W34" s="304"/>
    </row>
    <row r="35" spans="2:23" ht="12.6" customHeight="1" x14ac:dyDescent="0.25">
      <c r="B35" s="303"/>
      <c r="C35" s="682" t="s">
        <v>61</v>
      </c>
      <c r="D35" s="746">
        <f>IFERROR(VLOOKUP($Q$3,'6.마감사항'!$A$6:$I$36,2,0),0)</f>
        <v>0</v>
      </c>
      <c r="E35" s="747"/>
      <c r="F35" s="747"/>
      <c r="G35" s="747"/>
      <c r="H35" s="747"/>
      <c r="I35" s="748"/>
      <c r="J35" s="454"/>
      <c r="K35" s="704"/>
      <c r="L35" s="702"/>
      <c r="M35" s="803"/>
      <c r="N35" s="826"/>
      <c r="O35" s="698"/>
      <c r="P35" s="699"/>
      <c r="Q35" s="716"/>
      <c r="R35" s="816"/>
      <c r="S35" s="820"/>
      <c r="T35" s="821"/>
      <c r="U35" s="766"/>
      <c r="V35" s="852"/>
      <c r="W35" s="304"/>
    </row>
    <row r="36" spans="2:23" ht="12.6" customHeight="1" x14ac:dyDescent="0.25">
      <c r="B36" s="303"/>
      <c r="C36" s="612"/>
      <c r="D36" s="749"/>
      <c r="E36" s="750"/>
      <c r="F36" s="750"/>
      <c r="G36" s="750"/>
      <c r="H36" s="750"/>
      <c r="I36" s="751"/>
      <c r="J36" s="454"/>
      <c r="K36" s="704"/>
      <c r="L36" s="702"/>
      <c r="M36" s="803" t="s">
        <v>454</v>
      </c>
      <c r="N36" s="826">
        <f>IFERROR(HLOOKUP($Q$3,'2-2.근무표'!$F$50:$AK$59,5,0),0)</f>
        <v>0</v>
      </c>
      <c r="O36" s="698"/>
      <c r="P36" s="699"/>
      <c r="Q36" s="716"/>
      <c r="R36" s="816"/>
      <c r="S36" s="820"/>
      <c r="T36" s="821"/>
      <c r="U36" s="766"/>
      <c r="V36" s="852"/>
      <c r="W36" s="304"/>
    </row>
    <row r="37" spans="2:23" ht="12.6" customHeight="1" x14ac:dyDescent="0.25">
      <c r="B37" s="303"/>
      <c r="C37" s="612"/>
      <c r="D37" s="752" t="s">
        <v>42</v>
      </c>
      <c r="E37" s="752" t="s">
        <v>31</v>
      </c>
      <c r="F37" s="752" t="s">
        <v>20</v>
      </c>
      <c r="G37" s="752" t="s">
        <v>44</v>
      </c>
      <c r="H37" s="752" t="s">
        <v>33</v>
      </c>
      <c r="I37" s="744" t="s">
        <v>93</v>
      </c>
      <c r="J37" s="454"/>
      <c r="K37" s="704"/>
      <c r="L37" s="702"/>
      <c r="M37" s="803"/>
      <c r="N37" s="826"/>
      <c r="O37" s="698"/>
      <c r="P37" s="699"/>
      <c r="Q37" s="716"/>
      <c r="R37" s="816"/>
      <c r="S37" s="820"/>
      <c r="T37" s="821"/>
      <c r="U37" s="766"/>
      <c r="V37" s="852"/>
      <c r="W37" s="304"/>
    </row>
    <row r="38" spans="2:23" ht="12.6" customHeight="1" x14ac:dyDescent="0.25">
      <c r="B38" s="303"/>
      <c r="C38" s="612"/>
      <c r="D38" s="753"/>
      <c r="E38" s="753"/>
      <c r="F38" s="753"/>
      <c r="G38" s="753"/>
      <c r="H38" s="753"/>
      <c r="I38" s="745"/>
      <c r="J38" s="454"/>
      <c r="K38" s="704"/>
      <c r="L38" s="702"/>
      <c r="M38" s="803" t="s">
        <v>455</v>
      </c>
      <c r="N38" s="826">
        <f>IFERROR(HLOOKUP($Q$3,'2-2.근무표'!$F$50:$AK$59,6,0),0)</f>
        <v>0</v>
      </c>
      <c r="O38" s="698"/>
      <c r="P38" s="699"/>
      <c r="Q38" s="716"/>
      <c r="R38" s="816"/>
      <c r="S38" s="820"/>
      <c r="T38" s="821"/>
      <c r="U38" s="766"/>
      <c r="V38" s="852"/>
      <c r="W38" s="304"/>
    </row>
    <row r="39" spans="2:23" ht="12.6" customHeight="1" x14ac:dyDescent="0.25">
      <c r="B39" s="303"/>
      <c r="C39" s="612"/>
      <c r="D39" s="729">
        <f>VLOOKUP($Q$3,'6.마감사항'!$A$6:$S$36,3,0)</f>
        <v>0</v>
      </c>
      <c r="E39" s="729">
        <f>VLOOKUP($Q$3,'6.마감사항'!$A$6:$S$36,4,0)</f>
        <v>0</v>
      </c>
      <c r="F39" s="729">
        <f>VLOOKUP($Q$3,'6.마감사항'!$A$6:$S$36,5,0)</f>
        <v>0</v>
      </c>
      <c r="G39" s="729">
        <f>VLOOKUP($Q$3,'6.마감사항'!$A$6:$S$36,6,0)</f>
        <v>0</v>
      </c>
      <c r="H39" s="729">
        <f>VLOOKUP($Q$3,'6.마감사항'!$A$6:$S$36,7,0)</f>
        <v>0</v>
      </c>
      <c r="I39" s="731">
        <f>VLOOKUP($Q$3,'6.마감사항'!$A$6:$S$36,8,0)+VLOOKUP($Q$3,'6.마감사항'!$A$6:$S$36,9,0)</f>
        <v>0</v>
      </c>
      <c r="J39" s="454"/>
      <c r="K39" s="704"/>
      <c r="L39" s="702"/>
      <c r="M39" s="803"/>
      <c r="N39" s="826"/>
      <c r="O39" s="698"/>
      <c r="P39" s="699"/>
      <c r="Q39" s="716"/>
      <c r="R39" s="816"/>
      <c r="S39" s="820"/>
      <c r="T39" s="821"/>
      <c r="U39" s="766"/>
      <c r="V39" s="852"/>
      <c r="W39" s="304"/>
    </row>
    <row r="40" spans="2:23" ht="12.6" customHeight="1" thickBot="1" x14ac:dyDescent="0.3">
      <c r="B40" s="303"/>
      <c r="C40" s="683"/>
      <c r="D40" s="730"/>
      <c r="E40" s="730"/>
      <c r="F40" s="730"/>
      <c r="G40" s="730"/>
      <c r="H40" s="730"/>
      <c r="I40" s="732"/>
      <c r="J40" s="454"/>
      <c r="K40" s="704"/>
      <c r="L40" s="702"/>
      <c r="M40" s="805" t="s">
        <v>456</v>
      </c>
      <c r="N40" s="826">
        <f>IFERROR(HLOOKUP($Q$3,'2-2.근무표'!$F$50:$AK$59,7,0),0)</f>
        <v>0</v>
      </c>
      <c r="O40" s="698"/>
      <c r="P40" s="699"/>
      <c r="Q40" s="716"/>
      <c r="R40" s="816"/>
      <c r="S40" s="820"/>
      <c r="T40" s="821"/>
      <c r="U40" s="766"/>
      <c r="V40" s="852"/>
      <c r="W40" s="304"/>
    </row>
    <row r="41" spans="2:23" ht="12.6" customHeight="1" x14ac:dyDescent="0.25">
      <c r="B41" s="303"/>
      <c r="C41" s="486"/>
      <c r="D41" s="454"/>
      <c r="E41" s="454"/>
      <c r="F41" s="454"/>
      <c r="G41" s="454"/>
      <c r="H41" s="454"/>
      <c r="I41" s="488"/>
      <c r="J41" s="454"/>
      <c r="K41" s="704"/>
      <c r="L41" s="702"/>
      <c r="M41" s="805"/>
      <c r="N41" s="826"/>
      <c r="O41" s="698"/>
      <c r="P41" s="699"/>
      <c r="Q41" s="716"/>
      <c r="R41" s="816"/>
      <c r="S41" s="820"/>
      <c r="T41" s="821"/>
      <c r="U41" s="766"/>
      <c r="V41" s="852"/>
      <c r="W41" s="304"/>
    </row>
    <row r="42" spans="2:23" ht="12.6" customHeight="1" x14ac:dyDescent="0.25">
      <c r="B42" s="303"/>
      <c r="C42" s="740" t="s">
        <v>96</v>
      </c>
      <c r="D42" s="741"/>
      <c r="E42" s="454"/>
      <c r="F42" s="454"/>
      <c r="G42" s="454"/>
      <c r="H42" s="454"/>
      <c r="I42" s="488"/>
      <c r="J42" s="454"/>
      <c r="K42" s="704"/>
      <c r="L42" s="702"/>
      <c r="M42" s="803" t="s">
        <v>457</v>
      </c>
      <c r="N42" s="826">
        <f>IFERROR(HLOOKUP($Q$3,'2-2.근무표'!$F$50:$AK$59,8,0),0)</f>
        <v>0</v>
      </c>
      <c r="O42" s="698"/>
      <c r="P42" s="699"/>
      <c r="Q42" s="716"/>
      <c r="R42" s="816"/>
      <c r="S42" s="820"/>
      <c r="T42" s="821"/>
      <c r="U42" s="766"/>
      <c r="V42" s="852"/>
      <c r="W42" s="304"/>
    </row>
    <row r="43" spans="2:23" ht="12.6" customHeight="1" thickBot="1" x14ac:dyDescent="0.3">
      <c r="B43" s="303"/>
      <c r="C43" s="742"/>
      <c r="D43" s="743"/>
      <c r="E43" s="454"/>
      <c r="F43" s="454"/>
      <c r="G43" s="454"/>
      <c r="H43" s="454"/>
      <c r="I43" s="488"/>
      <c r="J43" s="454"/>
      <c r="K43" s="704"/>
      <c r="L43" s="702"/>
      <c r="M43" s="803"/>
      <c r="N43" s="826"/>
      <c r="O43" s="698"/>
      <c r="P43" s="699"/>
      <c r="Q43" s="716"/>
      <c r="R43" s="816"/>
      <c r="S43" s="820"/>
      <c r="T43" s="821"/>
      <c r="U43" s="766"/>
      <c r="V43" s="852"/>
      <c r="W43" s="304"/>
    </row>
    <row r="44" spans="2:23" ht="12.6" customHeight="1" x14ac:dyDescent="0.25">
      <c r="B44" s="303"/>
      <c r="C44" s="696" t="s">
        <v>38</v>
      </c>
      <c r="D44" s="845" t="s">
        <v>17</v>
      </c>
      <c r="E44" s="846"/>
      <c r="F44" s="845" t="s">
        <v>77</v>
      </c>
      <c r="G44" s="846"/>
      <c r="H44" s="845" t="s">
        <v>45</v>
      </c>
      <c r="I44" s="849"/>
      <c r="J44" s="454"/>
      <c r="K44" s="704"/>
      <c r="L44" s="702"/>
      <c r="M44" s="803" t="s">
        <v>458</v>
      </c>
      <c r="N44" s="826">
        <f>IFERROR(HLOOKUP($Q$3,'2-2.근무표'!$F$50:$AK$59,9,0),0)</f>
        <v>0</v>
      </c>
      <c r="O44" s="698"/>
      <c r="P44" s="699"/>
      <c r="Q44" s="716"/>
      <c r="R44" s="816"/>
      <c r="S44" s="820"/>
      <c r="T44" s="821"/>
      <c r="U44" s="766"/>
      <c r="V44" s="852"/>
      <c r="W44" s="304"/>
    </row>
    <row r="45" spans="2:23" ht="12.6" customHeight="1" thickBot="1" x14ac:dyDescent="0.3">
      <c r="B45" s="303"/>
      <c r="C45" s="697"/>
      <c r="D45" s="847"/>
      <c r="E45" s="848"/>
      <c r="F45" s="847"/>
      <c r="G45" s="848"/>
      <c r="H45" s="847"/>
      <c r="I45" s="850"/>
      <c r="J45" s="454"/>
      <c r="K45" s="704"/>
      <c r="L45" s="702"/>
      <c r="M45" s="803"/>
      <c r="N45" s="826"/>
      <c r="O45" s="698"/>
      <c r="P45" s="699"/>
      <c r="Q45" s="716"/>
      <c r="R45" s="816"/>
      <c r="S45" s="820"/>
      <c r="T45" s="821"/>
      <c r="U45" s="766"/>
      <c r="V45" s="852"/>
      <c r="W45" s="304"/>
    </row>
    <row r="46" spans="2:23" ht="12.6" customHeight="1" x14ac:dyDescent="0.25">
      <c r="B46" s="303"/>
      <c r="C46" s="696" t="s">
        <v>21</v>
      </c>
      <c r="D46" s="734">
        <f>VLOOKUP($Q$3,'6.마감사항'!$A$6:$S$36,11,0)</f>
        <v>0</v>
      </c>
      <c r="E46" s="735"/>
      <c r="F46" s="734">
        <f>VLOOKUP($Q$3,'6.마감사항'!$A$6:$S$36,14,0)</f>
        <v>0</v>
      </c>
      <c r="G46" s="735"/>
      <c r="H46" s="734">
        <f>VLOOKUP($Q$3,'6.마감사항'!$A$6:$S$36,17,0)</f>
        <v>0</v>
      </c>
      <c r="I46" s="738"/>
      <c r="J46" s="454"/>
      <c r="K46" s="704"/>
      <c r="L46" s="702"/>
      <c r="M46" s="803" t="s">
        <v>459</v>
      </c>
      <c r="N46" s="826">
        <f>IFERROR(HLOOKUP($Q$3,'2-2.근무표'!$F$50:$AK$59,10,0),0)</f>
        <v>0</v>
      </c>
      <c r="O46" s="698"/>
      <c r="P46" s="699"/>
      <c r="Q46" s="716"/>
      <c r="R46" s="816"/>
      <c r="S46" s="820"/>
      <c r="T46" s="821"/>
      <c r="U46" s="766"/>
      <c r="V46" s="852"/>
      <c r="W46" s="304"/>
    </row>
    <row r="47" spans="2:23" ht="12.6" customHeight="1" x14ac:dyDescent="0.25">
      <c r="B47" s="303"/>
      <c r="C47" s="719"/>
      <c r="D47" s="722"/>
      <c r="E47" s="723"/>
      <c r="F47" s="722"/>
      <c r="G47" s="723"/>
      <c r="H47" s="722"/>
      <c r="I47" s="727"/>
      <c r="J47" s="454"/>
      <c r="K47" s="704"/>
      <c r="L47" s="702"/>
      <c r="M47" s="803"/>
      <c r="N47" s="826"/>
      <c r="O47" s="828"/>
      <c r="P47" s="583"/>
      <c r="Q47" s="587"/>
      <c r="R47" s="817"/>
      <c r="S47" s="822"/>
      <c r="T47" s="823"/>
      <c r="U47" s="595"/>
      <c r="V47" s="852"/>
      <c r="W47" s="304"/>
    </row>
    <row r="48" spans="2:23" ht="12.6" customHeight="1" x14ac:dyDescent="0.25">
      <c r="B48" s="303"/>
      <c r="C48" s="719"/>
      <c r="D48" s="722"/>
      <c r="E48" s="723"/>
      <c r="F48" s="722"/>
      <c r="G48" s="723"/>
      <c r="H48" s="722"/>
      <c r="I48" s="727"/>
      <c r="J48" s="454"/>
      <c r="K48" s="704"/>
      <c r="L48" s="599" t="s">
        <v>91</v>
      </c>
      <c r="M48" s="600"/>
      <c r="N48" s="755">
        <f>IFERROR(HLOOKUP($Q$3,'2-2.근무표'!$G$29:$AK$46,18,0),0)</f>
        <v>2</v>
      </c>
      <c r="O48" s="698">
        <f>IFERROR(HLOOKUP($Q$3,'2-2.근무표'!$G$87:$AK$104,18,0),0)</f>
        <v>330000</v>
      </c>
      <c r="P48" s="699"/>
      <c r="Q48" s="716">
        <f>IFERROR(O48/$F$9,0)</f>
        <v>0.13636363636363635</v>
      </c>
      <c r="R48" s="757">
        <f>COUNTA('2-1.직원현황'!C31:C45)</f>
        <v>6</v>
      </c>
      <c r="S48" s="785">
        <f>'2-2.근무표'!AL104</f>
        <v>6296500</v>
      </c>
      <c r="T48" s="786"/>
      <c r="U48" s="766">
        <f>IFERROR(S48/$H$9,0)</f>
        <v>7.5976325649023527E-2</v>
      </c>
      <c r="V48" s="852"/>
      <c r="W48" s="304"/>
    </row>
    <row r="49" spans="2:23" ht="12.6" customHeight="1" x14ac:dyDescent="0.25">
      <c r="B49" s="303"/>
      <c r="C49" s="719"/>
      <c r="D49" s="722"/>
      <c r="E49" s="723"/>
      <c r="F49" s="722"/>
      <c r="G49" s="723"/>
      <c r="H49" s="722"/>
      <c r="I49" s="727"/>
      <c r="J49" s="454"/>
      <c r="K49" s="704"/>
      <c r="L49" s="601"/>
      <c r="M49" s="602"/>
      <c r="N49" s="756"/>
      <c r="O49" s="700"/>
      <c r="P49" s="605"/>
      <c r="Q49" s="606"/>
      <c r="R49" s="758"/>
      <c r="S49" s="787"/>
      <c r="T49" s="609"/>
      <c r="U49" s="610"/>
      <c r="V49" s="853"/>
      <c r="W49" s="304"/>
    </row>
    <row r="50" spans="2:23" ht="12.6" customHeight="1" x14ac:dyDescent="0.25">
      <c r="B50" s="303"/>
      <c r="C50" s="719"/>
      <c r="D50" s="722"/>
      <c r="E50" s="723"/>
      <c r="F50" s="722"/>
      <c r="G50" s="723"/>
      <c r="H50" s="722"/>
      <c r="I50" s="727"/>
      <c r="J50" s="454"/>
      <c r="K50" s="705" t="s">
        <v>171</v>
      </c>
      <c r="L50" s="781" t="s">
        <v>80</v>
      </c>
      <c r="M50" s="782"/>
      <c r="N50" s="767">
        <f>IFERROR((VLOOKUP($Q$3,'5.법카,시재지출'!$A$6:$J$223,2,0)),0)</f>
        <v>0</v>
      </c>
      <c r="O50" s="768"/>
      <c r="P50" s="769"/>
      <c r="Q50" s="788">
        <f>IFERROR(N50/$F$9,0)</f>
        <v>0</v>
      </c>
      <c r="R50" s="773">
        <f>'5.법카,시재지출'!B223</f>
        <v>0</v>
      </c>
      <c r="S50" s="774"/>
      <c r="T50" s="775"/>
      <c r="U50" s="779">
        <f>IFERROR(R50/$H$9,0)</f>
        <v>0</v>
      </c>
      <c r="V50" s="797">
        <f>SUM(U50:U55)</f>
        <v>1.2567798297425626E-2</v>
      </c>
      <c r="W50" s="304"/>
    </row>
    <row r="51" spans="2:23" ht="12.6" customHeight="1" x14ac:dyDescent="0.25">
      <c r="B51" s="303"/>
      <c r="C51" s="719"/>
      <c r="D51" s="722"/>
      <c r="E51" s="723"/>
      <c r="F51" s="722"/>
      <c r="G51" s="723"/>
      <c r="H51" s="722"/>
      <c r="I51" s="727"/>
      <c r="J51" s="454"/>
      <c r="K51" s="706"/>
      <c r="L51" s="783"/>
      <c r="M51" s="784"/>
      <c r="N51" s="770"/>
      <c r="O51" s="771"/>
      <c r="P51" s="772"/>
      <c r="Q51" s="789"/>
      <c r="R51" s="776"/>
      <c r="S51" s="777"/>
      <c r="T51" s="778"/>
      <c r="U51" s="780"/>
      <c r="V51" s="798"/>
      <c r="W51" s="304"/>
    </row>
    <row r="52" spans="2:23" ht="12.6" customHeight="1" x14ac:dyDescent="0.25">
      <c r="B52" s="303"/>
      <c r="C52" s="719"/>
      <c r="D52" s="722"/>
      <c r="E52" s="723"/>
      <c r="F52" s="722"/>
      <c r="G52" s="723"/>
      <c r="H52" s="722"/>
      <c r="I52" s="727"/>
      <c r="J52" s="454"/>
      <c r="K52" s="706"/>
      <c r="L52" s="783" t="s">
        <v>470</v>
      </c>
      <c r="M52" s="784"/>
      <c r="N52" s="770">
        <f>IFERROR((VLOOKUP($Q$3,'5.법카,시재지출'!$A$6:$J$223,3,0)),0)+IFERROR((VLOOKUP($Q$3,'5.법카,시재지출'!$A$6:$J$223,6,0)),0)</f>
        <v>0</v>
      </c>
      <c r="O52" s="771"/>
      <c r="P52" s="772"/>
      <c r="Q52" s="789">
        <f>IFERROR(N52/$F$9,0)</f>
        <v>0</v>
      </c>
      <c r="R52" s="776">
        <f>'5.법카,시재지출'!C223+'5.법카,시재지출'!F223</f>
        <v>1034250</v>
      </c>
      <c r="S52" s="777"/>
      <c r="T52" s="778"/>
      <c r="U52" s="780">
        <f>IFERROR(R52/$H$9,0)</f>
        <v>1.2479713301437717E-2</v>
      </c>
      <c r="V52" s="798"/>
      <c r="W52" s="304"/>
    </row>
    <row r="53" spans="2:23" ht="12.6" customHeight="1" x14ac:dyDescent="0.25">
      <c r="B53" s="303"/>
      <c r="C53" s="719"/>
      <c r="D53" s="722"/>
      <c r="E53" s="723"/>
      <c r="F53" s="722"/>
      <c r="G53" s="723"/>
      <c r="H53" s="722"/>
      <c r="I53" s="727"/>
      <c r="J53" s="454"/>
      <c r="K53" s="706"/>
      <c r="L53" s="783"/>
      <c r="M53" s="784"/>
      <c r="N53" s="770"/>
      <c r="O53" s="771"/>
      <c r="P53" s="772"/>
      <c r="Q53" s="789"/>
      <c r="R53" s="776"/>
      <c r="S53" s="777"/>
      <c r="T53" s="778"/>
      <c r="U53" s="780"/>
      <c r="V53" s="798"/>
      <c r="W53" s="304"/>
    </row>
    <row r="54" spans="2:23" ht="12.6" customHeight="1" x14ac:dyDescent="0.25">
      <c r="B54" s="303"/>
      <c r="C54" s="719"/>
      <c r="D54" s="722"/>
      <c r="E54" s="723"/>
      <c r="F54" s="722"/>
      <c r="G54" s="723"/>
      <c r="H54" s="722"/>
      <c r="I54" s="727"/>
      <c r="J54" s="454"/>
      <c r="K54" s="706"/>
      <c r="L54" s="783" t="s">
        <v>471</v>
      </c>
      <c r="M54" s="784"/>
      <c r="N54" s="770">
        <f>IFERROR((VLOOKUP($Q$3,'5.법카,시재지출'!$A$6:$J$223,4,0)),0)</f>
        <v>0</v>
      </c>
      <c r="O54" s="771"/>
      <c r="P54" s="772"/>
      <c r="Q54" s="789">
        <f>IFERROR(N54/$F$9,0)</f>
        <v>0</v>
      </c>
      <c r="R54" s="776">
        <f>'5.법카,시재지출'!D223</f>
        <v>7300</v>
      </c>
      <c r="S54" s="777"/>
      <c r="T54" s="778"/>
      <c r="U54" s="780">
        <f>IFERROR(R54/$H$9,0)</f>
        <v>8.8084995987909435E-5</v>
      </c>
      <c r="V54" s="798"/>
      <c r="W54" s="304"/>
    </row>
    <row r="55" spans="2:23" ht="12.6" customHeight="1" x14ac:dyDescent="0.25">
      <c r="B55" s="303"/>
      <c r="C55" s="719"/>
      <c r="D55" s="722"/>
      <c r="E55" s="723"/>
      <c r="F55" s="722"/>
      <c r="G55" s="723"/>
      <c r="H55" s="722"/>
      <c r="I55" s="727"/>
      <c r="J55" s="454"/>
      <c r="K55" s="707"/>
      <c r="L55" s="835"/>
      <c r="M55" s="836"/>
      <c r="N55" s="837"/>
      <c r="O55" s="838"/>
      <c r="P55" s="839"/>
      <c r="Q55" s="840"/>
      <c r="R55" s="841"/>
      <c r="S55" s="842"/>
      <c r="T55" s="843"/>
      <c r="U55" s="844"/>
      <c r="V55" s="824"/>
      <c r="W55" s="304"/>
    </row>
    <row r="56" spans="2:23" ht="12.6" customHeight="1" x14ac:dyDescent="0.25">
      <c r="B56" s="303"/>
      <c r="C56" s="719"/>
      <c r="D56" s="722"/>
      <c r="E56" s="723"/>
      <c r="F56" s="722"/>
      <c r="G56" s="723"/>
      <c r="H56" s="722"/>
      <c r="I56" s="727"/>
      <c r="J56" s="454"/>
      <c r="K56" s="705" t="s">
        <v>198</v>
      </c>
      <c r="L56" s="614" t="s">
        <v>172</v>
      </c>
      <c r="M56" s="615"/>
      <c r="N56" s="618">
        <f>IFERROR((VLOOKUP($Q$3,※계좌이체!$A$6:$E$191,3,0)),0)</f>
        <v>0</v>
      </c>
      <c r="O56" s="619"/>
      <c r="P56" s="620"/>
      <c r="Q56" s="621">
        <f>IFERROR(N56/$F$9,0)</f>
        <v>0</v>
      </c>
      <c r="R56" s="622">
        <f>※계좌이체!C192</f>
        <v>0</v>
      </c>
      <c r="S56" s="623"/>
      <c r="T56" s="624"/>
      <c r="U56" s="625">
        <f>IFERROR(R56/$H$9,0)</f>
        <v>0</v>
      </c>
      <c r="V56" s="797">
        <f>SUM(U31:U57)</f>
        <v>8.8544123946449144E-2</v>
      </c>
      <c r="W56" s="304"/>
    </row>
    <row r="57" spans="2:23" ht="12.6" customHeight="1" x14ac:dyDescent="0.25">
      <c r="B57" s="303"/>
      <c r="C57" s="719"/>
      <c r="D57" s="722"/>
      <c r="E57" s="723"/>
      <c r="F57" s="722"/>
      <c r="G57" s="723"/>
      <c r="H57" s="722"/>
      <c r="I57" s="727"/>
      <c r="J57" s="454"/>
      <c r="K57" s="706"/>
      <c r="L57" s="616"/>
      <c r="M57" s="617"/>
      <c r="N57" s="581"/>
      <c r="O57" s="582"/>
      <c r="P57" s="583"/>
      <c r="Q57" s="587"/>
      <c r="R57" s="591"/>
      <c r="S57" s="592"/>
      <c r="T57" s="593"/>
      <c r="U57" s="595"/>
      <c r="V57" s="798"/>
      <c r="W57" s="304"/>
    </row>
    <row r="58" spans="2:23" ht="12.6" customHeight="1" x14ac:dyDescent="0.25">
      <c r="B58" s="303"/>
      <c r="C58" s="733"/>
      <c r="D58" s="736"/>
      <c r="E58" s="737"/>
      <c r="F58" s="736"/>
      <c r="G58" s="737"/>
      <c r="H58" s="736"/>
      <c r="I58" s="739"/>
      <c r="J58" s="454"/>
      <c r="K58" s="706"/>
      <c r="L58" s="599" t="s">
        <v>474</v>
      </c>
      <c r="M58" s="600"/>
      <c r="N58" s="578">
        <f>IFERROR((VLOOKUP($Q$3,※계좌이체!$A$6:$E$191,4,0)),0)</f>
        <v>0</v>
      </c>
      <c r="O58" s="579"/>
      <c r="P58" s="580"/>
      <c r="Q58" s="586">
        <f>IFERROR(N58/$F$9,0)</f>
        <v>0</v>
      </c>
      <c r="R58" s="588">
        <f>※계좌이체!D192</f>
        <v>0</v>
      </c>
      <c r="S58" s="589"/>
      <c r="T58" s="590"/>
      <c r="U58" s="594">
        <f>IFERROR(R58/$H$9,0)</f>
        <v>0</v>
      </c>
      <c r="V58" s="798"/>
      <c r="W58" s="304"/>
    </row>
    <row r="59" spans="2:23" ht="12.6" customHeight="1" x14ac:dyDescent="0.25">
      <c r="B59" s="303"/>
      <c r="C59" s="718" t="s">
        <v>18</v>
      </c>
      <c r="D59" s="720">
        <f>VLOOKUP($Q$3,'6.마감사항'!$A$6:$S$36,12,0)</f>
        <v>0</v>
      </c>
      <c r="E59" s="721"/>
      <c r="F59" s="720">
        <f>VLOOKUP($Q$3,'6.마감사항'!$A$6:$S$36,15,0)</f>
        <v>0</v>
      </c>
      <c r="G59" s="721"/>
      <c r="H59" s="720">
        <f>VLOOKUP($Q$3,'6.마감사항'!$A$6:$S$36,18,0)</f>
        <v>0</v>
      </c>
      <c r="I59" s="726"/>
      <c r="J59" s="454"/>
      <c r="K59" s="706"/>
      <c r="L59" s="616"/>
      <c r="M59" s="617"/>
      <c r="N59" s="581"/>
      <c r="O59" s="582"/>
      <c r="P59" s="583"/>
      <c r="Q59" s="587"/>
      <c r="R59" s="591"/>
      <c r="S59" s="592"/>
      <c r="T59" s="593"/>
      <c r="U59" s="595"/>
      <c r="V59" s="798"/>
      <c r="W59" s="304"/>
    </row>
    <row r="60" spans="2:23" ht="12.6" customHeight="1" x14ac:dyDescent="0.25">
      <c r="B60" s="303"/>
      <c r="C60" s="719"/>
      <c r="D60" s="722"/>
      <c r="E60" s="723"/>
      <c r="F60" s="722"/>
      <c r="G60" s="723"/>
      <c r="H60" s="722"/>
      <c r="I60" s="727"/>
      <c r="J60" s="454"/>
      <c r="K60" s="706"/>
      <c r="L60" s="712" t="s">
        <v>473</v>
      </c>
      <c r="M60" s="713"/>
      <c r="N60" s="714">
        <f>IFERROR((VLOOKUP($Q$3,※계좌이체!$A$6:$E$191,5,0)),0)</f>
        <v>0</v>
      </c>
      <c r="O60" s="715"/>
      <c r="P60" s="699"/>
      <c r="Q60" s="716">
        <f>IFERROR(N60/$F$9,0)</f>
        <v>0</v>
      </c>
      <c r="R60" s="812">
        <f>※계좌이체!E192</f>
        <v>0</v>
      </c>
      <c r="S60" s="813"/>
      <c r="T60" s="786"/>
      <c r="U60" s="766">
        <f>IFERROR(R60/$H$9,0)</f>
        <v>0</v>
      </c>
      <c r="V60" s="798"/>
      <c r="W60" s="304"/>
    </row>
    <row r="61" spans="2:23" ht="12.6" customHeight="1" x14ac:dyDescent="0.25">
      <c r="B61" s="303"/>
      <c r="C61" s="719"/>
      <c r="D61" s="722"/>
      <c r="E61" s="723"/>
      <c r="F61" s="722"/>
      <c r="G61" s="723"/>
      <c r="H61" s="722"/>
      <c r="I61" s="727"/>
      <c r="J61" s="454"/>
      <c r="K61" s="707"/>
      <c r="L61" s="601"/>
      <c r="M61" s="602"/>
      <c r="N61" s="603"/>
      <c r="O61" s="604"/>
      <c r="P61" s="605"/>
      <c r="Q61" s="606"/>
      <c r="R61" s="607"/>
      <c r="S61" s="608"/>
      <c r="T61" s="609"/>
      <c r="U61" s="610"/>
      <c r="V61" s="824"/>
      <c r="W61" s="304"/>
    </row>
    <row r="62" spans="2:23" ht="12.6" customHeight="1" x14ac:dyDescent="0.25">
      <c r="B62" s="303"/>
      <c r="C62" s="719"/>
      <c r="D62" s="722"/>
      <c r="E62" s="723"/>
      <c r="F62" s="722"/>
      <c r="G62" s="723"/>
      <c r="H62" s="722"/>
      <c r="I62" s="727"/>
      <c r="J62" s="454"/>
      <c r="K62" s="596" t="s">
        <v>199</v>
      </c>
      <c r="L62" s="614" t="s">
        <v>29</v>
      </c>
      <c r="M62" s="615"/>
      <c r="N62" s="618">
        <f>'0.기초및고정비'!E9/'0.기초및고정비'!E4</f>
        <v>83333.333333333328</v>
      </c>
      <c r="O62" s="619"/>
      <c r="P62" s="620"/>
      <c r="Q62" s="621">
        <f>IFERROR(N62/$F$9,0)</f>
        <v>3.4435261707988982E-2</v>
      </c>
      <c r="R62" s="622">
        <f>'0.기초및고정비'!E9/'0.기초및고정비'!E4*★보고서!Q3</f>
        <v>2166666.6666666665</v>
      </c>
      <c r="S62" s="623"/>
      <c r="T62" s="624"/>
      <c r="U62" s="625">
        <f>IFERROR(R62/$H$9,0)</f>
        <v>2.614394858088636E-2</v>
      </c>
      <c r="V62" s="797">
        <f>SUM(U62:U71)</f>
        <v>7.9143648126584976E-2</v>
      </c>
      <c r="W62" s="304"/>
    </row>
    <row r="63" spans="2:23" ht="12.6" customHeight="1" x14ac:dyDescent="0.25">
      <c r="B63" s="303"/>
      <c r="C63" s="719"/>
      <c r="D63" s="722"/>
      <c r="E63" s="723"/>
      <c r="F63" s="722"/>
      <c r="G63" s="723"/>
      <c r="H63" s="722"/>
      <c r="I63" s="727"/>
      <c r="J63" s="454"/>
      <c r="K63" s="597"/>
      <c r="L63" s="616"/>
      <c r="M63" s="617"/>
      <c r="N63" s="581"/>
      <c r="O63" s="582"/>
      <c r="P63" s="583"/>
      <c r="Q63" s="587"/>
      <c r="R63" s="591"/>
      <c r="S63" s="592"/>
      <c r="T63" s="593"/>
      <c r="U63" s="595"/>
      <c r="V63" s="798"/>
      <c r="W63" s="304"/>
    </row>
    <row r="64" spans="2:23" ht="12.6" customHeight="1" x14ac:dyDescent="0.25">
      <c r="B64" s="303"/>
      <c r="C64" s="719"/>
      <c r="D64" s="722"/>
      <c r="E64" s="723"/>
      <c r="F64" s="722"/>
      <c r="G64" s="723"/>
      <c r="H64" s="722"/>
      <c r="I64" s="727"/>
      <c r="J64" s="454"/>
      <c r="K64" s="597"/>
      <c r="L64" s="599" t="s">
        <v>202</v>
      </c>
      <c r="M64" s="600"/>
      <c r="N64" s="578">
        <f>SUM('0.기초및고정비'!E10:E15)/'0.기초및고정비'!E4</f>
        <v>99333.333333333328</v>
      </c>
      <c r="O64" s="579"/>
      <c r="P64" s="580"/>
      <c r="Q64" s="586">
        <f>IFERROR(N64/$F$9,0)</f>
        <v>4.1046831955922861E-2</v>
      </c>
      <c r="R64" s="588">
        <f>SUM('0.기초및고정비'!E10:E15)/'0.기초및고정비'!E4*★보고서!Q3</f>
        <v>2582666.6666666665</v>
      </c>
      <c r="S64" s="589"/>
      <c r="T64" s="590"/>
      <c r="U64" s="594">
        <f>IFERROR(R64/$H$9,0)</f>
        <v>3.1163586708416541E-2</v>
      </c>
      <c r="V64" s="798"/>
      <c r="W64" s="304"/>
    </row>
    <row r="65" spans="2:32" ht="12.6" customHeight="1" x14ac:dyDescent="0.25">
      <c r="B65" s="303"/>
      <c r="C65" s="719"/>
      <c r="D65" s="722"/>
      <c r="E65" s="723"/>
      <c r="F65" s="722"/>
      <c r="G65" s="723"/>
      <c r="H65" s="722"/>
      <c r="I65" s="727"/>
      <c r="J65" s="454"/>
      <c r="K65" s="597"/>
      <c r="L65" s="616"/>
      <c r="M65" s="617"/>
      <c r="N65" s="581"/>
      <c r="O65" s="582"/>
      <c r="P65" s="583"/>
      <c r="Q65" s="587"/>
      <c r="R65" s="591"/>
      <c r="S65" s="592"/>
      <c r="T65" s="593"/>
      <c r="U65" s="595"/>
      <c r="V65" s="798"/>
      <c r="W65" s="304"/>
    </row>
    <row r="66" spans="2:32" ht="12.6" customHeight="1" x14ac:dyDescent="0.25">
      <c r="B66" s="303"/>
      <c r="C66" s="719"/>
      <c r="D66" s="722"/>
      <c r="E66" s="723"/>
      <c r="F66" s="722"/>
      <c r="G66" s="723"/>
      <c r="H66" s="722"/>
      <c r="I66" s="727"/>
      <c r="J66" s="454"/>
      <c r="K66" s="597"/>
      <c r="L66" s="708" t="s">
        <v>253</v>
      </c>
      <c r="M66" s="709"/>
      <c r="N66" s="578">
        <f>'0.기초및고정비'!E34/'0.기초및고정비'!E4</f>
        <v>15531.666666666666</v>
      </c>
      <c r="O66" s="579"/>
      <c r="P66" s="580"/>
      <c r="Q66" s="586">
        <f>IFERROR(N66/$F$9,0)</f>
        <v>6.4180440771349863E-3</v>
      </c>
      <c r="R66" s="588">
        <f>'0.기초및고정비'!E34/'0.기초및고정비'!E4*★보고서!Q3</f>
        <v>403823.33333333331</v>
      </c>
      <c r="S66" s="589"/>
      <c r="T66" s="590"/>
      <c r="U66" s="594">
        <f>IFERROR(R66/$H$9,0)</f>
        <v>4.8727091365055996E-3</v>
      </c>
      <c r="V66" s="798"/>
      <c r="W66" s="304"/>
    </row>
    <row r="67" spans="2:32" ht="12.6" customHeight="1" x14ac:dyDescent="0.25">
      <c r="B67" s="303"/>
      <c r="C67" s="719"/>
      <c r="D67" s="722"/>
      <c r="E67" s="723"/>
      <c r="F67" s="722"/>
      <c r="G67" s="723"/>
      <c r="H67" s="722"/>
      <c r="I67" s="727"/>
      <c r="J67" s="454"/>
      <c r="K67" s="597"/>
      <c r="L67" s="710"/>
      <c r="M67" s="711"/>
      <c r="N67" s="581"/>
      <c r="O67" s="582"/>
      <c r="P67" s="583"/>
      <c r="Q67" s="587"/>
      <c r="R67" s="591"/>
      <c r="S67" s="592"/>
      <c r="T67" s="593"/>
      <c r="U67" s="595"/>
      <c r="V67" s="798"/>
      <c r="W67" s="304"/>
      <c r="AF67" s="88"/>
    </row>
    <row r="68" spans="2:32" ht="12.6" customHeight="1" x14ac:dyDescent="0.25">
      <c r="B68" s="303"/>
      <c r="C68" s="719"/>
      <c r="D68" s="722"/>
      <c r="E68" s="723"/>
      <c r="F68" s="722"/>
      <c r="G68" s="723"/>
      <c r="H68" s="722"/>
      <c r="I68" s="727"/>
      <c r="J68" s="454"/>
      <c r="K68" s="597"/>
      <c r="L68" s="599" t="s">
        <v>200</v>
      </c>
      <c r="M68" s="600"/>
      <c r="N68" s="578">
        <f>'0.기초및고정비'!E16/'0.기초및고정비'!E4</f>
        <v>0</v>
      </c>
      <c r="O68" s="579"/>
      <c r="P68" s="580"/>
      <c r="Q68" s="586">
        <f>IFERROR(N68/$F$9,0)</f>
        <v>0</v>
      </c>
      <c r="R68" s="588">
        <f>'0.기초및고정비'!E16/'0.기초및고정비'!E4*Q3</f>
        <v>0</v>
      </c>
      <c r="S68" s="589"/>
      <c r="T68" s="590"/>
      <c r="U68" s="594">
        <f>IFERROR(R68/$H$9,0)</f>
        <v>0</v>
      </c>
      <c r="V68" s="798"/>
      <c r="W68" s="304"/>
    </row>
    <row r="69" spans="2:32" ht="12.6" customHeight="1" x14ac:dyDescent="0.25">
      <c r="B69" s="303"/>
      <c r="C69" s="719"/>
      <c r="D69" s="722"/>
      <c r="E69" s="723"/>
      <c r="F69" s="722"/>
      <c r="G69" s="723"/>
      <c r="H69" s="722"/>
      <c r="I69" s="727"/>
      <c r="J69" s="454"/>
      <c r="K69" s="597"/>
      <c r="L69" s="616"/>
      <c r="M69" s="617"/>
      <c r="N69" s="581"/>
      <c r="O69" s="582"/>
      <c r="P69" s="583"/>
      <c r="Q69" s="587"/>
      <c r="R69" s="591"/>
      <c r="S69" s="592"/>
      <c r="T69" s="593"/>
      <c r="U69" s="595"/>
      <c r="V69" s="798"/>
      <c r="W69" s="304"/>
    </row>
    <row r="70" spans="2:32" ht="12.6" customHeight="1" x14ac:dyDescent="0.25">
      <c r="B70" s="303"/>
      <c r="C70" s="719"/>
      <c r="D70" s="722"/>
      <c r="E70" s="723"/>
      <c r="F70" s="722"/>
      <c r="G70" s="723"/>
      <c r="H70" s="722"/>
      <c r="I70" s="727"/>
      <c r="J70" s="454"/>
      <c r="K70" s="597"/>
      <c r="L70" s="599" t="s">
        <v>196</v>
      </c>
      <c r="M70" s="600"/>
      <c r="N70" s="578">
        <f>IFERROR((VLOOKUP($Q$3,'1.매출'!$A$5:$AG$35,29,0)),0)+IFERROR((VLOOKUP($Q$3,'1.매출'!$A$5:$AG$35,30,0)),0)</f>
        <v>0</v>
      </c>
      <c r="O70" s="579"/>
      <c r="P70" s="580"/>
      <c r="Q70" s="586">
        <f>IFERROR(N70/$F$9,0)</f>
        <v>0</v>
      </c>
      <c r="R70" s="588">
        <f>'1.매출'!AF36+'1.매출'!AG36</f>
        <v>1405833.5999999999</v>
      </c>
      <c r="S70" s="589"/>
      <c r="T70" s="590"/>
      <c r="U70" s="594">
        <f>IFERROR(R70/$H$9,0)</f>
        <v>1.6963403700776473E-2</v>
      </c>
      <c r="V70" s="798"/>
      <c r="W70" s="304"/>
    </row>
    <row r="71" spans="2:32" ht="12.6" customHeight="1" thickBot="1" x14ac:dyDescent="0.3">
      <c r="B71" s="303"/>
      <c r="C71" s="697"/>
      <c r="D71" s="724"/>
      <c r="E71" s="725"/>
      <c r="F71" s="724"/>
      <c r="G71" s="725"/>
      <c r="H71" s="724"/>
      <c r="I71" s="728"/>
      <c r="J71" s="454"/>
      <c r="K71" s="598"/>
      <c r="L71" s="687"/>
      <c r="M71" s="688"/>
      <c r="N71" s="689"/>
      <c r="O71" s="806"/>
      <c r="P71" s="807"/>
      <c r="Q71" s="808"/>
      <c r="R71" s="693"/>
      <c r="S71" s="809"/>
      <c r="T71" s="810"/>
      <c r="U71" s="811"/>
      <c r="V71" s="799"/>
      <c r="W71" s="304"/>
    </row>
    <row r="72" spans="2:32" ht="12.6" customHeight="1" x14ac:dyDescent="0.25">
      <c r="B72" s="303"/>
      <c r="J72" s="454"/>
      <c r="W72" s="304"/>
    </row>
    <row r="73" spans="2:32" ht="12.6" customHeight="1" x14ac:dyDescent="0.25">
      <c r="B73" s="303"/>
      <c r="J73" s="454"/>
      <c r="K73" s="474" t="s">
        <v>201</v>
      </c>
      <c r="L73" s="474"/>
      <c r="M73" s="474"/>
      <c r="N73" s="474"/>
      <c r="O73" s="474"/>
      <c r="P73" s="474" t="s">
        <v>241</v>
      </c>
      <c r="Q73" s="474"/>
      <c r="R73" s="474"/>
      <c r="S73" s="474"/>
      <c r="T73" s="474"/>
      <c r="U73" s="474"/>
      <c r="W73" s="304"/>
    </row>
    <row r="74" spans="2:32" ht="15" customHeight="1" thickBot="1" x14ac:dyDescent="0.3">
      <c r="B74" s="307"/>
      <c r="C74" s="308"/>
      <c r="D74" s="308"/>
      <c r="E74" s="308"/>
      <c r="F74" s="308"/>
      <c r="G74" s="308"/>
      <c r="H74" s="308"/>
      <c r="I74" s="308"/>
      <c r="J74" s="308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10"/>
    </row>
    <row r="75" spans="2:32" ht="9" customHeight="1" thickTop="1" x14ac:dyDescent="0.25"/>
    <row r="78" spans="2:32" ht="13.5" customHeight="1" x14ac:dyDescent="0.25"/>
    <row r="84" spans="27:27" x14ac:dyDescent="0.25">
      <c r="AA84" s="473"/>
    </row>
  </sheetData>
  <protectedRanges>
    <protectedRange sqref="Q3:R3" name="날짜변경"/>
    <protectedRange sqref="C3" name="브랜드명_2"/>
    <protectedRange sqref="H3:I3" name="지점명_2"/>
  </protectedRanges>
  <mergeCells count="244">
    <mergeCell ref="V56:V61"/>
    <mergeCell ref="L54:M55"/>
    <mergeCell ref="N54:P55"/>
    <mergeCell ref="Q54:Q55"/>
    <mergeCell ref="R54:T55"/>
    <mergeCell ref="U54:U55"/>
    <mergeCell ref="D44:E45"/>
    <mergeCell ref="F44:G45"/>
    <mergeCell ref="H44:I45"/>
    <mergeCell ref="L52:M53"/>
    <mergeCell ref="N52:P53"/>
    <mergeCell ref="V30:V49"/>
    <mergeCell ref="H30:I31"/>
    <mergeCell ref="D32:E33"/>
    <mergeCell ref="F32:G33"/>
    <mergeCell ref="H32:I33"/>
    <mergeCell ref="N40:N41"/>
    <mergeCell ref="N42:N43"/>
    <mergeCell ref="N44:N45"/>
    <mergeCell ref="N46:N47"/>
    <mergeCell ref="H37:H38"/>
    <mergeCell ref="D30:E31"/>
    <mergeCell ref="F30:G31"/>
    <mergeCell ref="U58:U59"/>
    <mergeCell ref="U22:U23"/>
    <mergeCell ref="V10:V23"/>
    <mergeCell ref="Q52:Q53"/>
    <mergeCell ref="R52:T53"/>
    <mergeCell ref="U52:U53"/>
    <mergeCell ref="K50:K55"/>
    <mergeCell ref="R30:R47"/>
    <mergeCell ref="S30:T47"/>
    <mergeCell ref="V50:V55"/>
    <mergeCell ref="Q18:Q19"/>
    <mergeCell ref="R18:T19"/>
    <mergeCell ref="R22:T23"/>
    <mergeCell ref="N30:N31"/>
    <mergeCell ref="O30:P47"/>
    <mergeCell ref="N32:N33"/>
    <mergeCell ref="N34:N35"/>
    <mergeCell ref="N36:N37"/>
    <mergeCell ref="N38:N39"/>
    <mergeCell ref="L14:L15"/>
    <mergeCell ref="M10:M11"/>
    <mergeCell ref="M12:M13"/>
    <mergeCell ref="M14:M15"/>
    <mergeCell ref="K10:K23"/>
    <mergeCell ref="M16:M17"/>
    <mergeCell ref="V62:V71"/>
    <mergeCell ref="U9:V9"/>
    <mergeCell ref="M30:M31"/>
    <mergeCell ref="M32:M33"/>
    <mergeCell ref="M34:M35"/>
    <mergeCell ref="M46:M47"/>
    <mergeCell ref="M42:M43"/>
    <mergeCell ref="M44:M45"/>
    <mergeCell ref="M36:M37"/>
    <mergeCell ref="M38:M39"/>
    <mergeCell ref="M40:M41"/>
    <mergeCell ref="L70:M71"/>
    <mergeCell ref="N70:P71"/>
    <mergeCell ref="Q70:Q71"/>
    <mergeCell ref="R70:T71"/>
    <mergeCell ref="U70:U71"/>
    <mergeCell ref="N16:P17"/>
    <mergeCell ref="Q16:Q17"/>
    <mergeCell ref="R16:T17"/>
    <mergeCell ref="U16:U17"/>
    <mergeCell ref="N18:P19"/>
    <mergeCell ref="Q24:Q25"/>
    <mergeCell ref="R60:T61"/>
    <mergeCell ref="U60:U61"/>
    <mergeCell ref="U5:V6"/>
    <mergeCell ref="U48:U49"/>
    <mergeCell ref="N50:P51"/>
    <mergeCell ref="R50:T51"/>
    <mergeCell ref="U50:U51"/>
    <mergeCell ref="L50:M51"/>
    <mergeCell ref="S48:T49"/>
    <mergeCell ref="Q48:Q49"/>
    <mergeCell ref="Q50:Q51"/>
    <mergeCell ref="L22:M23"/>
    <mergeCell ref="N22:P23"/>
    <mergeCell ref="Q22:Q23"/>
    <mergeCell ref="Q30:Q47"/>
    <mergeCell ref="U30:U47"/>
    <mergeCell ref="Q10:Q11"/>
    <mergeCell ref="Q12:Q13"/>
    <mergeCell ref="Q14:Q15"/>
    <mergeCell ref="R10:T11"/>
    <mergeCell ref="U10:U11"/>
    <mergeCell ref="N12:P13"/>
    <mergeCell ref="R12:T13"/>
    <mergeCell ref="U12:U13"/>
    <mergeCell ref="V24:V29"/>
    <mergeCell ref="L12:L13"/>
    <mergeCell ref="Y3:AA3"/>
    <mergeCell ref="N48:N49"/>
    <mergeCell ref="R48:R49"/>
    <mergeCell ref="R14:T15"/>
    <mergeCell ref="U14:U15"/>
    <mergeCell ref="L24:M25"/>
    <mergeCell ref="L26:M27"/>
    <mergeCell ref="R24:T25"/>
    <mergeCell ref="N26:P27"/>
    <mergeCell ref="R26:T27"/>
    <mergeCell ref="L20:M21"/>
    <mergeCell ref="U24:U25"/>
    <mergeCell ref="U26:U27"/>
    <mergeCell ref="N20:P21"/>
    <mergeCell ref="R20:T21"/>
    <mergeCell ref="U20:U21"/>
    <mergeCell ref="Q20:Q21"/>
    <mergeCell ref="K8:M9"/>
    <mergeCell ref="R8:U8"/>
    <mergeCell ref="N9:P9"/>
    <mergeCell ref="R9:T9"/>
    <mergeCell ref="N10:P11"/>
    <mergeCell ref="Q26:Q27"/>
    <mergeCell ref="N24:P25"/>
    <mergeCell ref="N8:Q8"/>
    <mergeCell ref="U18:U19"/>
    <mergeCell ref="C59:C71"/>
    <mergeCell ref="D59:E71"/>
    <mergeCell ref="F59:G71"/>
    <mergeCell ref="H59:I71"/>
    <mergeCell ref="F39:F40"/>
    <mergeCell ref="G39:G40"/>
    <mergeCell ref="H39:H40"/>
    <mergeCell ref="I39:I40"/>
    <mergeCell ref="D39:D40"/>
    <mergeCell ref="E39:E40"/>
    <mergeCell ref="C46:C58"/>
    <mergeCell ref="C35:C40"/>
    <mergeCell ref="D46:E58"/>
    <mergeCell ref="F46:G58"/>
    <mergeCell ref="H46:I58"/>
    <mergeCell ref="C42:D43"/>
    <mergeCell ref="I37:I38"/>
    <mergeCell ref="D35:I36"/>
    <mergeCell ref="D37:D38"/>
    <mergeCell ref="E37:E38"/>
    <mergeCell ref="F37:F38"/>
    <mergeCell ref="G37:G38"/>
    <mergeCell ref="L66:M67"/>
    <mergeCell ref="N66:P67"/>
    <mergeCell ref="Q66:Q67"/>
    <mergeCell ref="N62:P63"/>
    <mergeCell ref="L62:M63"/>
    <mergeCell ref="L64:M65"/>
    <mergeCell ref="N64:P65"/>
    <mergeCell ref="Q64:Q65"/>
    <mergeCell ref="Q58:Q59"/>
    <mergeCell ref="L60:M61"/>
    <mergeCell ref="N60:P61"/>
    <mergeCell ref="Q60:Q61"/>
    <mergeCell ref="D25:E26"/>
    <mergeCell ref="F25:G26"/>
    <mergeCell ref="H25:I26"/>
    <mergeCell ref="C21:C26"/>
    <mergeCell ref="D21:E22"/>
    <mergeCell ref="F21:G22"/>
    <mergeCell ref="H21:I22"/>
    <mergeCell ref="C44:C45"/>
    <mergeCell ref="Q62:Q63"/>
    <mergeCell ref="O48:P49"/>
    <mergeCell ref="L58:M59"/>
    <mergeCell ref="L30:L47"/>
    <mergeCell ref="K30:K49"/>
    <mergeCell ref="L48:M49"/>
    <mergeCell ref="K56:K61"/>
    <mergeCell ref="C28:C33"/>
    <mergeCell ref="D28:E29"/>
    <mergeCell ref="F28:G29"/>
    <mergeCell ref="H28:I29"/>
    <mergeCell ref="F9:G9"/>
    <mergeCell ref="H9:I9"/>
    <mergeCell ref="D10:E11"/>
    <mergeCell ref="D12:E13"/>
    <mergeCell ref="D14:E15"/>
    <mergeCell ref="F10:G11"/>
    <mergeCell ref="C10:C19"/>
    <mergeCell ref="D23:E24"/>
    <mergeCell ref="F23:G24"/>
    <mergeCell ref="H23:I24"/>
    <mergeCell ref="D16:E17"/>
    <mergeCell ref="D18:E19"/>
    <mergeCell ref="F12:G13"/>
    <mergeCell ref="F14:G15"/>
    <mergeCell ref="F16:G17"/>
    <mergeCell ref="F18:G19"/>
    <mergeCell ref="H10:I11"/>
    <mergeCell ref="H12:I13"/>
    <mergeCell ref="H14:I15"/>
    <mergeCell ref="H16:I17"/>
    <mergeCell ref="H18:I19"/>
    <mergeCell ref="R62:T63"/>
    <mergeCell ref="U62:U63"/>
    <mergeCell ref="L68:M69"/>
    <mergeCell ref="N68:P69"/>
    <mergeCell ref="H3:I3"/>
    <mergeCell ref="S3:T3"/>
    <mergeCell ref="C5:D5"/>
    <mergeCell ref="E5:F5"/>
    <mergeCell ref="G5:G6"/>
    <mergeCell ref="H5:I6"/>
    <mergeCell ref="C6:D6"/>
    <mergeCell ref="E6:F6"/>
    <mergeCell ref="Q3:R3"/>
    <mergeCell ref="N3:O3"/>
    <mergeCell ref="K5:M6"/>
    <mergeCell ref="N5:P5"/>
    <mergeCell ref="R5:T5"/>
    <mergeCell ref="Q5:Q6"/>
    <mergeCell ref="N6:P6"/>
    <mergeCell ref="R6:T6"/>
    <mergeCell ref="C8:E9"/>
    <mergeCell ref="F8:G8"/>
    <mergeCell ref="M18:M19"/>
    <mergeCell ref="H8:I8"/>
    <mergeCell ref="L16:L19"/>
    <mergeCell ref="N14:P15"/>
    <mergeCell ref="L10:L11"/>
    <mergeCell ref="Q68:Q69"/>
    <mergeCell ref="R68:T69"/>
    <mergeCell ref="U68:U69"/>
    <mergeCell ref="K62:K71"/>
    <mergeCell ref="L28:M29"/>
    <mergeCell ref="N28:P29"/>
    <mergeCell ref="Q28:Q29"/>
    <mergeCell ref="R28:T29"/>
    <mergeCell ref="U28:U29"/>
    <mergeCell ref="K24:K29"/>
    <mergeCell ref="L56:M57"/>
    <mergeCell ref="N56:P57"/>
    <mergeCell ref="Q56:Q57"/>
    <mergeCell ref="R56:T57"/>
    <mergeCell ref="U56:U57"/>
    <mergeCell ref="R66:T67"/>
    <mergeCell ref="U66:U67"/>
    <mergeCell ref="U64:U65"/>
    <mergeCell ref="N58:P59"/>
    <mergeCell ref="R58:T59"/>
    <mergeCell ref="R64:T65"/>
  </mergeCells>
  <phoneticPr fontId="46" type="noConversion"/>
  <dataValidations count="1">
    <dataValidation type="list" allowBlank="1" showInputMessage="1" showErrorMessage="1" sqref="Q3:R3" xr:uid="{058E635E-98CA-46F6-961D-4B394E033C56}">
      <formula1>"선택,1,2,3,4,5,6,7,8,9,10,11,12,13,14,15,16,17,18,19,20,21,22,23,24,25,26,27,28,29,30,31"</formula1>
    </dataValidation>
  </dataValidations>
  <pageMargins left="0.22" right="0.17000000178813934" top="0.33000001311302185" bottom="0.17000000178813934" header="0.18972222506999969" footer="0.17000000178813934"/>
  <pageSetup paperSize="9" scale="46" orientation="portrait" r:id="rId1"/>
  <ignoredErrors>
    <ignoredError sqref="F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303C-A50C-47A7-8745-56FE471AF16E}">
  <sheetPr codeName="Sheet7">
    <tabColor rgb="FFFFFF00"/>
  </sheetPr>
  <dimension ref="B1:I34"/>
  <sheetViews>
    <sheetView zoomScale="85" zoomScaleNormal="85" workbookViewId="0">
      <selection activeCell="O5" sqref="O5"/>
    </sheetView>
  </sheetViews>
  <sheetFormatPr defaultColWidth="8.85546875" defaultRowHeight="13.5" x14ac:dyDescent="0.25"/>
  <cols>
    <col min="1" max="1" width="1.7109375" style="136" customWidth="1"/>
    <col min="2" max="3" width="14" style="136" customWidth="1"/>
    <col min="4" max="6" width="12.7109375" style="136" customWidth="1"/>
    <col min="7" max="8" width="15.7109375" style="136" customWidth="1"/>
    <col min="9" max="9" width="9" style="136" customWidth="1"/>
    <col min="10" max="10" width="10.85546875" style="136" customWidth="1"/>
    <col min="11" max="12" width="18.7109375" style="136" customWidth="1"/>
    <col min="13" max="16384" width="8.85546875" style="136"/>
  </cols>
  <sheetData>
    <row r="1" spans="2:9" ht="20.25" x14ac:dyDescent="0.25">
      <c r="B1" s="248" t="s">
        <v>126</v>
      </c>
      <c r="G1" s="249" t="s">
        <v>133</v>
      </c>
    </row>
    <row r="2" spans="2:9" ht="17.25" x14ac:dyDescent="0.25">
      <c r="B2" s="246"/>
    </row>
    <row r="3" spans="2:9" ht="18" thickBot="1" x14ac:dyDescent="0.3">
      <c r="B3" s="246" t="s">
        <v>164</v>
      </c>
    </row>
    <row r="4" spans="2:9" ht="27.75" customHeight="1" thickBot="1" x14ac:dyDescent="0.3">
      <c r="B4" s="250" t="s">
        <v>117</v>
      </c>
      <c r="C4" s="251" t="s">
        <v>494</v>
      </c>
      <c r="D4" s="251" t="s">
        <v>557</v>
      </c>
      <c r="E4" s="252" t="str" cm="1">
        <f t="array" ref="E4">_xlfn.IFS(D4="1월","31",D4="2월","28",D4="3월","31",D4="4월","30",D4="5월","31",D4="6월","30",D4="7월","31",D4="8월","31",D4="9월","30",D4="10월","31",D4="11월","30",D4="12월","31")</f>
        <v>30</v>
      </c>
      <c r="F4" s="253" t="s">
        <v>187</v>
      </c>
      <c r="G4" s="254"/>
    </row>
    <row r="5" spans="2:9" ht="32.25" customHeight="1" x14ac:dyDescent="0.25">
      <c r="C5" s="255" t="s">
        <v>185</v>
      </c>
      <c r="D5" s="255" t="s">
        <v>185</v>
      </c>
      <c r="E5" s="255" t="s">
        <v>189</v>
      </c>
    </row>
    <row r="6" spans="2:9" ht="15" customHeight="1" x14ac:dyDescent="0.25"/>
    <row r="7" spans="2:9" ht="18.75" customHeight="1" thickBot="1" x14ac:dyDescent="0.3">
      <c r="B7" s="246" t="s">
        <v>169</v>
      </c>
    </row>
    <row r="8" spans="2:9" ht="30" customHeight="1" thickTop="1" thickBot="1" x14ac:dyDescent="0.3">
      <c r="B8" s="256" t="s">
        <v>147</v>
      </c>
      <c r="C8" s="257" t="s">
        <v>149</v>
      </c>
      <c r="D8" s="523" t="s">
        <v>186</v>
      </c>
      <c r="E8" s="551" t="s">
        <v>204</v>
      </c>
      <c r="F8" s="545" t="s">
        <v>188</v>
      </c>
      <c r="G8" s="854" t="s">
        <v>150</v>
      </c>
      <c r="H8" s="855"/>
    </row>
    <row r="9" spans="2:9" ht="20.100000000000001" customHeight="1" x14ac:dyDescent="0.25">
      <c r="B9" s="258" t="s">
        <v>148</v>
      </c>
      <c r="C9" s="520"/>
      <c r="D9" s="543"/>
      <c r="E9" s="552">
        <v>2500000</v>
      </c>
      <c r="F9" s="546"/>
      <c r="G9" s="858"/>
      <c r="H9" s="859"/>
      <c r="I9" s="261" t="s">
        <v>174</v>
      </c>
    </row>
    <row r="10" spans="2:9" ht="20.100000000000001" customHeight="1" x14ac:dyDescent="0.25">
      <c r="B10" s="262" t="s">
        <v>165</v>
      </c>
      <c r="C10" s="263"/>
      <c r="D10" s="543"/>
      <c r="E10" s="553"/>
      <c r="F10" s="546"/>
      <c r="G10" s="860"/>
      <c r="H10" s="861"/>
      <c r="I10" s="261" t="s">
        <v>174</v>
      </c>
    </row>
    <row r="11" spans="2:9" ht="20.100000000000001" customHeight="1" x14ac:dyDescent="0.25">
      <c r="B11" s="262" t="s">
        <v>166</v>
      </c>
      <c r="C11" s="259"/>
      <c r="D11" s="543"/>
      <c r="E11" s="553"/>
      <c r="F11" s="546"/>
      <c r="G11" s="860"/>
      <c r="H11" s="861"/>
      <c r="I11" s="261" t="s">
        <v>174</v>
      </c>
    </row>
    <row r="12" spans="2:9" ht="20.100000000000001" customHeight="1" x14ac:dyDescent="0.25">
      <c r="B12" s="262" t="s">
        <v>167</v>
      </c>
      <c r="C12" s="263"/>
      <c r="D12" s="543"/>
      <c r="E12" s="553"/>
      <c r="F12" s="547"/>
      <c r="G12" s="860"/>
      <c r="H12" s="861"/>
      <c r="I12" s="261" t="s">
        <v>174</v>
      </c>
    </row>
    <row r="13" spans="2:9" ht="20.100000000000001" customHeight="1" x14ac:dyDescent="0.25">
      <c r="B13" s="262" t="s">
        <v>170</v>
      </c>
      <c r="C13" s="263"/>
      <c r="D13" s="543"/>
      <c r="E13" s="553"/>
      <c r="F13" s="547"/>
      <c r="G13" s="858"/>
      <c r="H13" s="859"/>
      <c r="I13" s="261" t="s">
        <v>174</v>
      </c>
    </row>
    <row r="14" spans="2:9" ht="20.100000000000001" customHeight="1" x14ac:dyDescent="0.25">
      <c r="B14" s="262" t="s">
        <v>506</v>
      </c>
      <c r="C14" s="263"/>
      <c r="D14" s="543"/>
      <c r="E14" s="553">
        <v>2980000</v>
      </c>
      <c r="F14" s="546"/>
      <c r="G14" s="860"/>
      <c r="H14" s="861"/>
      <c r="I14" s="261"/>
    </row>
    <row r="15" spans="2:9" ht="20.100000000000001" customHeight="1" x14ac:dyDescent="0.25">
      <c r="B15" s="262"/>
      <c r="C15" s="263"/>
      <c r="D15" s="543"/>
      <c r="E15" s="553"/>
      <c r="F15" s="546"/>
      <c r="G15" s="860"/>
      <c r="H15" s="861"/>
      <c r="I15" s="261"/>
    </row>
    <row r="16" spans="2:9" ht="20.100000000000001" customHeight="1" thickBot="1" x14ac:dyDescent="0.3">
      <c r="B16" s="264"/>
      <c r="C16" s="263"/>
      <c r="D16" s="543"/>
      <c r="E16" s="553"/>
      <c r="F16" s="546"/>
      <c r="G16" s="860"/>
      <c r="H16" s="861"/>
      <c r="I16" s="265"/>
    </row>
    <row r="17" spans="2:9" ht="20.100000000000001" customHeight="1" thickBot="1" x14ac:dyDescent="0.3">
      <c r="B17" s="862" t="s">
        <v>156</v>
      </c>
      <c r="C17" s="863"/>
      <c r="D17" s="863"/>
      <c r="E17" s="554">
        <f>SUM(E9:E16)</f>
        <v>5480000</v>
      </c>
      <c r="F17" s="548">
        <f>SUM(F9:F16)</f>
        <v>0</v>
      </c>
      <c r="G17" s="266"/>
      <c r="H17" s="267"/>
      <c r="I17" s="265"/>
    </row>
    <row r="18" spans="2:9" ht="11.25" customHeight="1" x14ac:dyDescent="0.25">
      <c r="I18" s="265"/>
    </row>
    <row r="19" spans="2:9" ht="18" thickBot="1" x14ac:dyDescent="0.3">
      <c r="B19" s="246" t="s">
        <v>168</v>
      </c>
      <c r="I19" s="265"/>
    </row>
    <row r="20" spans="2:9" ht="30" customHeight="1" thickTop="1" thickBot="1" x14ac:dyDescent="0.3">
      <c r="B20" s="256" t="s">
        <v>147</v>
      </c>
      <c r="C20" s="257" t="s">
        <v>149</v>
      </c>
      <c r="D20" s="523" t="s">
        <v>154</v>
      </c>
      <c r="E20" s="551" t="s">
        <v>204</v>
      </c>
      <c r="F20" s="545" t="s">
        <v>188</v>
      </c>
      <c r="G20" s="864" t="s">
        <v>150</v>
      </c>
      <c r="H20" s="865"/>
      <c r="I20" s="265"/>
    </row>
    <row r="21" spans="2:9" ht="20.100000000000001" customHeight="1" x14ac:dyDescent="0.25">
      <c r="B21" s="262" t="s">
        <v>136</v>
      </c>
      <c r="C21" s="263"/>
      <c r="D21" s="543"/>
      <c r="E21" s="552"/>
      <c r="F21" s="549"/>
      <c r="G21" s="856"/>
      <c r="H21" s="857"/>
      <c r="I21" s="265"/>
    </row>
    <row r="22" spans="2:9" ht="20.100000000000001" customHeight="1" x14ac:dyDescent="0.25">
      <c r="B22" s="262" t="s">
        <v>205</v>
      </c>
      <c r="C22" s="263"/>
      <c r="D22" s="543"/>
      <c r="E22" s="553">
        <v>120000</v>
      </c>
      <c r="F22" s="519"/>
      <c r="G22" s="856"/>
      <c r="H22" s="857"/>
      <c r="I22" s="265"/>
    </row>
    <row r="23" spans="2:9" ht="20.100000000000001" customHeight="1" x14ac:dyDescent="0.25">
      <c r="B23" s="262" t="s">
        <v>135</v>
      </c>
      <c r="C23" s="259"/>
      <c r="D23" s="543"/>
      <c r="E23" s="553"/>
      <c r="F23" s="549"/>
      <c r="G23" s="856"/>
      <c r="H23" s="857"/>
      <c r="I23" s="265"/>
    </row>
    <row r="24" spans="2:9" ht="20.100000000000001" customHeight="1" x14ac:dyDescent="0.25">
      <c r="B24" s="262" t="s">
        <v>134</v>
      </c>
      <c r="C24" s="259"/>
      <c r="D24" s="543"/>
      <c r="E24" s="553">
        <v>18900</v>
      </c>
      <c r="F24" s="549"/>
      <c r="G24" s="856"/>
      <c r="H24" s="857"/>
      <c r="I24" s="265"/>
    </row>
    <row r="25" spans="2:9" ht="20.100000000000001" customHeight="1" x14ac:dyDescent="0.25">
      <c r="B25" s="262" t="s">
        <v>152</v>
      </c>
      <c r="C25" s="259"/>
      <c r="D25" s="543"/>
      <c r="E25" s="553">
        <v>39050</v>
      </c>
      <c r="F25" s="549"/>
      <c r="G25" s="856"/>
      <c r="H25" s="857"/>
      <c r="I25" s="261" t="s">
        <v>174</v>
      </c>
    </row>
    <row r="26" spans="2:9" ht="20.100000000000001" customHeight="1" x14ac:dyDescent="0.25">
      <c r="B26" s="262" t="s">
        <v>152</v>
      </c>
      <c r="C26" s="263"/>
      <c r="D26" s="543"/>
      <c r="E26" s="553"/>
      <c r="F26" s="519"/>
      <c r="G26" s="856"/>
      <c r="H26" s="857"/>
      <c r="I26" s="261" t="s">
        <v>174</v>
      </c>
    </row>
    <row r="27" spans="2:9" ht="20.100000000000001" customHeight="1" x14ac:dyDescent="0.25">
      <c r="B27" s="262" t="s">
        <v>151</v>
      </c>
      <c r="C27" s="259"/>
      <c r="D27" s="543"/>
      <c r="E27" s="553"/>
      <c r="F27" s="549"/>
      <c r="G27" s="856"/>
      <c r="H27" s="857"/>
      <c r="I27" s="265"/>
    </row>
    <row r="28" spans="2:9" ht="20.100000000000001" customHeight="1" x14ac:dyDescent="0.25">
      <c r="B28" s="262" t="s">
        <v>153</v>
      </c>
      <c r="C28" s="263"/>
      <c r="D28" s="543"/>
      <c r="E28" s="553">
        <v>288000</v>
      </c>
      <c r="F28" s="519"/>
      <c r="G28" s="856"/>
      <c r="H28" s="857"/>
      <c r="I28" s="265"/>
    </row>
    <row r="29" spans="2:9" ht="20.100000000000001" customHeight="1" x14ac:dyDescent="0.25">
      <c r="B29" s="262" t="s">
        <v>155</v>
      </c>
      <c r="C29" s="259"/>
      <c r="D29" s="543"/>
      <c r="E29" s="553"/>
      <c r="F29" s="519"/>
      <c r="G29" s="856"/>
      <c r="H29" s="857"/>
      <c r="I29" s="265"/>
    </row>
    <row r="30" spans="2:9" ht="20.100000000000001" customHeight="1" x14ac:dyDescent="0.25">
      <c r="B30" s="262" t="s">
        <v>255</v>
      </c>
      <c r="C30" s="263"/>
      <c r="D30" s="543"/>
      <c r="E30" s="553"/>
      <c r="F30" s="549"/>
      <c r="G30" s="856"/>
      <c r="H30" s="857"/>
      <c r="I30" s="265"/>
    </row>
    <row r="31" spans="2:9" ht="20.100000000000001" customHeight="1" x14ac:dyDescent="0.25">
      <c r="B31" s="262" t="s">
        <v>484</v>
      </c>
      <c r="C31" s="259"/>
      <c r="D31" s="543"/>
      <c r="E31" s="553"/>
      <c r="F31" s="549"/>
      <c r="G31" s="856"/>
      <c r="H31" s="857"/>
      <c r="I31" s="265"/>
    </row>
    <row r="32" spans="2:9" ht="20.100000000000001" customHeight="1" x14ac:dyDescent="0.25">
      <c r="B32" s="262" t="s">
        <v>493</v>
      </c>
      <c r="C32" s="259"/>
      <c r="D32" s="543"/>
      <c r="E32" s="553"/>
      <c r="F32" s="549"/>
      <c r="G32" s="856"/>
      <c r="H32" s="857"/>
      <c r="I32" s="265"/>
    </row>
    <row r="33" spans="2:9" ht="20.100000000000001" customHeight="1" thickBot="1" x14ac:dyDescent="0.3">
      <c r="B33" s="269"/>
      <c r="C33" s="270"/>
      <c r="D33" s="544"/>
      <c r="E33" s="553"/>
      <c r="F33" s="550"/>
      <c r="G33" s="866"/>
      <c r="H33" s="867"/>
      <c r="I33" s="265"/>
    </row>
    <row r="34" spans="2:9" ht="20.100000000000001" customHeight="1" thickBot="1" x14ac:dyDescent="0.3">
      <c r="B34" s="862" t="s">
        <v>156</v>
      </c>
      <c r="C34" s="863"/>
      <c r="D34" s="863"/>
      <c r="E34" s="554">
        <f>SUM(E21:E33)</f>
        <v>465950</v>
      </c>
      <c r="F34" s="548">
        <f>SUM(F21:F33)</f>
        <v>0</v>
      </c>
      <c r="G34" s="271"/>
      <c r="H34" s="272"/>
    </row>
  </sheetData>
  <protectedRanges>
    <protectedRange sqref="G4" name="범위2"/>
    <protectedRange sqref="E4" name="범위1_1"/>
  </protectedRanges>
  <mergeCells count="25">
    <mergeCell ref="B17:D17"/>
    <mergeCell ref="B34:D34"/>
    <mergeCell ref="G14:H14"/>
    <mergeCell ref="G20:H20"/>
    <mergeCell ref="G27:H27"/>
    <mergeCell ref="G33:H33"/>
    <mergeCell ref="G30:H30"/>
    <mergeCell ref="G31:H31"/>
    <mergeCell ref="G32:H32"/>
    <mergeCell ref="G8:H8"/>
    <mergeCell ref="G28:H28"/>
    <mergeCell ref="G29:H29"/>
    <mergeCell ref="G21:H21"/>
    <mergeCell ref="G22:H22"/>
    <mergeCell ref="G23:H23"/>
    <mergeCell ref="G24:H24"/>
    <mergeCell ref="G25:H25"/>
    <mergeCell ref="G26:H26"/>
    <mergeCell ref="G9:H9"/>
    <mergeCell ref="G10:H10"/>
    <mergeCell ref="G11:H11"/>
    <mergeCell ref="G12:H12"/>
    <mergeCell ref="G13:H13"/>
    <mergeCell ref="G15:H15"/>
    <mergeCell ref="G16:H16"/>
  </mergeCells>
  <phoneticPr fontId="46" type="noConversion"/>
  <dataValidations count="2">
    <dataValidation type="list" allowBlank="1" showInputMessage="1" showErrorMessage="1" sqref="D4" xr:uid="{D65BB9B7-A941-4193-B366-900DC214C2C3}">
      <formula1>"선택,1월,2월,3월,4월,5월,6월,7월,8월,9월,10월,11월,12월"</formula1>
    </dataValidation>
    <dataValidation type="list" allowBlank="1" showInputMessage="1" showErrorMessage="1" sqref="C4" xr:uid="{B56A58B9-FAB1-4E84-9AE7-EEEC0C45FB35}">
      <formula1>"선택,2024년,2025년,2026년,2027년,2028년,2029년,2030년"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AI36"/>
  <sheetViews>
    <sheetView zoomScale="55" zoomScaleNormal="55" zoomScaleSheetLayoutView="75" workbookViewId="0">
      <pane xSplit="3" ySplit="4" topLeftCell="D15" activePane="bottomRight" state="frozen"/>
      <selection activeCell="AE30" sqref="AE30:AG31"/>
      <selection pane="topRight" activeCell="AE30" sqref="AE30:AG31"/>
      <selection pane="bottomLeft" activeCell="AE30" sqref="AE30:AG31"/>
      <selection pane="bottomRight" activeCell="M30" sqref="M30"/>
    </sheetView>
  </sheetViews>
  <sheetFormatPr defaultColWidth="9.140625" defaultRowHeight="13.5" x14ac:dyDescent="0.25"/>
  <cols>
    <col min="1" max="1" width="11" style="136" customWidth="1"/>
    <col min="2" max="2" width="17.140625" style="136" customWidth="1"/>
    <col min="3" max="3" width="14.28515625" style="136" customWidth="1"/>
    <col min="4" max="5" width="18.7109375" style="136" customWidth="1"/>
    <col min="6" max="6" width="19.140625" style="136" bestFit="1" customWidth="1"/>
    <col min="7" max="10" width="14.85546875" style="136" customWidth="1"/>
    <col min="11" max="11" width="9.140625" style="136" customWidth="1"/>
    <col min="12" max="12" width="10.42578125" style="136" customWidth="1"/>
    <col min="13" max="13" width="9" style="136" customWidth="1"/>
    <col min="14" max="14" width="14.85546875" style="136" customWidth="1"/>
    <col min="15" max="15" width="9" style="136" customWidth="1"/>
    <col min="16" max="16" width="14.85546875" style="136" customWidth="1"/>
    <col min="17" max="17" width="9" style="136" customWidth="1"/>
    <col min="18" max="18" width="14.85546875" style="136" customWidth="1"/>
    <col min="19" max="19" width="1.42578125" style="136" customWidth="1"/>
    <col min="20" max="20" width="17.42578125" style="136" bestFit="1" customWidth="1"/>
    <col min="21" max="22" width="14.85546875" style="136" bestFit="1" customWidth="1"/>
    <col min="23" max="23" width="17.42578125" style="136" bestFit="1" customWidth="1"/>
    <col min="24" max="25" width="14.85546875" style="136" bestFit="1" customWidth="1"/>
    <col min="26" max="26" width="1.42578125" style="136" customWidth="1"/>
    <col min="27" max="27" width="11.140625" style="136" customWidth="1"/>
    <col min="28" max="28" width="18.42578125" style="136" customWidth="1"/>
    <col min="29" max="30" width="32.42578125" style="136" customWidth="1"/>
    <col min="31" max="31" width="1" style="136" customWidth="1"/>
    <col min="32" max="33" width="15.42578125" style="136" hidden="1" customWidth="1"/>
    <col min="34" max="16384" width="9.140625" style="136"/>
  </cols>
  <sheetData>
    <row r="1" spans="1:33" ht="32.25" thickBot="1" x14ac:dyDescent="0.3">
      <c r="A1" s="135" t="s">
        <v>9</v>
      </c>
      <c r="D1" s="868" t="str">
        <f>'0.기초및고정비'!C4&amp;'0.기초및고정비'!D4</f>
        <v>2026년4월</v>
      </c>
      <c r="E1" s="868"/>
      <c r="F1" s="868"/>
      <c r="H1" s="184" t="s">
        <v>133</v>
      </c>
    </row>
    <row r="2" spans="1:33" ht="14.25" thickBot="1" x14ac:dyDescent="0.3"/>
    <row r="3" spans="1:33" ht="23.25" customHeight="1" x14ac:dyDescent="0.25">
      <c r="A3" s="874" t="s">
        <v>26</v>
      </c>
      <c r="B3" s="876" t="s">
        <v>65</v>
      </c>
      <c r="C3" s="880" t="s">
        <v>53</v>
      </c>
      <c r="D3" s="876" t="s">
        <v>83</v>
      </c>
      <c r="E3" s="885" t="s">
        <v>496</v>
      </c>
      <c r="F3" s="878" t="s">
        <v>64</v>
      </c>
      <c r="G3" s="881" t="s">
        <v>491</v>
      </c>
      <c r="H3" s="871"/>
      <c r="I3" s="881" t="s">
        <v>490</v>
      </c>
      <c r="J3" s="871"/>
      <c r="K3" s="882" t="s">
        <v>5</v>
      </c>
      <c r="L3" s="883"/>
      <c r="M3" s="881" t="s">
        <v>498</v>
      </c>
      <c r="N3" s="871"/>
      <c r="O3" s="881" t="s">
        <v>67</v>
      </c>
      <c r="P3" s="884"/>
      <c r="Q3" s="882" t="s">
        <v>493</v>
      </c>
      <c r="R3" s="887"/>
      <c r="T3" s="871" t="s">
        <v>10</v>
      </c>
      <c r="U3" s="872"/>
      <c r="V3" s="872"/>
      <c r="W3" s="872"/>
      <c r="X3" s="872"/>
      <c r="Y3" s="881"/>
      <c r="AA3" s="871" t="s">
        <v>3</v>
      </c>
      <c r="AB3" s="872"/>
      <c r="AC3" s="873"/>
      <c r="AD3" s="869" t="s">
        <v>99</v>
      </c>
      <c r="AF3" s="185">
        <v>1.9199999999999998E-2</v>
      </c>
      <c r="AG3" s="185">
        <v>0.21299999999999999</v>
      </c>
    </row>
    <row r="4" spans="1:33" ht="25.5" customHeight="1" thickBot="1" x14ac:dyDescent="0.3">
      <c r="A4" s="875"/>
      <c r="B4" s="877"/>
      <c r="C4" s="877"/>
      <c r="D4" s="877"/>
      <c r="E4" s="886"/>
      <c r="F4" s="879"/>
      <c r="G4" s="186" t="s">
        <v>68</v>
      </c>
      <c r="H4" s="187" t="s">
        <v>70</v>
      </c>
      <c r="I4" s="186" t="s">
        <v>34</v>
      </c>
      <c r="J4" s="187" t="s">
        <v>69</v>
      </c>
      <c r="K4" s="186" t="s">
        <v>62</v>
      </c>
      <c r="L4" s="187" t="s">
        <v>32</v>
      </c>
      <c r="M4" s="186" t="s">
        <v>499</v>
      </c>
      <c r="N4" s="187" t="s">
        <v>498</v>
      </c>
      <c r="O4" s="186" t="s">
        <v>71</v>
      </c>
      <c r="P4" s="188" t="s">
        <v>60</v>
      </c>
      <c r="Q4" s="186" t="s">
        <v>497</v>
      </c>
      <c r="R4" s="188" t="s">
        <v>60</v>
      </c>
      <c r="T4" s="189" t="s">
        <v>14</v>
      </c>
      <c r="U4" s="190" t="s">
        <v>89</v>
      </c>
      <c r="V4" s="190" t="s">
        <v>25</v>
      </c>
      <c r="W4" s="190" t="s">
        <v>39</v>
      </c>
      <c r="X4" s="190" t="s">
        <v>100</v>
      </c>
      <c r="Y4" s="191" t="s">
        <v>19</v>
      </c>
      <c r="AA4" s="192" t="s">
        <v>76</v>
      </c>
      <c r="AB4" s="193" t="s">
        <v>22</v>
      </c>
      <c r="AC4" s="194" t="s">
        <v>98</v>
      </c>
      <c r="AD4" s="870"/>
      <c r="AF4" s="136" t="s">
        <v>0</v>
      </c>
      <c r="AG4" s="136" t="s">
        <v>1</v>
      </c>
    </row>
    <row r="5" spans="1:33" ht="24.95" customHeight="1" x14ac:dyDescent="0.25">
      <c r="A5" s="195">
        <v>1</v>
      </c>
      <c r="B5" s="196">
        <f>D5+N5</f>
        <v>1605000</v>
      </c>
      <c r="C5" s="197">
        <f>IFERROR((E5+G5+N5+R5)/(K5+M5),0)</f>
        <v>114642.85714285714</v>
      </c>
      <c r="D5" s="197">
        <f>E5+G5+R5</f>
        <v>1605000</v>
      </c>
      <c r="E5" s="299">
        <f>F5-R5</f>
        <v>1605000</v>
      </c>
      <c r="F5" s="555">
        <v>1605000</v>
      </c>
      <c r="G5" s="199"/>
      <c r="H5" s="199"/>
      <c r="I5" s="198"/>
      <c r="J5" s="199"/>
      <c r="K5" s="198">
        <v>14</v>
      </c>
      <c r="L5" s="199">
        <v>14</v>
      </c>
      <c r="M5" s="198"/>
      <c r="N5" s="199"/>
      <c r="O5" s="198"/>
      <c r="P5" s="200"/>
      <c r="Q5" s="198"/>
      <c r="R5" s="200"/>
      <c r="S5" s="424"/>
      <c r="T5" s="201"/>
      <c r="U5" s="202"/>
      <c r="V5" s="202"/>
      <c r="W5" s="202"/>
      <c r="X5" s="202"/>
      <c r="Y5" s="203"/>
      <c r="AA5" s="204"/>
      <c r="AB5" s="205"/>
      <c r="AC5" s="206"/>
      <c r="AD5" s="207"/>
      <c r="AF5" s="183">
        <f t="shared" ref="AF5:AF35" si="0">F5*$AF$3</f>
        <v>30815.999999999996</v>
      </c>
      <c r="AG5" s="183">
        <f>N5*$AG$3</f>
        <v>0</v>
      </c>
    </row>
    <row r="6" spans="1:33" ht="24.95" customHeight="1" x14ac:dyDescent="0.25">
      <c r="A6" s="162">
        <v>2</v>
      </c>
      <c r="B6" s="196">
        <f>D6+N6</f>
        <v>2517000</v>
      </c>
      <c r="C6" s="208">
        <f>IFERROR((E6+G6+N6+R6)/(K6+M6),0)</f>
        <v>139833.33333333334</v>
      </c>
      <c r="D6" s="299">
        <f>E6+G6+R6</f>
        <v>2517000</v>
      </c>
      <c r="E6" s="299">
        <f>F6-R6</f>
        <v>2510000</v>
      </c>
      <c r="F6" s="556">
        <v>2510000</v>
      </c>
      <c r="G6" s="198">
        <v>7000</v>
      </c>
      <c r="H6" s="199"/>
      <c r="I6" s="198"/>
      <c r="J6" s="199"/>
      <c r="K6" s="198">
        <v>18</v>
      </c>
      <c r="L6" s="199">
        <v>18</v>
      </c>
      <c r="M6" s="198"/>
      <c r="N6" s="199"/>
      <c r="O6" s="198"/>
      <c r="P6" s="200"/>
      <c r="Q6" s="198"/>
      <c r="R6" s="200"/>
      <c r="S6" s="424"/>
      <c r="T6" s="209"/>
      <c r="U6" s="210"/>
      <c r="V6" s="210"/>
      <c r="W6" s="210"/>
      <c r="X6" s="210"/>
      <c r="Y6" s="211"/>
      <c r="AA6" s="212"/>
      <c r="AB6" s="213"/>
      <c r="AC6" s="214"/>
      <c r="AD6" s="215"/>
      <c r="AF6" s="183">
        <f t="shared" si="0"/>
        <v>48191.999999999993</v>
      </c>
      <c r="AG6" s="183">
        <f t="shared" ref="AG6:AG35" si="1">N6*$AG$3</f>
        <v>0</v>
      </c>
    </row>
    <row r="7" spans="1:33" ht="24.95" customHeight="1" x14ac:dyDescent="0.25">
      <c r="A7" s="162">
        <v>3</v>
      </c>
      <c r="B7" s="196">
        <f t="shared" ref="B7:B35" si="2">D7+N7</f>
        <v>2148000</v>
      </c>
      <c r="C7" s="208">
        <f t="shared" ref="C7:C35" si="3">IFERROR((E7+G7+N7+R7)/(K7+M7),0)</f>
        <v>107400</v>
      </c>
      <c r="D7" s="299">
        <f t="shared" ref="D7:D35" si="4">E7+G7+R7</f>
        <v>2148000</v>
      </c>
      <c r="E7" s="299">
        <f t="shared" ref="E7:E35" si="5">F7-R7</f>
        <v>2057000</v>
      </c>
      <c r="F7" s="556">
        <v>2057000</v>
      </c>
      <c r="G7" s="198">
        <v>91000</v>
      </c>
      <c r="H7" s="199"/>
      <c r="I7" s="198"/>
      <c r="J7" s="199"/>
      <c r="K7" s="198">
        <v>20</v>
      </c>
      <c r="L7" s="199">
        <v>20</v>
      </c>
      <c r="M7" s="198"/>
      <c r="N7" s="199"/>
      <c r="O7" s="198"/>
      <c r="P7" s="200"/>
      <c r="Q7" s="198"/>
      <c r="R7" s="200"/>
      <c r="S7" s="424"/>
      <c r="T7" s="209"/>
      <c r="U7" s="210"/>
      <c r="V7" s="210"/>
      <c r="W7" s="210"/>
      <c r="X7" s="210"/>
      <c r="Y7" s="211"/>
      <c r="AA7" s="212"/>
      <c r="AB7" s="213"/>
      <c r="AC7" s="214"/>
      <c r="AD7" s="215"/>
      <c r="AF7" s="183">
        <f t="shared" si="0"/>
        <v>39494.399999999994</v>
      </c>
      <c r="AG7" s="183">
        <f t="shared" si="1"/>
        <v>0</v>
      </c>
    </row>
    <row r="8" spans="1:33" ht="24.95" customHeight="1" x14ac:dyDescent="0.25">
      <c r="A8" s="162">
        <v>4</v>
      </c>
      <c r="B8" s="196">
        <f t="shared" si="2"/>
        <v>3596000</v>
      </c>
      <c r="C8" s="208">
        <f t="shared" si="3"/>
        <v>102742.85714285714</v>
      </c>
      <c r="D8" s="299">
        <f t="shared" si="4"/>
        <v>3596000</v>
      </c>
      <c r="E8" s="299">
        <f t="shared" si="5"/>
        <v>3596000</v>
      </c>
      <c r="F8" s="556">
        <v>3596000</v>
      </c>
      <c r="G8" s="198"/>
      <c r="H8" s="199"/>
      <c r="I8" s="198"/>
      <c r="J8" s="199"/>
      <c r="K8" s="198">
        <v>35</v>
      </c>
      <c r="L8" s="199">
        <v>35</v>
      </c>
      <c r="M8" s="198"/>
      <c r="N8" s="199"/>
      <c r="O8" s="198"/>
      <c r="P8" s="200"/>
      <c r="Q8" s="198"/>
      <c r="R8" s="200"/>
      <c r="S8" s="424"/>
      <c r="T8" s="209"/>
      <c r="U8" s="210"/>
      <c r="V8" s="210"/>
      <c r="W8" s="210"/>
      <c r="X8" s="210"/>
      <c r="Y8" s="211"/>
      <c r="AA8" s="212"/>
      <c r="AB8" s="213"/>
      <c r="AC8" s="214"/>
      <c r="AD8" s="215"/>
      <c r="AF8" s="183">
        <f t="shared" si="0"/>
        <v>69043.199999999997</v>
      </c>
      <c r="AG8" s="183">
        <f t="shared" si="1"/>
        <v>0</v>
      </c>
    </row>
    <row r="9" spans="1:33" ht="24.95" customHeight="1" x14ac:dyDescent="0.25">
      <c r="A9" s="162">
        <v>5</v>
      </c>
      <c r="B9" s="196">
        <f t="shared" si="2"/>
        <v>1926000</v>
      </c>
      <c r="C9" s="208">
        <f t="shared" si="3"/>
        <v>113294.11764705883</v>
      </c>
      <c r="D9" s="299">
        <f t="shared" si="4"/>
        <v>1926000</v>
      </c>
      <c r="E9" s="299">
        <f t="shared" si="5"/>
        <v>1926000</v>
      </c>
      <c r="F9" s="556">
        <v>1926000</v>
      </c>
      <c r="G9" s="198"/>
      <c r="H9" s="199"/>
      <c r="I9" s="198"/>
      <c r="J9" s="199"/>
      <c r="K9" s="198">
        <v>17</v>
      </c>
      <c r="L9" s="199">
        <v>17</v>
      </c>
      <c r="M9" s="198"/>
      <c r="N9" s="199"/>
      <c r="O9" s="198"/>
      <c r="P9" s="200"/>
      <c r="Q9" s="198"/>
      <c r="R9" s="200"/>
      <c r="T9" s="209"/>
      <c r="U9" s="210"/>
      <c r="V9" s="210"/>
      <c r="W9" s="210"/>
      <c r="X9" s="210"/>
      <c r="Y9" s="211"/>
      <c r="AA9" s="212"/>
      <c r="AB9" s="213"/>
      <c r="AC9" s="214"/>
      <c r="AD9" s="215"/>
      <c r="AF9" s="183">
        <f t="shared" si="0"/>
        <v>36979.199999999997</v>
      </c>
      <c r="AG9" s="183">
        <f t="shared" si="1"/>
        <v>0</v>
      </c>
    </row>
    <row r="10" spans="1:33" ht="24.95" customHeight="1" x14ac:dyDescent="0.25">
      <c r="A10" s="162">
        <v>6</v>
      </c>
      <c r="B10" s="196">
        <f t="shared" si="2"/>
        <v>930000</v>
      </c>
      <c r="C10" s="208">
        <f t="shared" si="3"/>
        <v>116250</v>
      </c>
      <c r="D10" s="299">
        <f t="shared" si="4"/>
        <v>930000</v>
      </c>
      <c r="E10" s="299">
        <f t="shared" si="5"/>
        <v>930000</v>
      </c>
      <c r="F10" s="556">
        <v>930000</v>
      </c>
      <c r="G10" s="198"/>
      <c r="H10" s="199"/>
      <c r="I10" s="198"/>
      <c r="J10" s="199"/>
      <c r="K10" s="198">
        <v>8</v>
      </c>
      <c r="L10" s="199">
        <v>8</v>
      </c>
      <c r="M10" s="198"/>
      <c r="N10" s="199"/>
      <c r="O10" s="198"/>
      <c r="P10" s="200"/>
      <c r="Q10" s="198"/>
      <c r="R10" s="200"/>
      <c r="S10" s="424"/>
      <c r="T10" s="209"/>
      <c r="U10" s="210"/>
      <c r="V10" s="210"/>
      <c r="W10" s="210"/>
      <c r="X10" s="210"/>
      <c r="Y10" s="211"/>
      <c r="AA10" s="212"/>
      <c r="AB10" s="213"/>
      <c r="AC10" s="214"/>
      <c r="AD10" s="215"/>
      <c r="AF10" s="183">
        <f t="shared" si="0"/>
        <v>17856</v>
      </c>
      <c r="AG10" s="183">
        <f t="shared" si="1"/>
        <v>0</v>
      </c>
    </row>
    <row r="11" spans="1:33" ht="24.95" customHeight="1" x14ac:dyDescent="0.25">
      <c r="A11" s="162">
        <v>7</v>
      </c>
      <c r="B11" s="196">
        <f t="shared" si="2"/>
        <v>991000</v>
      </c>
      <c r="C11" s="208">
        <f t="shared" si="3"/>
        <v>123875</v>
      </c>
      <c r="D11" s="299">
        <f t="shared" si="4"/>
        <v>991000</v>
      </c>
      <c r="E11" s="299">
        <f t="shared" si="5"/>
        <v>809000</v>
      </c>
      <c r="F11" s="556">
        <v>809000</v>
      </c>
      <c r="G11" s="198">
        <v>182000</v>
      </c>
      <c r="H11" s="199"/>
      <c r="I11" s="198"/>
      <c r="J11" s="199"/>
      <c r="K11" s="198">
        <v>8</v>
      </c>
      <c r="L11" s="199">
        <v>8</v>
      </c>
      <c r="M11" s="198"/>
      <c r="N11" s="199"/>
      <c r="O11" s="198">
        <v>1</v>
      </c>
      <c r="P11" s="200">
        <v>182000</v>
      </c>
      <c r="Q11" s="198"/>
      <c r="R11" s="200"/>
      <c r="T11" s="209"/>
      <c r="U11" s="210"/>
      <c r="V11" s="210"/>
      <c r="W11" s="210"/>
      <c r="X11" s="210"/>
      <c r="Y11" s="211"/>
      <c r="AA11" s="212"/>
      <c r="AB11" s="213"/>
      <c r="AC11" s="214"/>
      <c r="AD11" s="215"/>
      <c r="AF11" s="183">
        <f t="shared" si="0"/>
        <v>15532.8</v>
      </c>
      <c r="AG11" s="183">
        <f t="shared" si="1"/>
        <v>0</v>
      </c>
    </row>
    <row r="12" spans="1:33" ht="24.95" customHeight="1" x14ac:dyDescent="0.25">
      <c r="A12" s="162">
        <v>8</v>
      </c>
      <c r="B12" s="196">
        <f t="shared" si="2"/>
        <v>1152500</v>
      </c>
      <c r="C12" s="208">
        <f t="shared" si="3"/>
        <v>104772.72727272728</v>
      </c>
      <c r="D12" s="299">
        <f t="shared" si="4"/>
        <v>1152500</v>
      </c>
      <c r="E12" s="299">
        <f t="shared" si="5"/>
        <v>1152500</v>
      </c>
      <c r="F12" s="556">
        <v>1152500</v>
      </c>
      <c r="G12" s="198"/>
      <c r="H12" s="199"/>
      <c r="I12" s="198"/>
      <c r="J12" s="199"/>
      <c r="K12" s="198">
        <v>11</v>
      </c>
      <c r="L12" s="199">
        <v>11</v>
      </c>
      <c r="M12" s="198"/>
      <c r="N12" s="199"/>
      <c r="O12" s="198"/>
      <c r="P12" s="200"/>
      <c r="Q12" s="198"/>
      <c r="R12" s="200"/>
      <c r="T12" s="209"/>
      <c r="U12" s="210"/>
      <c r="V12" s="210"/>
      <c r="W12" s="210"/>
      <c r="X12" s="210"/>
      <c r="Y12" s="211"/>
      <c r="AA12" s="212"/>
      <c r="AB12" s="213"/>
      <c r="AC12" s="214"/>
      <c r="AD12" s="215"/>
      <c r="AF12" s="183">
        <f t="shared" si="0"/>
        <v>22127.999999999996</v>
      </c>
      <c r="AG12" s="183">
        <f t="shared" si="1"/>
        <v>0</v>
      </c>
    </row>
    <row r="13" spans="1:33" ht="24.95" customHeight="1" x14ac:dyDescent="0.25">
      <c r="A13" s="162">
        <v>9</v>
      </c>
      <c r="B13" s="196">
        <f t="shared" si="2"/>
        <v>1736000</v>
      </c>
      <c r="C13" s="208">
        <f t="shared" si="3"/>
        <v>115733.33333333333</v>
      </c>
      <c r="D13" s="299">
        <f t="shared" si="4"/>
        <v>1736000</v>
      </c>
      <c r="E13" s="299">
        <f t="shared" si="5"/>
        <v>1318000</v>
      </c>
      <c r="F13" s="556">
        <v>1422000</v>
      </c>
      <c r="G13" s="198">
        <v>314000</v>
      </c>
      <c r="H13" s="199"/>
      <c r="I13" s="198"/>
      <c r="J13" s="199"/>
      <c r="K13" s="198">
        <v>15</v>
      </c>
      <c r="L13" s="199">
        <v>15</v>
      </c>
      <c r="M13" s="198"/>
      <c r="N13" s="199"/>
      <c r="O13" s="198"/>
      <c r="P13" s="200"/>
      <c r="Q13" s="198">
        <v>1</v>
      </c>
      <c r="R13" s="200">
        <v>104000</v>
      </c>
      <c r="T13" s="209"/>
      <c r="U13" s="210"/>
      <c r="V13" s="210"/>
      <c r="W13" s="210"/>
      <c r="X13" s="210"/>
      <c r="Y13" s="211"/>
      <c r="AA13" s="212"/>
      <c r="AB13" s="213"/>
      <c r="AC13" s="214"/>
      <c r="AD13" s="215"/>
      <c r="AF13" s="183">
        <f t="shared" si="0"/>
        <v>27302.399999999998</v>
      </c>
      <c r="AG13" s="183">
        <f t="shared" si="1"/>
        <v>0</v>
      </c>
    </row>
    <row r="14" spans="1:33" ht="24.95" customHeight="1" x14ac:dyDescent="0.25">
      <c r="A14" s="162">
        <v>10</v>
      </c>
      <c r="B14" s="196">
        <f t="shared" si="2"/>
        <v>3513000</v>
      </c>
      <c r="C14" s="208">
        <f t="shared" si="3"/>
        <v>106454.54545454546</v>
      </c>
      <c r="D14" s="299">
        <f t="shared" si="4"/>
        <v>3513000</v>
      </c>
      <c r="E14" s="299">
        <f t="shared" si="5"/>
        <v>3513000</v>
      </c>
      <c r="F14" s="556">
        <v>3513000</v>
      </c>
      <c r="G14" s="198"/>
      <c r="H14" s="199"/>
      <c r="I14" s="198"/>
      <c r="J14" s="199"/>
      <c r="K14" s="198">
        <v>33</v>
      </c>
      <c r="L14" s="199">
        <v>33</v>
      </c>
      <c r="M14" s="198"/>
      <c r="N14" s="199"/>
      <c r="O14" s="198"/>
      <c r="P14" s="200"/>
      <c r="Q14" s="198"/>
      <c r="R14" s="200"/>
      <c r="T14" s="209"/>
      <c r="U14" s="210"/>
      <c r="V14" s="210"/>
      <c r="W14" s="210"/>
      <c r="X14" s="210"/>
      <c r="Y14" s="211"/>
      <c r="AA14" s="212"/>
      <c r="AB14" s="213"/>
      <c r="AC14" s="214"/>
      <c r="AD14" s="215"/>
      <c r="AF14" s="183">
        <f t="shared" si="0"/>
        <v>67449.599999999991</v>
      </c>
      <c r="AG14" s="183">
        <f t="shared" si="1"/>
        <v>0</v>
      </c>
    </row>
    <row r="15" spans="1:33" ht="24.95" customHeight="1" x14ac:dyDescent="0.25">
      <c r="A15" s="162">
        <v>11</v>
      </c>
      <c r="B15" s="196">
        <f t="shared" si="2"/>
        <v>4591000</v>
      </c>
      <c r="C15" s="208">
        <f t="shared" si="3"/>
        <v>104340.90909090909</v>
      </c>
      <c r="D15" s="299">
        <f t="shared" si="4"/>
        <v>4591000</v>
      </c>
      <c r="E15" s="299">
        <f t="shared" si="5"/>
        <v>4066000</v>
      </c>
      <c r="F15" s="556">
        <v>4179000</v>
      </c>
      <c r="G15" s="198">
        <v>412000</v>
      </c>
      <c r="H15" s="199"/>
      <c r="I15" s="198"/>
      <c r="J15" s="199"/>
      <c r="K15" s="198">
        <v>44</v>
      </c>
      <c r="L15" s="199">
        <v>44</v>
      </c>
      <c r="M15" s="198"/>
      <c r="N15" s="199"/>
      <c r="O15" s="198"/>
      <c r="P15" s="200"/>
      <c r="Q15" s="198">
        <v>1</v>
      </c>
      <c r="R15" s="200">
        <v>113000</v>
      </c>
      <c r="T15" s="209"/>
      <c r="U15" s="210"/>
      <c r="V15" s="210"/>
      <c r="W15" s="210"/>
      <c r="X15" s="210"/>
      <c r="Y15" s="211"/>
      <c r="AA15" s="212"/>
      <c r="AB15" s="213"/>
      <c r="AC15" s="214"/>
      <c r="AD15" s="215"/>
      <c r="AF15" s="183">
        <f t="shared" si="0"/>
        <v>80236.799999999988</v>
      </c>
      <c r="AG15" s="183">
        <f t="shared" si="1"/>
        <v>0</v>
      </c>
    </row>
    <row r="16" spans="1:33" ht="24.95" customHeight="1" x14ac:dyDescent="0.25">
      <c r="A16" s="162">
        <v>12</v>
      </c>
      <c r="B16" s="196">
        <f t="shared" si="2"/>
        <v>3656000</v>
      </c>
      <c r="C16" s="208">
        <f t="shared" si="3"/>
        <v>121866.66666666667</v>
      </c>
      <c r="D16" s="299">
        <f t="shared" si="4"/>
        <v>3656000</v>
      </c>
      <c r="E16" s="299">
        <f t="shared" si="5"/>
        <v>3106000</v>
      </c>
      <c r="F16" s="556">
        <v>3381000</v>
      </c>
      <c r="G16" s="198">
        <v>275000</v>
      </c>
      <c r="H16" s="199"/>
      <c r="I16" s="198"/>
      <c r="J16" s="199"/>
      <c r="K16" s="198">
        <v>30</v>
      </c>
      <c r="L16" s="199">
        <v>30</v>
      </c>
      <c r="M16" s="198"/>
      <c r="N16" s="199"/>
      <c r="O16" s="198"/>
      <c r="P16" s="200"/>
      <c r="Q16" s="198">
        <v>1</v>
      </c>
      <c r="R16" s="200">
        <v>275000</v>
      </c>
      <c r="T16" s="209"/>
      <c r="U16" s="210"/>
      <c r="V16" s="210"/>
      <c r="W16" s="210"/>
      <c r="X16" s="210"/>
      <c r="Y16" s="211"/>
      <c r="AA16" s="212"/>
      <c r="AB16" s="213"/>
      <c r="AC16" s="214"/>
      <c r="AD16" s="215"/>
      <c r="AF16" s="183">
        <f t="shared" si="0"/>
        <v>64915.199999999997</v>
      </c>
      <c r="AG16" s="183">
        <f t="shared" si="1"/>
        <v>0</v>
      </c>
    </row>
    <row r="17" spans="1:35" ht="24.95" customHeight="1" x14ac:dyDescent="0.25">
      <c r="A17" s="162">
        <v>13</v>
      </c>
      <c r="B17" s="196">
        <f t="shared" si="2"/>
        <v>703000</v>
      </c>
      <c r="C17" s="208">
        <f t="shared" si="3"/>
        <v>70300</v>
      </c>
      <c r="D17" s="299">
        <f t="shared" si="4"/>
        <v>703000</v>
      </c>
      <c r="E17" s="299">
        <f t="shared" si="5"/>
        <v>677000</v>
      </c>
      <c r="F17" s="556">
        <v>677000</v>
      </c>
      <c r="G17" s="198">
        <v>26000</v>
      </c>
      <c r="H17" s="199"/>
      <c r="I17" s="198"/>
      <c r="J17" s="199"/>
      <c r="K17" s="198">
        <v>10</v>
      </c>
      <c r="L17" s="199">
        <v>10</v>
      </c>
      <c r="M17" s="198"/>
      <c r="N17" s="199"/>
      <c r="O17" s="198"/>
      <c r="P17" s="200"/>
      <c r="Q17" s="198"/>
      <c r="R17" s="200"/>
      <c r="T17" s="209"/>
      <c r="U17" s="210"/>
      <c r="V17" s="210"/>
      <c r="W17" s="210"/>
      <c r="X17" s="210"/>
      <c r="Y17" s="211"/>
      <c r="AA17" s="212"/>
      <c r="AB17" s="213"/>
      <c r="AC17" s="214"/>
      <c r="AD17" s="215"/>
      <c r="AF17" s="183">
        <f t="shared" si="0"/>
        <v>12998.4</v>
      </c>
      <c r="AG17" s="183">
        <f t="shared" si="1"/>
        <v>0</v>
      </c>
    </row>
    <row r="18" spans="1:35" ht="24.95" customHeight="1" x14ac:dyDescent="0.25">
      <c r="A18" s="162">
        <v>14</v>
      </c>
      <c r="B18" s="196">
        <f t="shared" si="2"/>
        <v>2931000</v>
      </c>
      <c r="C18" s="208">
        <f t="shared" si="3"/>
        <v>146550</v>
      </c>
      <c r="D18" s="299">
        <f t="shared" si="4"/>
        <v>2931000</v>
      </c>
      <c r="E18" s="299">
        <f t="shared" si="5"/>
        <v>2643000</v>
      </c>
      <c r="F18" s="556">
        <v>2744000</v>
      </c>
      <c r="G18" s="198">
        <v>187000</v>
      </c>
      <c r="H18" s="199"/>
      <c r="I18" s="198"/>
      <c r="J18" s="199"/>
      <c r="K18" s="198">
        <v>20</v>
      </c>
      <c r="L18" s="199">
        <v>20</v>
      </c>
      <c r="M18" s="198"/>
      <c r="N18" s="199"/>
      <c r="O18" s="198"/>
      <c r="P18" s="200"/>
      <c r="Q18" s="198">
        <v>1</v>
      </c>
      <c r="R18" s="200">
        <v>101000</v>
      </c>
      <c r="T18" s="209"/>
      <c r="U18" s="210"/>
      <c r="V18" s="210"/>
      <c r="W18" s="210"/>
      <c r="X18" s="210"/>
      <c r="Y18" s="211"/>
      <c r="AA18" s="212"/>
      <c r="AB18" s="213"/>
      <c r="AC18" s="214"/>
      <c r="AD18" s="215"/>
      <c r="AF18" s="183">
        <f t="shared" si="0"/>
        <v>52684.799999999996</v>
      </c>
      <c r="AG18" s="183">
        <f t="shared" si="1"/>
        <v>0</v>
      </c>
    </row>
    <row r="19" spans="1:35" ht="24.95" customHeight="1" x14ac:dyDescent="0.25">
      <c r="A19" s="162">
        <v>15</v>
      </c>
      <c r="B19" s="196">
        <f t="shared" si="2"/>
        <v>3600000</v>
      </c>
      <c r="C19" s="208">
        <f t="shared" si="3"/>
        <v>120000</v>
      </c>
      <c r="D19" s="299">
        <f t="shared" si="4"/>
        <v>3600000</v>
      </c>
      <c r="E19" s="299">
        <f t="shared" si="5"/>
        <v>3105000</v>
      </c>
      <c r="F19" s="556">
        <v>3401000</v>
      </c>
      <c r="G19" s="198">
        <v>199000</v>
      </c>
      <c r="H19" s="199"/>
      <c r="I19" s="198"/>
      <c r="J19" s="199"/>
      <c r="K19" s="198">
        <v>30</v>
      </c>
      <c r="L19" s="199"/>
      <c r="M19" s="198"/>
      <c r="N19" s="199"/>
      <c r="O19" s="198"/>
      <c r="P19" s="200"/>
      <c r="Q19" s="198">
        <v>3</v>
      </c>
      <c r="R19" s="200">
        <v>296000</v>
      </c>
      <c r="T19" s="209"/>
      <c r="U19" s="210"/>
      <c r="V19" s="210"/>
      <c r="W19" s="210"/>
      <c r="X19" s="210"/>
      <c r="Y19" s="211"/>
      <c r="AA19" s="212"/>
      <c r="AB19" s="213"/>
      <c r="AC19" s="214"/>
      <c r="AD19" s="215"/>
      <c r="AF19" s="183">
        <f t="shared" si="0"/>
        <v>65299.199999999997</v>
      </c>
      <c r="AG19" s="183">
        <f t="shared" si="1"/>
        <v>0</v>
      </c>
    </row>
    <row r="20" spans="1:35" ht="24.95" customHeight="1" x14ac:dyDescent="0.25">
      <c r="A20" s="162">
        <v>16</v>
      </c>
      <c r="B20" s="196">
        <f t="shared" si="2"/>
        <v>3674000</v>
      </c>
      <c r="C20" s="208">
        <f t="shared" si="3"/>
        <v>146960</v>
      </c>
      <c r="D20" s="299">
        <f t="shared" si="4"/>
        <v>3674000</v>
      </c>
      <c r="E20" s="299">
        <f t="shared" si="5"/>
        <v>3204000</v>
      </c>
      <c r="F20" s="556">
        <v>3439000</v>
      </c>
      <c r="G20" s="198">
        <v>235000</v>
      </c>
      <c r="H20" s="199"/>
      <c r="I20" s="198"/>
      <c r="J20" s="199"/>
      <c r="K20" s="198">
        <v>25</v>
      </c>
      <c r="L20" s="199">
        <v>25</v>
      </c>
      <c r="M20" s="198"/>
      <c r="N20" s="199"/>
      <c r="O20" s="198"/>
      <c r="P20" s="200"/>
      <c r="Q20" s="198">
        <v>1</v>
      </c>
      <c r="R20" s="200">
        <v>235000</v>
      </c>
      <c r="T20" s="209"/>
      <c r="U20" s="210"/>
      <c r="V20" s="210"/>
      <c r="W20" s="210"/>
      <c r="X20" s="210"/>
      <c r="Y20" s="211"/>
      <c r="AA20" s="212"/>
      <c r="AB20" s="213"/>
      <c r="AC20" s="214"/>
      <c r="AD20" s="215"/>
      <c r="AF20" s="183">
        <f t="shared" si="0"/>
        <v>66028.799999999988</v>
      </c>
      <c r="AG20" s="183">
        <f t="shared" si="1"/>
        <v>0</v>
      </c>
    </row>
    <row r="21" spans="1:35" ht="24.95" customHeight="1" x14ac:dyDescent="0.25">
      <c r="A21" s="162">
        <v>17</v>
      </c>
      <c r="B21" s="196">
        <f t="shared" si="2"/>
        <v>5930000</v>
      </c>
      <c r="C21" s="208">
        <f t="shared" si="3"/>
        <v>152051.28205128206</v>
      </c>
      <c r="D21" s="299">
        <f t="shared" si="4"/>
        <v>5930000</v>
      </c>
      <c r="E21" s="299">
        <f t="shared" si="5"/>
        <v>4154000</v>
      </c>
      <c r="F21" s="556">
        <v>5042000</v>
      </c>
      <c r="G21" s="198">
        <v>888000</v>
      </c>
      <c r="H21" s="199"/>
      <c r="I21" s="198"/>
      <c r="J21" s="199"/>
      <c r="K21" s="198">
        <v>39</v>
      </c>
      <c r="L21" s="199">
        <v>39</v>
      </c>
      <c r="M21" s="198"/>
      <c r="N21" s="199"/>
      <c r="O21" s="198"/>
      <c r="P21" s="200"/>
      <c r="Q21" s="198">
        <v>3</v>
      </c>
      <c r="R21" s="200">
        <v>888000</v>
      </c>
      <c r="T21" s="209"/>
      <c r="U21" s="210"/>
      <c r="V21" s="210"/>
      <c r="W21" s="210"/>
      <c r="X21" s="210"/>
      <c r="Y21" s="211"/>
      <c r="AA21" s="212"/>
      <c r="AB21" s="213"/>
      <c r="AC21" s="214"/>
      <c r="AD21" s="215"/>
      <c r="AF21" s="183">
        <f t="shared" si="0"/>
        <v>96806.399999999994</v>
      </c>
      <c r="AG21" s="183">
        <f t="shared" si="1"/>
        <v>0</v>
      </c>
    </row>
    <row r="22" spans="1:35" ht="24.95" customHeight="1" x14ac:dyDescent="0.25">
      <c r="A22" s="162">
        <v>18</v>
      </c>
      <c r="B22" s="196">
        <f t="shared" si="2"/>
        <v>5736500</v>
      </c>
      <c r="C22" s="208">
        <f t="shared" si="3"/>
        <v>139914.63414634147</v>
      </c>
      <c r="D22" s="299">
        <f t="shared" si="4"/>
        <v>5736500</v>
      </c>
      <c r="E22" s="299">
        <f t="shared" si="5"/>
        <v>4404500</v>
      </c>
      <c r="F22" s="556">
        <v>5005500</v>
      </c>
      <c r="G22" s="198">
        <v>731000</v>
      </c>
      <c r="H22" s="199">
        <v>130000</v>
      </c>
      <c r="I22" s="198"/>
      <c r="J22" s="199"/>
      <c r="K22" s="198">
        <v>41</v>
      </c>
      <c r="L22" s="199">
        <v>41</v>
      </c>
      <c r="M22" s="198"/>
      <c r="N22" s="199"/>
      <c r="O22" s="198"/>
      <c r="P22" s="200"/>
      <c r="Q22" s="198">
        <v>4</v>
      </c>
      <c r="R22" s="200">
        <v>601000</v>
      </c>
      <c r="T22" s="209"/>
      <c r="U22" s="210"/>
      <c r="V22" s="210"/>
      <c r="W22" s="210"/>
      <c r="X22" s="210"/>
      <c r="Y22" s="211"/>
      <c r="AA22" s="212"/>
      <c r="AB22" s="213"/>
      <c r="AC22" s="214"/>
      <c r="AD22" s="215"/>
      <c r="AF22" s="183">
        <f t="shared" si="0"/>
        <v>96105.599999999991</v>
      </c>
      <c r="AG22" s="183">
        <f t="shared" si="1"/>
        <v>0</v>
      </c>
    </row>
    <row r="23" spans="1:35" ht="24.95" customHeight="1" x14ac:dyDescent="0.25">
      <c r="A23" s="162">
        <v>19</v>
      </c>
      <c r="B23" s="196">
        <f t="shared" si="2"/>
        <v>3008000</v>
      </c>
      <c r="C23" s="208">
        <f t="shared" si="3"/>
        <v>120320</v>
      </c>
      <c r="D23" s="299">
        <f t="shared" si="4"/>
        <v>3008000</v>
      </c>
      <c r="E23" s="299">
        <f t="shared" si="5"/>
        <v>2876000</v>
      </c>
      <c r="F23" s="556">
        <v>2942000</v>
      </c>
      <c r="G23" s="198">
        <v>66000</v>
      </c>
      <c r="H23" s="199"/>
      <c r="I23" s="198"/>
      <c r="J23" s="199"/>
      <c r="K23" s="198">
        <v>25</v>
      </c>
      <c r="L23" s="199">
        <v>25</v>
      </c>
      <c r="M23" s="198"/>
      <c r="N23" s="199"/>
      <c r="O23" s="198"/>
      <c r="P23" s="200"/>
      <c r="Q23" s="198">
        <v>1</v>
      </c>
      <c r="R23" s="200">
        <v>66000</v>
      </c>
      <c r="T23" s="209"/>
      <c r="U23" s="210"/>
      <c r="V23" s="210"/>
      <c r="W23" s="210"/>
      <c r="X23" s="210"/>
      <c r="Y23" s="211"/>
      <c r="AA23" s="212"/>
      <c r="AB23" s="213"/>
      <c r="AC23" s="214"/>
      <c r="AD23" s="215"/>
      <c r="AF23" s="183">
        <f t="shared" si="0"/>
        <v>56486.399999999994</v>
      </c>
      <c r="AG23" s="183">
        <f t="shared" si="1"/>
        <v>0</v>
      </c>
    </row>
    <row r="24" spans="1:35" ht="24.95" customHeight="1" x14ac:dyDescent="0.25">
      <c r="A24" s="162">
        <v>20</v>
      </c>
      <c r="B24" s="196">
        <f t="shared" si="2"/>
        <v>2021000</v>
      </c>
      <c r="C24" s="208">
        <f t="shared" si="3"/>
        <v>112277.77777777778</v>
      </c>
      <c r="D24" s="299">
        <f t="shared" si="4"/>
        <v>2021000</v>
      </c>
      <c r="E24" s="299">
        <f t="shared" si="5"/>
        <v>1995000</v>
      </c>
      <c r="F24" s="556">
        <v>1995000</v>
      </c>
      <c r="G24" s="198">
        <v>26000</v>
      </c>
      <c r="H24" s="199"/>
      <c r="I24" s="198"/>
      <c r="J24" s="199"/>
      <c r="K24" s="198">
        <v>18</v>
      </c>
      <c r="L24" s="199">
        <v>18</v>
      </c>
      <c r="M24" s="198"/>
      <c r="N24" s="199"/>
      <c r="O24" s="198"/>
      <c r="P24" s="200"/>
      <c r="Q24" s="198"/>
      <c r="R24" s="200"/>
      <c r="T24" s="209"/>
      <c r="U24" s="210"/>
      <c r="V24" s="210"/>
      <c r="W24" s="210"/>
      <c r="X24" s="210"/>
      <c r="Y24" s="211"/>
      <c r="AA24" s="212"/>
      <c r="AB24" s="213"/>
      <c r="AC24" s="214"/>
      <c r="AD24" s="215"/>
      <c r="AF24" s="183">
        <f t="shared" si="0"/>
        <v>38304</v>
      </c>
      <c r="AG24" s="183">
        <f t="shared" si="1"/>
        <v>0</v>
      </c>
    </row>
    <row r="25" spans="1:35" ht="24.95" customHeight="1" x14ac:dyDescent="0.25">
      <c r="A25" s="162">
        <v>21</v>
      </c>
      <c r="B25" s="196">
        <f t="shared" si="2"/>
        <v>2899500</v>
      </c>
      <c r="C25" s="208">
        <f t="shared" si="3"/>
        <v>144975</v>
      </c>
      <c r="D25" s="299">
        <f t="shared" si="4"/>
        <v>2899500</v>
      </c>
      <c r="E25" s="299">
        <f t="shared" si="5"/>
        <v>2152500</v>
      </c>
      <c r="F25" s="556">
        <v>2457500</v>
      </c>
      <c r="G25" s="198">
        <v>442000</v>
      </c>
      <c r="H25" s="199"/>
      <c r="I25" s="198"/>
      <c r="J25" s="199"/>
      <c r="K25" s="198">
        <v>20</v>
      </c>
      <c r="L25" s="199">
        <v>20</v>
      </c>
      <c r="M25" s="198"/>
      <c r="N25" s="199"/>
      <c r="O25" s="198"/>
      <c r="P25" s="200"/>
      <c r="Q25" s="198">
        <v>1</v>
      </c>
      <c r="R25" s="200">
        <v>305000</v>
      </c>
      <c r="T25" s="209"/>
      <c r="U25" s="210"/>
      <c r="V25" s="210"/>
      <c r="W25" s="210"/>
      <c r="X25" s="210"/>
      <c r="Y25" s="211"/>
      <c r="AA25" s="212"/>
      <c r="AB25" s="213"/>
      <c r="AC25" s="214"/>
      <c r="AD25" s="215"/>
      <c r="AF25" s="183">
        <f t="shared" si="0"/>
        <v>47183.999999999993</v>
      </c>
      <c r="AG25" s="183">
        <f t="shared" si="1"/>
        <v>0</v>
      </c>
    </row>
    <row r="26" spans="1:35" ht="24.95" customHeight="1" x14ac:dyDescent="0.25">
      <c r="A26" s="162">
        <v>22</v>
      </c>
      <c r="B26" s="196">
        <f t="shared" si="2"/>
        <v>3592000</v>
      </c>
      <c r="C26" s="208">
        <f t="shared" si="3"/>
        <v>112250</v>
      </c>
      <c r="D26" s="299">
        <f t="shared" si="4"/>
        <v>3592000</v>
      </c>
      <c r="E26" s="299">
        <f t="shared" si="5"/>
        <v>3127000</v>
      </c>
      <c r="F26" s="556">
        <v>3238000</v>
      </c>
      <c r="G26" s="216">
        <v>354000</v>
      </c>
      <c r="H26" s="217"/>
      <c r="I26" s="216"/>
      <c r="J26" s="217"/>
      <c r="K26" s="198">
        <v>32</v>
      </c>
      <c r="L26" s="217">
        <v>32</v>
      </c>
      <c r="M26" s="558"/>
      <c r="N26" s="560"/>
      <c r="O26" s="558"/>
      <c r="P26" s="559"/>
      <c r="Q26" s="558">
        <v>1</v>
      </c>
      <c r="R26" s="559">
        <v>111000</v>
      </c>
      <c r="T26" s="218"/>
      <c r="U26" s="219"/>
      <c r="V26" s="219"/>
      <c r="W26" s="219"/>
      <c r="X26" s="219"/>
      <c r="Y26" s="220"/>
      <c r="AA26" s="221"/>
      <c r="AB26" s="222"/>
      <c r="AC26" s="214"/>
      <c r="AD26" s="215"/>
      <c r="AF26" s="183">
        <f t="shared" si="0"/>
        <v>62169.599999999991</v>
      </c>
      <c r="AG26" s="183">
        <f t="shared" si="1"/>
        <v>0</v>
      </c>
    </row>
    <row r="27" spans="1:35" ht="24.95" customHeight="1" x14ac:dyDescent="0.25">
      <c r="A27" s="162">
        <v>23</v>
      </c>
      <c r="B27" s="196">
        <f t="shared" si="2"/>
        <v>2810000</v>
      </c>
      <c r="C27" s="208">
        <f t="shared" si="3"/>
        <v>127727.27272727272</v>
      </c>
      <c r="D27" s="299">
        <f t="shared" si="4"/>
        <v>2810000</v>
      </c>
      <c r="E27" s="299">
        <f t="shared" si="5"/>
        <v>2810000</v>
      </c>
      <c r="F27" s="556">
        <v>2810000</v>
      </c>
      <c r="G27" s="198"/>
      <c r="H27" s="199"/>
      <c r="I27" s="198"/>
      <c r="J27" s="199"/>
      <c r="K27" s="198">
        <v>22</v>
      </c>
      <c r="L27" s="199">
        <v>22</v>
      </c>
      <c r="M27" s="198"/>
      <c r="N27" s="199"/>
      <c r="O27" s="198"/>
      <c r="P27" s="200"/>
      <c r="Q27" s="198"/>
      <c r="R27" s="200"/>
      <c r="T27" s="209"/>
      <c r="U27" s="210"/>
      <c r="V27" s="210"/>
      <c r="W27" s="210"/>
      <c r="X27" s="210"/>
      <c r="Y27" s="211"/>
      <c r="AA27" s="212"/>
      <c r="AB27" s="213"/>
      <c r="AC27" s="214"/>
      <c r="AD27" s="215"/>
      <c r="AF27" s="183">
        <f t="shared" si="0"/>
        <v>53951.999999999993</v>
      </c>
      <c r="AG27" s="183">
        <f t="shared" si="1"/>
        <v>0</v>
      </c>
    </row>
    <row r="28" spans="1:35" ht="24.95" customHeight="1" x14ac:dyDescent="0.25">
      <c r="A28" s="162">
        <v>24</v>
      </c>
      <c r="B28" s="196">
        <f t="shared" si="2"/>
        <v>4721000</v>
      </c>
      <c r="C28" s="208">
        <f t="shared" si="3"/>
        <v>107295.45454545454</v>
      </c>
      <c r="D28" s="299">
        <f t="shared" si="4"/>
        <v>4721000</v>
      </c>
      <c r="E28" s="299">
        <f t="shared" si="5"/>
        <v>4117000</v>
      </c>
      <c r="F28" s="556">
        <v>4377000</v>
      </c>
      <c r="G28" s="198">
        <v>344000</v>
      </c>
      <c r="H28" s="199"/>
      <c r="I28" s="198"/>
      <c r="J28" s="199"/>
      <c r="K28" s="198">
        <v>44</v>
      </c>
      <c r="L28" s="199">
        <v>44</v>
      </c>
      <c r="M28" s="198"/>
      <c r="N28" s="199"/>
      <c r="O28" s="198"/>
      <c r="P28" s="200"/>
      <c r="Q28" s="198">
        <v>1</v>
      </c>
      <c r="R28" s="200">
        <v>260000</v>
      </c>
      <c r="S28" s="424"/>
      <c r="T28" s="209"/>
      <c r="U28" s="210"/>
      <c r="V28" s="210"/>
      <c r="W28" s="210"/>
      <c r="X28" s="210"/>
      <c r="Y28" s="211"/>
      <c r="AA28" s="212"/>
      <c r="AB28" s="213"/>
      <c r="AC28" s="214"/>
      <c r="AD28" s="215"/>
      <c r="AF28" s="183">
        <f t="shared" si="0"/>
        <v>84038.399999999994</v>
      </c>
      <c r="AG28" s="183">
        <f t="shared" si="1"/>
        <v>0</v>
      </c>
    </row>
    <row r="29" spans="1:35" ht="24.95" customHeight="1" x14ac:dyDescent="0.25">
      <c r="A29" s="162">
        <v>25</v>
      </c>
      <c r="B29" s="196">
        <f t="shared" si="2"/>
        <v>6381000</v>
      </c>
      <c r="C29" s="208">
        <f t="shared" si="3"/>
        <v>145022.72727272726</v>
      </c>
      <c r="D29" s="299">
        <f t="shared" si="4"/>
        <v>6381000</v>
      </c>
      <c r="E29" s="299">
        <f t="shared" si="5"/>
        <v>4919000</v>
      </c>
      <c r="F29" s="556">
        <v>5650000</v>
      </c>
      <c r="G29" s="198">
        <v>731000</v>
      </c>
      <c r="H29" s="199"/>
      <c r="I29" s="198"/>
      <c r="J29" s="199"/>
      <c r="K29" s="198">
        <v>44</v>
      </c>
      <c r="L29" s="199">
        <v>44</v>
      </c>
      <c r="M29" s="198"/>
      <c r="N29" s="199"/>
      <c r="O29" s="198"/>
      <c r="P29" s="200"/>
      <c r="Q29" s="198">
        <v>5</v>
      </c>
      <c r="R29" s="200">
        <v>731000</v>
      </c>
      <c r="T29" s="209"/>
      <c r="U29" s="210"/>
      <c r="V29" s="210"/>
      <c r="W29" s="210"/>
      <c r="X29" s="210"/>
      <c r="Y29" s="211"/>
      <c r="AA29" s="212"/>
      <c r="AB29" s="213"/>
      <c r="AC29" s="214"/>
      <c r="AD29" s="215"/>
      <c r="AF29" s="183">
        <f t="shared" si="0"/>
        <v>108479.99999999999</v>
      </c>
      <c r="AG29" s="183">
        <f t="shared" si="1"/>
        <v>0</v>
      </c>
    </row>
    <row r="30" spans="1:35" ht="24.95" customHeight="1" x14ac:dyDescent="0.25">
      <c r="A30" s="162">
        <v>26</v>
      </c>
      <c r="B30" s="196">
        <f t="shared" si="2"/>
        <v>2420000</v>
      </c>
      <c r="C30" s="208">
        <f t="shared" si="3"/>
        <v>121000</v>
      </c>
      <c r="D30" s="299">
        <f t="shared" si="4"/>
        <v>2420000</v>
      </c>
      <c r="E30" s="299">
        <f t="shared" si="5"/>
        <v>2362000</v>
      </c>
      <c r="F30" s="556">
        <v>2362000</v>
      </c>
      <c r="G30" s="198">
        <v>58000</v>
      </c>
      <c r="H30" s="199"/>
      <c r="I30" s="198"/>
      <c r="J30" s="199"/>
      <c r="K30" s="198">
        <v>20</v>
      </c>
      <c r="L30" s="199">
        <v>20</v>
      </c>
      <c r="M30" s="198"/>
      <c r="N30" s="199"/>
      <c r="O30" s="198"/>
      <c r="P30" s="200"/>
      <c r="Q30" s="198"/>
      <c r="R30" s="200"/>
      <c r="T30" s="209"/>
      <c r="U30" s="210"/>
      <c r="V30" s="210"/>
      <c r="W30" s="210"/>
      <c r="X30" s="210"/>
      <c r="Y30" s="211"/>
      <c r="AA30" s="212"/>
      <c r="AB30" s="213"/>
      <c r="AC30" s="214"/>
      <c r="AD30" s="215"/>
      <c r="AF30" s="183">
        <f t="shared" si="0"/>
        <v>45350.399999999994</v>
      </c>
      <c r="AG30" s="183">
        <f t="shared" si="1"/>
        <v>0</v>
      </c>
    </row>
    <row r="31" spans="1:35" ht="24.95" customHeight="1" x14ac:dyDescent="0.25">
      <c r="A31" s="162">
        <v>27</v>
      </c>
      <c r="B31" s="196">
        <f t="shared" si="2"/>
        <v>0</v>
      </c>
      <c r="C31" s="208">
        <f t="shared" si="3"/>
        <v>0</v>
      </c>
      <c r="D31" s="299">
        <f t="shared" si="4"/>
        <v>0</v>
      </c>
      <c r="E31" s="299">
        <f t="shared" si="5"/>
        <v>0</v>
      </c>
      <c r="F31" s="556"/>
      <c r="G31" s="198"/>
      <c r="H31" s="199"/>
      <c r="I31" s="198"/>
      <c r="J31" s="199"/>
      <c r="K31" s="198"/>
      <c r="L31" s="199"/>
      <c r="M31" s="198"/>
      <c r="N31" s="199"/>
      <c r="O31" s="198"/>
      <c r="P31" s="200"/>
      <c r="Q31" s="198"/>
      <c r="R31" s="200"/>
      <c r="T31" s="209"/>
      <c r="U31" s="210"/>
      <c r="V31" s="210"/>
      <c r="W31" s="210"/>
      <c r="X31" s="210"/>
      <c r="Y31" s="211"/>
      <c r="AA31" s="212"/>
      <c r="AB31" s="213"/>
      <c r="AC31" s="214"/>
      <c r="AD31" s="215"/>
      <c r="AF31" s="183">
        <f t="shared" si="0"/>
        <v>0</v>
      </c>
      <c r="AG31" s="183">
        <f t="shared" si="1"/>
        <v>0</v>
      </c>
      <c r="AI31" s="247" t="s">
        <v>259</v>
      </c>
    </row>
    <row r="32" spans="1:35" ht="24.95" customHeight="1" x14ac:dyDescent="0.25">
      <c r="A32" s="162">
        <v>28</v>
      </c>
      <c r="B32" s="196">
        <f t="shared" si="2"/>
        <v>0</v>
      </c>
      <c r="C32" s="208">
        <f t="shared" si="3"/>
        <v>0</v>
      </c>
      <c r="D32" s="299">
        <f t="shared" si="4"/>
        <v>0</v>
      </c>
      <c r="E32" s="299">
        <f t="shared" si="5"/>
        <v>0</v>
      </c>
      <c r="F32" s="556"/>
      <c r="G32" s="198"/>
      <c r="H32" s="199"/>
      <c r="I32" s="198"/>
      <c r="J32" s="199"/>
      <c r="K32" s="198"/>
      <c r="L32" s="199"/>
      <c r="M32" s="198"/>
      <c r="N32" s="199"/>
      <c r="O32" s="198"/>
      <c r="P32" s="200"/>
      <c r="Q32" s="198"/>
      <c r="R32" s="200"/>
      <c r="T32" s="209"/>
      <c r="U32" s="210"/>
      <c r="V32" s="210"/>
      <c r="W32" s="210"/>
      <c r="X32" s="210"/>
      <c r="Y32" s="211"/>
      <c r="AA32" s="212"/>
      <c r="AB32" s="213"/>
      <c r="AC32" s="214"/>
      <c r="AD32" s="215"/>
      <c r="AF32" s="183">
        <f t="shared" si="0"/>
        <v>0</v>
      </c>
      <c r="AG32" s="183">
        <f t="shared" si="1"/>
        <v>0</v>
      </c>
    </row>
    <row r="33" spans="1:33" ht="24.95" customHeight="1" x14ac:dyDescent="0.25">
      <c r="A33" s="162">
        <v>29</v>
      </c>
      <c r="B33" s="196">
        <f t="shared" si="2"/>
        <v>0</v>
      </c>
      <c r="C33" s="208">
        <f t="shared" si="3"/>
        <v>0</v>
      </c>
      <c r="D33" s="299">
        <f t="shared" si="4"/>
        <v>0</v>
      </c>
      <c r="E33" s="299">
        <f t="shared" si="5"/>
        <v>0</v>
      </c>
      <c r="F33" s="556"/>
      <c r="G33" s="198"/>
      <c r="H33" s="199"/>
      <c r="I33" s="198"/>
      <c r="J33" s="199"/>
      <c r="K33" s="198"/>
      <c r="L33" s="199"/>
      <c r="M33" s="198"/>
      <c r="N33" s="199"/>
      <c r="O33" s="198"/>
      <c r="P33" s="200"/>
      <c r="Q33" s="198"/>
      <c r="R33" s="200"/>
      <c r="T33" s="209"/>
      <c r="U33" s="210"/>
      <c r="V33" s="210"/>
      <c r="W33" s="210"/>
      <c r="X33" s="210"/>
      <c r="Y33" s="211"/>
      <c r="AA33" s="212"/>
      <c r="AB33" s="213"/>
      <c r="AC33" s="214"/>
      <c r="AD33" s="215"/>
      <c r="AF33" s="183">
        <f t="shared" si="0"/>
        <v>0</v>
      </c>
      <c r="AG33" s="183">
        <f t="shared" si="1"/>
        <v>0</v>
      </c>
    </row>
    <row r="34" spans="1:33" ht="24.95" customHeight="1" x14ac:dyDescent="0.25">
      <c r="A34" s="162">
        <v>30</v>
      </c>
      <c r="B34" s="196">
        <f t="shared" si="2"/>
        <v>0</v>
      </c>
      <c r="C34" s="208">
        <f t="shared" si="3"/>
        <v>0</v>
      </c>
      <c r="D34" s="299">
        <f t="shared" si="4"/>
        <v>0</v>
      </c>
      <c r="E34" s="299">
        <f t="shared" si="5"/>
        <v>0</v>
      </c>
      <c r="F34" s="556"/>
      <c r="G34" s="198"/>
      <c r="H34" s="199"/>
      <c r="I34" s="198"/>
      <c r="J34" s="199"/>
      <c r="K34" s="198"/>
      <c r="L34" s="199"/>
      <c r="M34" s="198"/>
      <c r="N34" s="199"/>
      <c r="O34" s="198"/>
      <c r="P34" s="200"/>
      <c r="Q34" s="198"/>
      <c r="R34" s="200"/>
      <c r="T34" s="209"/>
      <c r="U34" s="210"/>
      <c r="V34" s="210"/>
      <c r="W34" s="210"/>
      <c r="X34" s="210"/>
      <c r="Y34" s="211"/>
      <c r="AA34" s="212"/>
      <c r="AB34" s="213"/>
      <c r="AC34" s="214"/>
      <c r="AD34" s="215"/>
      <c r="AF34" s="183">
        <f t="shared" si="0"/>
        <v>0</v>
      </c>
      <c r="AG34" s="183">
        <f t="shared" si="1"/>
        <v>0</v>
      </c>
    </row>
    <row r="35" spans="1:33" ht="24.95" customHeight="1" thickBot="1" x14ac:dyDescent="0.3">
      <c r="A35" s="175">
        <v>31</v>
      </c>
      <c r="B35" s="196">
        <f t="shared" si="2"/>
        <v>0</v>
      </c>
      <c r="C35" s="208">
        <f t="shared" si="3"/>
        <v>0</v>
      </c>
      <c r="D35" s="299">
        <f t="shared" si="4"/>
        <v>0</v>
      </c>
      <c r="E35" s="299">
        <f t="shared" si="5"/>
        <v>0</v>
      </c>
      <c r="F35" s="557"/>
      <c r="G35" s="223"/>
      <c r="H35" s="224"/>
      <c r="I35" s="223"/>
      <c r="J35" s="224"/>
      <c r="K35" s="198"/>
      <c r="L35" s="224"/>
      <c r="M35" s="223"/>
      <c r="N35" s="224"/>
      <c r="O35" s="223"/>
      <c r="P35" s="225"/>
      <c r="Q35" s="223"/>
      <c r="R35" s="225"/>
      <c r="T35" s="226"/>
      <c r="U35" s="227"/>
      <c r="V35" s="227"/>
      <c r="W35" s="227"/>
      <c r="X35" s="227"/>
      <c r="Y35" s="228"/>
      <c r="AA35" s="229"/>
      <c r="AB35" s="230"/>
      <c r="AC35" s="231"/>
      <c r="AD35" s="232"/>
      <c r="AF35" s="183">
        <f t="shared" si="0"/>
        <v>0</v>
      </c>
      <c r="AG35" s="183">
        <f t="shared" si="1"/>
        <v>0</v>
      </c>
    </row>
    <row r="36" spans="1:33" s="237" customFormat="1" ht="24.95" customHeight="1" thickBot="1" x14ac:dyDescent="0.3">
      <c r="A36" s="176" t="s">
        <v>27</v>
      </c>
      <c r="B36" s="233">
        <f>SUM(B5:B35)</f>
        <v>78788500</v>
      </c>
      <c r="C36" s="234">
        <f>IFERROR(B36/(K36+M36),0)</f>
        <v>122532.65940902021</v>
      </c>
      <c r="D36" s="234">
        <f t="shared" ref="D36:N36" si="6">SUM(D5:D35)</f>
        <v>78788500</v>
      </c>
      <c r="E36" s="234">
        <f>SUM(E5:E35)</f>
        <v>69134500</v>
      </c>
      <c r="F36" s="234">
        <f t="shared" si="6"/>
        <v>73220500</v>
      </c>
      <c r="G36" s="234">
        <f t="shared" si="6"/>
        <v>5568000</v>
      </c>
      <c r="H36" s="235">
        <f t="shared" si="6"/>
        <v>130000</v>
      </c>
      <c r="I36" s="234">
        <f t="shared" si="6"/>
        <v>0</v>
      </c>
      <c r="J36" s="235">
        <f t="shared" si="6"/>
        <v>0</v>
      </c>
      <c r="K36" s="234">
        <f t="shared" si="6"/>
        <v>643</v>
      </c>
      <c r="L36" s="235">
        <f t="shared" si="6"/>
        <v>613</v>
      </c>
      <c r="M36" s="234">
        <f t="shared" si="6"/>
        <v>0</v>
      </c>
      <c r="N36" s="235">
        <f t="shared" si="6"/>
        <v>0</v>
      </c>
      <c r="O36" s="234">
        <f>SUM(O5:O35)</f>
        <v>1</v>
      </c>
      <c r="P36" s="236">
        <f>SUM(P5:P35)</f>
        <v>182000</v>
      </c>
      <c r="Q36" s="234">
        <f>SUM(Q5:Q35)</f>
        <v>24</v>
      </c>
      <c r="R36" s="236">
        <f>SUM(R5:R35)</f>
        <v>4086000</v>
      </c>
      <c r="T36" s="238">
        <f t="shared" ref="T36:Y36" si="7">SUM(T5:T35)</f>
        <v>0</v>
      </c>
      <c r="U36" s="239">
        <f t="shared" si="7"/>
        <v>0</v>
      </c>
      <c r="V36" s="239">
        <f t="shared" si="7"/>
        <v>0</v>
      </c>
      <c r="W36" s="239">
        <f t="shared" si="7"/>
        <v>0</v>
      </c>
      <c r="X36" s="239">
        <f t="shared" si="7"/>
        <v>0</v>
      </c>
      <c r="Y36" s="240">
        <f t="shared" si="7"/>
        <v>0</v>
      </c>
      <c r="AA36" s="241">
        <f>SUM(AA5:AA35)</f>
        <v>0</v>
      </c>
      <c r="AB36" s="242">
        <f>SUM(AB5:AB35)</f>
        <v>0</v>
      </c>
      <c r="AC36" s="243"/>
      <c r="AD36" s="244"/>
      <c r="AF36" s="245">
        <f>SUM(AF5:AF35)</f>
        <v>1405833.5999999999</v>
      </c>
      <c r="AG36" s="245">
        <f>SUM(AG5:AG35)</f>
        <v>0</v>
      </c>
    </row>
  </sheetData>
  <protectedRanges>
    <protectedRange algorithmName="SHA-512" hashValue="u9o8jVn7uiJNFqGumTgHMkLh9V+XJ2VtM/J9rbiQHs0A1x04z0SerEJnhwnYZ3Xzrxk+MnnDd8rK5MHKrSztkg==" saltValue="ZkR2b9pzUCCDPctkVCK1iQ==" spinCount="100000" sqref="F6:L35 S5:AD35" name="입력"/>
    <protectedRange sqref="F6:L35 S5:AD35" name="범위1"/>
    <protectedRange sqref="M5:R35" name="수단_1"/>
    <protectedRange algorithmName="SHA-512" hashValue="u9o8jVn7uiJNFqGumTgHMkLh9V+XJ2VtM/J9rbiQHs0A1x04z0SerEJnhwnYZ3Xzrxk+MnnDd8rK5MHKrSztkg==" saltValue="ZkR2b9pzUCCDPctkVCK1iQ==" spinCount="100000" sqref="F5:L5" name="입력_1"/>
    <protectedRange sqref="F5:L5" name="범위1_1"/>
  </protectedRanges>
  <mergeCells count="16">
    <mergeCell ref="D1:F1"/>
    <mergeCell ref="AD3:AD4"/>
    <mergeCell ref="AA3:AC3"/>
    <mergeCell ref="A3:A4"/>
    <mergeCell ref="B3:B4"/>
    <mergeCell ref="F3:F4"/>
    <mergeCell ref="C3:C4"/>
    <mergeCell ref="G3:H3"/>
    <mergeCell ref="I3:J3"/>
    <mergeCell ref="K3:L3"/>
    <mergeCell ref="M3:N3"/>
    <mergeCell ref="O3:P3"/>
    <mergeCell ref="T3:Y3"/>
    <mergeCell ref="D3:D4"/>
    <mergeCell ref="E3:E4"/>
    <mergeCell ref="Q3:R3"/>
  </mergeCells>
  <phoneticPr fontId="46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31FE-01C2-4DF4-B6DC-59AFE498EDC8}">
  <sheetPr codeName="Sheet8">
    <tabColor theme="7" tint="0.79998168889431442"/>
  </sheetPr>
  <dimension ref="B1:AC47"/>
  <sheetViews>
    <sheetView topLeftCell="A14" zoomScale="85" zoomScaleNormal="85" workbookViewId="0">
      <selection activeCell="J36" sqref="J36"/>
    </sheetView>
  </sheetViews>
  <sheetFormatPr defaultColWidth="8.85546875" defaultRowHeight="13.5" x14ac:dyDescent="0.25"/>
  <cols>
    <col min="1" max="1" width="1.7109375" style="136" customWidth="1"/>
    <col min="2" max="3" width="14" style="136" customWidth="1"/>
    <col min="4" max="4" width="12.140625" style="136" customWidth="1"/>
    <col min="5" max="5" width="8.5703125" style="136" customWidth="1"/>
    <col min="6" max="7" width="11.85546875" style="136" customWidth="1"/>
    <col min="8" max="8" width="20.85546875" style="136" customWidth="1"/>
    <col min="9" max="9" width="10.85546875" style="136" customWidth="1"/>
    <col min="10" max="11" width="18.7109375" style="136" customWidth="1"/>
    <col min="12" max="12" width="22.7109375" style="136" customWidth="1"/>
    <col min="13" max="13" width="3.5703125" style="136" customWidth="1"/>
    <col min="14" max="14" width="27.42578125" style="136" customWidth="1"/>
    <col min="15" max="15" width="2.28515625" style="136" customWidth="1"/>
    <col min="16" max="16" width="13.42578125" style="136" customWidth="1"/>
    <col min="17" max="17" width="10" style="136" customWidth="1"/>
    <col min="18" max="18" width="8.85546875" style="136" customWidth="1"/>
    <col min="19" max="19" width="10.7109375" style="136" customWidth="1"/>
    <col min="20" max="20" width="1.85546875" style="136" customWidth="1"/>
    <col min="21" max="21" width="10.5703125" style="136" customWidth="1"/>
    <col min="22" max="22" width="8.85546875" style="136" customWidth="1"/>
    <col min="23" max="23" width="10.5703125" style="136" customWidth="1"/>
    <col min="24" max="25" width="8.85546875" style="136" customWidth="1"/>
    <col min="26" max="26" width="2.7109375" style="136" customWidth="1"/>
    <col min="27" max="27" width="11.5703125" style="136" customWidth="1"/>
    <col min="28" max="16384" width="8.85546875" style="136"/>
  </cols>
  <sheetData>
    <row r="1" spans="2:29" ht="20.25" x14ac:dyDescent="0.25">
      <c r="B1" s="248" t="s">
        <v>157</v>
      </c>
      <c r="D1" s="273" t="s">
        <v>133</v>
      </c>
    </row>
    <row r="2" spans="2:29" ht="6" customHeight="1" x14ac:dyDescent="0.25">
      <c r="B2" s="246"/>
    </row>
    <row r="3" spans="2:29" ht="18" thickBot="1" x14ac:dyDescent="0.3">
      <c r="B3" s="246" t="s">
        <v>487</v>
      </c>
      <c r="H3" s="274"/>
      <c r="I3" s="274"/>
      <c r="P3" s="100"/>
      <c r="Q3" s="100"/>
      <c r="R3" s="100"/>
      <c r="S3" s="100"/>
      <c r="T3"/>
      <c r="U3" s="429">
        <v>3.5950000000000003E-2</v>
      </c>
      <c r="V3" s="429">
        <v>0.13139999999999999</v>
      </c>
      <c r="W3" s="429">
        <v>4.7500000000000001E-2</v>
      </c>
      <c r="X3" s="429">
        <v>8.9999999999999993E-3</v>
      </c>
      <c r="Y3" s="100"/>
      <c r="Z3"/>
      <c r="AA3" s="100"/>
    </row>
    <row r="4" spans="2:29" s="279" customFormat="1" ht="21.95" customHeight="1" thickTop="1" thickBot="1" x14ac:dyDescent="0.3">
      <c r="B4" s="275" t="s">
        <v>108</v>
      </c>
      <c r="C4" s="276" t="s">
        <v>109</v>
      </c>
      <c r="D4" s="277" t="s">
        <v>121</v>
      </c>
      <c r="E4" s="277" t="s">
        <v>122</v>
      </c>
      <c r="F4" s="277" t="s">
        <v>124</v>
      </c>
      <c r="G4" s="277" t="s">
        <v>125</v>
      </c>
      <c r="H4" s="278" t="s">
        <v>112</v>
      </c>
      <c r="I4" s="499" t="s">
        <v>137</v>
      </c>
      <c r="J4" s="277" t="s">
        <v>115</v>
      </c>
      <c r="K4" s="277" t="s">
        <v>114</v>
      </c>
      <c r="L4" s="278" t="s">
        <v>116</v>
      </c>
      <c r="N4" s="292" t="s">
        <v>489</v>
      </c>
      <c r="P4" s="425" t="s">
        <v>256</v>
      </c>
      <c r="Q4" s="105" t="s">
        <v>145</v>
      </c>
      <c r="R4" s="105" t="s">
        <v>146</v>
      </c>
      <c r="S4" s="425" t="s">
        <v>257</v>
      </c>
      <c r="T4" s="72"/>
      <c r="U4" s="426" t="s">
        <v>139</v>
      </c>
      <c r="V4" s="426" t="s">
        <v>141</v>
      </c>
      <c r="W4" s="426" t="s">
        <v>140</v>
      </c>
      <c r="X4" s="426" t="s">
        <v>142</v>
      </c>
      <c r="Y4" s="427" t="s">
        <v>143</v>
      </c>
      <c r="Z4"/>
      <c r="AA4" s="106" t="s">
        <v>144</v>
      </c>
    </row>
    <row r="5" spans="2:29" x14ac:dyDescent="0.25">
      <c r="B5" s="888" t="s">
        <v>110</v>
      </c>
      <c r="C5" s="491" t="s">
        <v>507</v>
      </c>
      <c r="D5" s="492" t="s">
        <v>119</v>
      </c>
      <c r="E5" s="495" t="s">
        <v>508</v>
      </c>
      <c r="F5" s="561">
        <v>46022</v>
      </c>
      <c r="G5" s="493"/>
      <c r="H5" s="565" t="s">
        <v>509</v>
      </c>
      <c r="I5" s="260" t="s">
        <v>258</v>
      </c>
      <c r="J5" s="495" t="s">
        <v>510</v>
      </c>
      <c r="K5" s="495" t="s">
        <v>511</v>
      </c>
      <c r="L5" s="515" t="s">
        <v>512</v>
      </c>
      <c r="M5" s="247"/>
      <c r="N5" s="505">
        <v>3600000</v>
      </c>
      <c r="O5" s="504"/>
      <c r="P5" s="428">
        <f>N5-200000</f>
        <v>3400000</v>
      </c>
      <c r="Q5" s="428">
        <v>200000</v>
      </c>
      <c r="R5" s="428"/>
      <c r="S5" s="428">
        <f>P5+Q5+R5</f>
        <v>3600000</v>
      </c>
      <c r="T5" s="430"/>
      <c r="U5" s="430">
        <f>TRUNC(P5*$U$3,-1)</f>
        <v>122230</v>
      </c>
      <c r="V5" s="430">
        <f>TRUNC(U5*$V$3,-1)</f>
        <v>16060</v>
      </c>
      <c r="W5" s="430">
        <f>TRUNC(P5*$W$3,-1)</f>
        <v>161500</v>
      </c>
      <c r="X5" s="430">
        <f>TRUNC(P5*$X$3,-1)</f>
        <v>30600</v>
      </c>
      <c r="Y5" s="430">
        <f>SUM(U5:X5)</f>
        <v>330390</v>
      </c>
      <c r="Z5" s="430"/>
      <c r="AA5" s="431">
        <f>S5+Y5</f>
        <v>3930390</v>
      </c>
    </row>
    <row r="6" spans="2:29" x14ac:dyDescent="0.25">
      <c r="B6" s="889"/>
      <c r="C6" s="491" t="s">
        <v>513</v>
      </c>
      <c r="D6" s="492" t="s">
        <v>119</v>
      </c>
      <c r="E6" s="495" t="s">
        <v>508</v>
      </c>
      <c r="F6" s="493">
        <v>46113</v>
      </c>
      <c r="G6" s="493"/>
      <c r="H6" s="565" t="s">
        <v>514</v>
      </c>
      <c r="I6" s="260" t="s">
        <v>258</v>
      </c>
      <c r="J6" s="495" t="s">
        <v>515</v>
      </c>
      <c r="K6" s="495" t="s">
        <v>516</v>
      </c>
      <c r="L6" s="515" t="s">
        <v>517</v>
      </c>
      <c r="N6" s="506">
        <v>3400000</v>
      </c>
      <c r="O6" s="504"/>
      <c r="P6" s="428">
        <f t="shared" ref="P6:P14" si="0">N6-200000</f>
        <v>3200000</v>
      </c>
      <c r="Q6" s="428">
        <v>200000</v>
      </c>
      <c r="R6" s="428"/>
      <c r="S6" s="428">
        <f t="shared" ref="S6:S14" si="1">P6+Q6+R6</f>
        <v>3400000</v>
      </c>
      <c r="T6" s="430"/>
      <c r="U6" s="430">
        <f t="shared" ref="U6:U14" si="2">TRUNC(P6*$U$3,-1)</f>
        <v>115040</v>
      </c>
      <c r="V6" s="430">
        <f t="shared" ref="V6:V14" si="3">TRUNC(U6*$V$3,-1)</f>
        <v>15110</v>
      </c>
      <c r="W6" s="430">
        <f t="shared" ref="W6:W14" si="4">TRUNC(P6*$W$3,-1)</f>
        <v>152000</v>
      </c>
      <c r="X6" s="430">
        <f t="shared" ref="X6:X14" si="5">TRUNC(P6*$X$3,-1)</f>
        <v>28800</v>
      </c>
      <c r="Y6" s="430">
        <f t="shared" ref="Y6:Y14" si="6">SUM(U6:X6)</f>
        <v>310950</v>
      </c>
      <c r="Z6" s="430"/>
      <c r="AA6" s="431">
        <f t="shared" ref="AA6:AA14" si="7">S6+Y6</f>
        <v>3710950</v>
      </c>
    </row>
    <row r="7" spans="2:29" x14ac:dyDescent="0.25">
      <c r="B7" s="889"/>
      <c r="C7" s="280" t="s">
        <v>518</v>
      </c>
      <c r="D7" s="281" t="s">
        <v>119</v>
      </c>
      <c r="E7" s="268" t="s">
        <v>519</v>
      </c>
      <c r="F7" s="282">
        <v>46113</v>
      </c>
      <c r="G7" s="282"/>
      <c r="H7" s="496" t="s">
        <v>514</v>
      </c>
      <c r="I7" s="260" t="s">
        <v>258</v>
      </c>
      <c r="J7" s="268" t="s">
        <v>520</v>
      </c>
      <c r="K7" s="268" t="s">
        <v>521</v>
      </c>
      <c r="L7" s="497" t="s">
        <v>522</v>
      </c>
      <c r="N7" s="506">
        <v>3400000</v>
      </c>
      <c r="O7" s="504"/>
      <c r="P7" s="428">
        <f t="shared" si="0"/>
        <v>3200000</v>
      </c>
      <c r="Q7" s="428">
        <v>200000</v>
      </c>
      <c r="R7" s="428"/>
      <c r="S7" s="428">
        <f t="shared" si="1"/>
        <v>3400000</v>
      </c>
      <c r="T7" s="430"/>
      <c r="U7" s="430">
        <f t="shared" si="2"/>
        <v>115040</v>
      </c>
      <c r="V7" s="430">
        <f t="shared" si="3"/>
        <v>15110</v>
      </c>
      <c r="W7" s="430">
        <f t="shared" si="4"/>
        <v>152000</v>
      </c>
      <c r="X7" s="430">
        <f t="shared" si="5"/>
        <v>28800</v>
      </c>
      <c r="Y7" s="430">
        <f t="shared" si="6"/>
        <v>310950</v>
      </c>
      <c r="Z7" s="430"/>
      <c r="AA7" s="431">
        <f t="shared" si="7"/>
        <v>3710950</v>
      </c>
    </row>
    <row r="8" spans="2:29" x14ac:dyDescent="0.25">
      <c r="B8" s="889"/>
      <c r="C8" s="280"/>
      <c r="D8" s="281" t="s">
        <v>119</v>
      </c>
      <c r="E8" s="281"/>
      <c r="F8" s="282"/>
      <c r="G8" s="282"/>
      <c r="H8" s="283"/>
      <c r="I8" s="260" t="s">
        <v>258</v>
      </c>
      <c r="J8" s="281"/>
      <c r="K8" s="281"/>
      <c r="L8" s="284"/>
      <c r="N8" s="506"/>
      <c r="O8" s="504"/>
      <c r="P8" s="428">
        <f t="shared" si="0"/>
        <v>-200000</v>
      </c>
      <c r="Q8" s="428">
        <v>200000</v>
      </c>
      <c r="R8" s="428"/>
      <c r="S8" s="428">
        <f t="shared" si="1"/>
        <v>0</v>
      </c>
      <c r="T8" s="430"/>
      <c r="U8" s="430">
        <f t="shared" si="2"/>
        <v>-7190</v>
      </c>
      <c r="V8" s="430">
        <f t="shared" si="3"/>
        <v>-940</v>
      </c>
      <c r="W8" s="430">
        <f t="shared" si="4"/>
        <v>-9500</v>
      </c>
      <c r="X8" s="430">
        <f t="shared" si="5"/>
        <v>-1800</v>
      </c>
      <c r="Y8" s="430">
        <f t="shared" si="6"/>
        <v>-19430</v>
      </c>
      <c r="Z8" s="430"/>
      <c r="AA8" s="431">
        <f t="shared" si="7"/>
        <v>-19430</v>
      </c>
    </row>
    <row r="9" spans="2:29" x14ac:dyDescent="0.25">
      <c r="B9" s="889"/>
      <c r="C9" s="280"/>
      <c r="D9" s="281" t="s">
        <v>119</v>
      </c>
      <c r="E9" s="281"/>
      <c r="F9" s="282"/>
      <c r="G9" s="282"/>
      <c r="H9" s="283"/>
      <c r="I9" s="260" t="s">
        <v>258</v>
      </c>
      <c r="J9" s="281"/>
      <c r="K9" s="281"/>
      <c r="L9" s="284"/>
      <c r="N9" s="506"/>
      <c r="O9" s="504"/>
      <c r="P9" s="428">
        <f t="shared" si="0"/>
        <v>-200000</v>
      </c>
      <c r="Q9" s="428">
        <v>200000</v>
      </c>
      <c r="R9" s="428"/>
      <c r="S9" s="428">
        <f t="shared" si="1"/>
        <v>0</v>
      </c>
      <c r="T9" s="430"/>
      <c r="U9" s="430">
        <f t="shared" si="2"/>
        <v>-7190</v>
      </c>
      <c r="V9" s="430">
        <f t="shared" si="3"/>
        <v>-940</v>
      </c>
      <c r="W9" s="430">
        <f t="shared" si="4"/>
        <v>-9500</v>
      </c>
      <c r="X9" s="430">
        <f t="shared" si="5"/>
        <v>-1800</v>
      </c>
      <c r="Y9" s="430">
        <f t="shared" si="6"/>
        <v>-19430</v>
      </c>
      <c r="Z9" s="430"/>
      <c r="AA9" s="431">
        <f t="shared" si="7"/>
        <v>-19430</v>
      </c>
      <c r="AC9" s="247"/>
    </row>
    <row r="10" spans="2:29" x14ac:dyDescent="0.25">
      <c r="B10" s="889"/>
      <c r="C10" s="280"/>
      <c r="D10" s="281" t="s">
        <v>119</v>
      </c>
      <c r="E10" s="281"/>
      <c r="F10" s="282"/>
      <c r="G10" s="282"/>
      <c r="H10" s="283"/>
      <c r="I10" s="260" t="s">
        <v>258</v>
      </c>
      <c r="J10" s="281"/>
      <c r="K10" s="281"/>
      <c r="L10" s="284"/>
      <c r="N10" s="506"/>
      <c r="O10" s="504"/>
      <c r="P10" s="428">
        <f t="shared" si="0"/>
        <v>-200000</v>
      </c>
      <c r="Q10" s="428">
        <v>200000</v>
      </c>
      <c r="R10" s="428"/>
      <c r="S10" s="428">
        <f t="shared" si="1"/>
        <v>0</v>
      </c>
      <c r="T10" s="430"/>
      <c r="U10" s="430">
        <f t="shared" si="2"/>
        <v>-7190</v>
      </c>
      <c r="V10" s="430">
        <f t="shared" si="3"/>
        <v>-940</v>
      </c>
      <c r="W10" s="430">
        <f t="shared" si="4"/>
        <v>-9500</v>
      </c>
      <c r="X10" s="430">
        <f t="shared" si="5"/>
        <v>-1800</v>
      </c>
      <c r="Y10" s="430">
        <f t="shared" si="6"/>
        <v>-19430</v>
      </c>
      <c r="Z10" s="430"/>
      <c r="AA10" s="431">
        <f t="shared" si="7"/>
        <v>-19430</v>
      </c>
    </row>
    <row r="11" spans="2:29" x14ac:dyDescent="0.25">
      <c r="B11" s="889"/>
      <c r="C11" s="280"/>
      <c r="D11" s="281" t="s">
        <v>119</v>
      </c>
      <c r="E11" s="281"/>
      <c r="F11" s="282"/>
      <c r="G11" s="282"/>
      <c r="H11" s="283"/>
      <c r="I11" s="260" t="s">
        <v>258</v>
      </c>
      <c r="J11" s="281"/>
      <c r="K11" s="281"/>
      <c r="L11" s="284"/>
      <c r="N11" s="506"/>
      <c r="O11" s="504"/>
      <c r="P11" s="428">
        <f t="shared" si="0"/>
        <v>-200000</v>
      </c>
      <c r="Q11" s="428">
        <v>200000</v>
      </c>
      <c r="R11" s="428"/>
      <c r="S11" s="428">
        <f t="shared" si="1"/>
        <v>0</v>
      </c>
      <c r="T11" s="430"/>
      <c r="U11" s="430">
        <f t="shared" si="2"/>
        <v>-7190</v>
      </c>
      <c r="V11" s="430">
        <f t="shared" si="3"/>
        <v>-940</v>
      </c>
      <c r="W11" s="430">
        <f t="shared" si="4"/>
        <v>-9500</v>
      </c>
      <c r="X11" s="430">
        <f t="shared" si="5"/>
        <v>-1800</v>
      </c>
      <c r="Y11" s="430">
        <f t="shared" si="6"/>
        <v>-19430</v>
      </c>
      <c r="Z11" s="430"/>
      <c r="AA11" s="431">
        <f t="shared" si="7"/>
        <v>-19430</v>
      </c>
    </row>
    <row r="12" spans="2:29" x14ac:dyDescent="0.25">
      <c r="B12" s="889"/>
      <c r="C12" s="280"/>
      <c r="D12" s="281" t="s">
        <v>119</v>
      </c>
      <c r="E12" s="281"/>
      <c r="F12" s="282"/>
      <c r="G12" s="282"/>
      <c r="H12" s="283"/>
      <c r="I12" s="260" t="s">
        <v>258</v>
      </c>
      <c r="J12" s="281"/>
      <c r="K12" s="281"/>
      <c r="L12" s="284"/>
      <c r="N12" s="506"/>
      <c r="O12" s="504"/>
      <c r="P12" s="428">
        <f t="shared" si="0"/>
        <v>-200000</v>
      </c>
      <c r="Q12" s="428">
        <v>200000</v>
      </c>
      <c r="R12" s="428"/>
      <c r="S12" s="428">
        <f t="shared" si="1"/>
        <v>0</v>
      </c>
      <c r="T12"/>
      <c r="U12" s="430">
        <f t="shared" si="2"/>
        <v>-7190</v>
      </c>
      <c r="V12" s="430">
        <f t="shared" si="3"/>
        <v>-940</v>
      </c>
      <c r="W12" s="430">
        <f t="shared" si="4"/>
        <v>-9500</v>
      </c>
      <c r="X12" s="430">
        <f t="shared" si="5"/>
        <v>-1800</v>
      </c>
      <c r="Y12" s="430">
        <f t="shared" si="6"/>
        <v>-19430</v>
      </c>
      <c r="Z12" s="430"/>
      <c r="AA12" s="431">
        <f t="shared" si="7"/>
        <v>-19430</v>
      </c>
    </row>
    <row r="13" spans="2:29" x14ac:dyDescent="0.25">
      <c r="B13" s="889"/>
      <c r="C13" s="280"/>
      <c r="D13" s="281" t="s">
        <v>119</v>
      </c>
      <c r="E13" s="281"/>
      <c r="F13" s="282"/>
      <c r="G13" s="282"/>
      <c r="H13" s="283"/>
      <c r="I13" s="260" t="s">
        <v>258</v>
      </c>
      <c r="J13" s="281"/>
      <c r="K13" s="281"/>
      <c r="L13" s="284"/>
      <c r="N13" s="506"/>
      <c r="O13" s="504"/>
      <c r="P13" s="428">
        <f t="shared" si="0"/>
        <v>-200000</v>
      </c>
      <c r="Q13" s="428">
        <v>200000</v>
      </c>
      <c r="R13" s="428"/>
      <c r="S13" s="428">
        <f t="shared" si="1"/>
        <v>0</v>
      </c>
      <c r="T13"/>
      <c r="U13" s="430">
        <f t="shared" si="2"/>
        <v>-7190</v>
      </c>
      <c r="V13" s="430">
        <f t="shared" si="3"/>
        <v>-940</v>
      </c>
      <c r="W13" s="430">
        <f t="shared" si="4"/>
        <v>-9500</v>
      </c>
      <c r="X13" s="430">
        <f t="shared" si="5"/>
        <v>-1800</v>
      </c>
      <c r="Y13" s="430">
        <f t="shared" si="6"/>
        <v>-19430</v>
      </c>
      <c r="Z13" s="430"/>
      <c r="AA13" s="431">
        <f t="shared" si="7"/>
        <v>-19430</v>
      </c>
    </row>
    <row r="14" spans="2:29" ht="14.25" thickBot="1" x14ac:dyDescent="0.3">
      <c r="B14" s="890"/>
      <c r="C14" s="286"/>
      <c r="D14" s="287" t="s">
        <v>119</v>
      </c>
      <c r="E14" s="287"/>
      <c r="F14" s="288"/>
      <c r="G14" s="288"/>
      <c r="H14" s="289"/>
      <c r="I14" s="500" t="s">
        <v>258</v>
      </c>
      <c r="J14" s="287"/>
      <c r="K14" s="287"/>
      <c r="L14" s="290"/>
      <c r="N14" s="507"/>
      <c r="O14" s="504"/>
      <c r="P14" s="428">
        <f t="shared" si="0"/>
        <v>-200000</v>
      </c>
      <c r="Q14" s="428">
        <v>200000</v>
      </c>
      <c r="R14" s="428"/>
      <c r="S14" s="428">
        <f t="shared" si="1"/>
        <v>0</v>
      </c>
      <c r="T14"/>
      <c r="U14" s="430">
        <f t="shared" si="2"/>
        <v>-7190</v>
      </c>
      <c r="V14" s="430">
        <f t="shared" si="3"/>
        <v>-940</v>
      </c>
      <c r="W14" s="430">
        <f t="shared" si="4"/>
        <v>-9500</v>
      </c>
      <c r="X14" s="430">
        <f t="shared" si="5"/>
        <v>-1800</v>
      </c>
      <c r="Y14" s="430">
        <f t="shared" si="6"/>
        <v>-19430</v>
      </c>
      <c r="Z14" s="430"/>
      <c r="AA14" s="431">
        <f t="shared" si="7"/>
        <v>-19430</v>
      </c>
    </row>
    <row r="15" spans="2:29" x14ac:dyDescent="0.25">
      <c r="C15" s="247"/>
      <c r="J15" s="291"/>
      <c r="K15" s="291"/>
      <c r="L15" s="291"/>
      <c r="P15"/>
      <c r="Q15"/>
      <c r="R15"/>
      <c r="S15"/>
      <c r="T15"/>
      <c r="U15"/>
      <c r="V15"/>
      <c r="W15"/>
      <c r="X15"/>
      <c r="Y15"/>
      <c r="Z15"/>
      <c r="AA15"/>
    </row>
    <row r="16" spans="2:29" ht="18" thickBot="1" x14ac:dyDescent="0.3">
      <c r="B16" s="246" t="s">
        <v>488</v>
      </c>
      <c r="H16" s="274"/>
      <c r="I16" s="274"/>
      <c r="P16"/>
      <c r="Q16"/>
      <c r="R16"/>
      <c r="S16"/>
      <c r="T16"/>
      <c r="U16"/>
      <c r="V16"/>
      <c r="W16"/>
      <c r="X16"/>
      <c r="Y16"/>
      <c r="Z16"/>
      <c r="AA16"/>
    </row>
    <row r="17" spans="2:27" s="279" customFormat="1" ht="21.95" customHeight="1" thickTop="1" thickBot="1" x14ac:dyDescent="0.3">
      <c r="B17" s="275" t="s">
        <v>108</v>
      </c>
      <c r="C17" s="276" t="s">
        <v>109</v>
      </c>
      <c r="D17" s="277" t="s">
        <v>121</v>
      </c>
      <c r="E17" s="277" t="s">
        <v>122</v>
      </c>
      <c r="F17" s="277" t="s">
        <v>124</v>
      </c>
      <c r="G17" s="277" t="s">
        <v>125</v>
      </c>
      <c r="H17" s="278" t="s">
        <v>112</v>
      </c>
      <c r="I17" s="499" t="s">
        <v>137</v>
      </c>
      <c r="J17" s="277" t="s">
        <v>115</v>
      </c>
      <c r="K17" s="277" t="s">
        <v>114</v>
      </c>
      <c r="L17" s="278" t="s">
        <v>116</v>
      </c>
      <c r="N17" s="292" t="s">
        <v>489</v>
      </c>
      <c r="P17" s="425"/>
      <c r="Q17" s="105"/>
      <c r="R17" s="105"/>
      <c r="S17" s="425"/>
      <c r="T17" s="72"/>
      <c r="U17" s="426"/>
      <c r="V17" s="426"/>
      <c r="W17" s="426"/>
      <c r="X17" s="426"/>
      <c r="Y17" s="427"/>
      <c r="Z17"/>
      <c r="AA17" s="106"/>
    </row>
    <row r="18" spans="2:27" x14ac:dyDescent="0.25">
      <c r="B18" s="888" t="s">
        <v>110</v>
      </c>
      <c r="C18" s="491" t="s">
        <v>523</v>
      </c>
      <c r="D18" s="492" t="s">
        <v>119</v>
      </c>
      <c r="E18" s="495"/>
      <c r="F18" s="493">
        <v>46113</v>
      </c>
      <c r="G18" s="493"/>
      <c r="H18" s="494"/>
      <c r="I18" s="501">
        <v>3.3000000000000002E-2</v>
      </c>
      <c r="J18" s="495"/>
      <c r="K18" s="495"/>
      <c r="L18" s="515" t="s">
        <v>524</v>
      </c>
      <c r="N18" s="505">
        <v>4000000</v>
      </c>
      <c r="O18" s="504"/>
      <c r="P18" s="503">
        <f>N18</f>
        <v>4000000</v>
      </c>
      <c r="Q18"/>
      <c r="R18"/>
      <c r="S18" s="428">
        <f t="shared" ref="S18:S27" si="8">P18+Q18+R18</f>
        <v>4000000</v>
      </c>
      <c r="T18"/>
      <c r="U18"/>
      <c r="V18"/>
      <c r="W18"/>
      <c r="X18"/>
      <c r="Y18"/>
      <c r="Z18"/>
      <c r="AA18" s="431">
        <f t="shared" ref="AA18:AA27" si="9">S18+Y18</f>
        <v>4000000</v>
      </c>
    </row>
    <row r="19" spans="2:27" x14ac:dyDescent="0.25">
      <c r="B19" s="889"/>
      <c r="C19" s="280" t="s">
        <v>556</v>
      </c>
      <c r="D19" s="492" t="s">
        <v>119</v>
      </c>
      <c r="E19" s="268"/>
      <c r="F19" s="282">
        <v>46125</v>
      </c>
      <c r="G19" s="493"/>
      <c r="H19" s="494"/>
      <c r="I19" s="501">
        <v>3.3000000000000002E-2</v>
      </c>
      <c r="J19" s="268"/>
      <c r="K19" s="268"/>
      <c r="L19" s="497"/>
      <c r="N19" s="506">
        <v>3400000</v>
      </c>
      <c r="O19" s="504"/>
      <c r="P19" s="503">
        <f t="shared" ref="P19:P27" si="10">N19</f>
        <v>3400000</v>
      </c>
      <c r="Q19"/>
      <c r="R19"/>
      <c r="S19" s="428">
        <f t="shared" si="8"/>
        <v>3400000</v>
      </c>
      <c r="T19"/>
      <c r="U19"/>
      <c r="V19"/>
      <c r="W19"/>
      <c r="X19"/>
      <c r="Y19"/>
      <c r="Z19"/>
      <c r="AA19" s="431">
        <f t="shared" si="9"/>
        <v>3400000</v>
      </c>
    </row>
    <row r="20" spans="2:27" x14ac:dyDescent="0.25">
      <c r="B20" s="889"/>
      <c r="C20" s="280"/>
      <c r="D20" s="281" t="s">
        <v>119</v>
      </c>
      <c r="E20" s="268"/>
      <c r="F20" s="516"/>
      <c r="G20" s="282"/>
      <c r="H20" s="496"/>
      <c r="I20" s="501">
        <v>3.3000000000000002E-2</v>
      </c>
      <c r="J20" s="268"/>
      <c r="K20" s="281"/>
      <c r="L20" s="284"/>
      <c r="N20" s="506"/>
      <c r="O20" s="504"/>
      <c r="P20" s="503">
        <f t="shared" si="10"/>
        <v>0</v>
      </c>
      <c r="Q20"/>
      <c r="R20"/>
      <c r="S20" s="428">
        <f t="shared" si="8"/>
        <v>0</v>
      </c>
      <c r="T20"/>
      <c r="U20"/>
      <c r="V20"/>
      <c r="W20"/>
      <c r="X20"/>
      <c r="Y20"/>
      <c r="Z20"/>
      <c r="AA20" s="431">
        <f t="shared" si="9"/>
        <v>0</v>
      </c>
    </row>
    <row r="21" spans="2:27" x14ac:dyDescent="0.25">
      <c r="B21" s="889"/>
      <c r="C21" s="280"/>
      <c r="D21" s="281" t="s">
        <v>119</v>
      </c>
      <c r="E21" s="268"/>
      <c r="F21" s="516"/>
      <c r="G21" s="282"/>
      <c r="H21" s="283"/>
      <c r="I21" s="501">
        <v>3.3000000000000002E-2</v>
      </c>
      <c r="J21" s="268"/>
      <c r="K21" s="281"/>
      <c r="L21" s="284"/>
      <c r="N21" s="506"/>
      <c r="O21" s="504"/>
      <c r="P21" s="503">
        <f t="shared" si="10"/>
        <v>0</v>
      </c>
      <c r="Q21"/>
      <c r="R21"/>
      <c r="S21" s="428">
        <f t="shared" si="8"/>
        <v>0</v>
      </c>
      <c r="T21"/>
      <c r="U21"/>
      <c r="V21"/>
      <c r="W21"/>
      <c r="X21"/>
      <c r="Y21"/>
      <c r="Z21"/>
      <c r="AA21" s="431">
        <f t="shared" si="9"/>
        <v>0</v>
      </c>
    </row>
    <row r="22" spans="2:27" x14ac:dyDescent="0.25">
      <c r="B22" s="889"/>
      <c r="C22" s="280"/>
      <c r="D22" s="281" t="s">
        <v>119</v>
      </c>
      <c r="E22" s="281"/>
      <c r="F22" s="282"/>
      <c r="G22" s="282"/>
      <c r="H22" s="283"/>
      <c r="I22" s="501">
        <v>3.3000000000000002E-2</v>
      </c>
      <c r="J22" s="281"/>
      <c r="K22" s="281"/>
      <c r="L22" s="284"/>
      <c r="N22" s="506"/>
      <c r="O22" s="504"/>
      <c r="P22" s="503">
        <f t="shared" si="10"/>
        <v>0</v>
      </c>
      <c r="Q22"/>
      <c r="R22"/>
      <c r="S22" s="428">
        <f t="shared" si="8"/>
        <v>0</v>
      </c>
      <c r="T22"/>
      <c r="U22"/>
      <c r="V22"/>
      <c r="W22"/>
      <c r="X22"/>
      <c r="Y22"/>
      <c r="Z22"/>
      <c r="AA22" s="431">
        <f t="shared" si="9"/>
        <v>0</v>
      </c>
    </row>
    <row r="23" spans="2:27" x14ac:dyDescent="0.25">
      <c r="B23" s="889"/>
      <c r="C23" s="280"/>
      <c r="D23" s="281" t="s">
        <v>119</v>
      </c>
      <c r="E23" s="281"/>
      <c r="F23" s="282"/>
      <c r="G23" s="282"/>
      <c r="H23" s="283"/>
      <c r="I23" s="501">
        <v>3.3000000000000002E-2</v>
      </c>
      <c r="J23" s="281"/>
      <c r="K23" s="281"/>
      <c r="L23" s="284"/>
      <c r="N23" s="506"/>
      <c r="O23" s="504"/>
      <c r="P23" s="503">
        <f t="shared" si="10"/>
        <v>0</v>
      </c>
      <c r="Q23"/>
      <c r="R23"/>
      <c r="S23" s="428">
        <f t="shared" si="8"/>
        <v>0</v>
      </c>
      <c r="T23"/>
      <c r="U23"/>
      <c r="V23"/>
      <c r="W23"/>
      <c r="X23"/>
      <c r="Y23"/>
      <c r="Z23"/>
      <c r="AA23" s="431">
        <f t="shared" si="9"/>
        <v>0</v>
      </c>
    </row>
    <row r="24" spans="2:27" x14ac:dyDescent="0.25">
      <c r="B24" s="889"/>
      <c r="C24" s="280"/>
      <c r="D24" s="281" t="s">
        <v>119</v>
      </c>
      <c r="E24" s="281"/>
      <c r="F24" s="282"/>
      <c r="G24" s="282"/>
      <c r="H24" s="283"/>
      <c r="I24" s="501">
        <v>3.3000000000000002E-2</v>
      </c>
      <c r="J24" s="281"/>
      <c r="K24" s="281"/>
      <c r="L24" s="284"/>
      <c r="N24" s="506"/>
      <c r="O24" s="504"/>
      <c r="P24" s="503">
        <f t="shared" si="10"/>
        <v>0</v>
      </c>
      <c r="Q24"/>
      <c r="R24"/>
      <c r="S24" s="428">
        <f t="shared" si="8"/>
        <v>0</v>
      </c>
      <c r="T24"/>
      <c r="U24"/>
      <c r="V24"/>
      <c r="W24"/>
      <c r="X24"/>
      <c r="Y24"/>
      <c r="Z24"/>
      <c r="AA24" s="431">
        <f t="shared" si="9"/>
        <v>0</v>
      </c>
    </row>
    <row r="25" spans="2:27" x14ac:dyDescent="0.25">
      <c r="B25" s="889"/>
      <c r="C25" s="280"/>
      <c r="D25" s="281" t="s">
        <v>119</v>
      </c>
      <c r="E25" s="281"/>
      <c r="F25" s="282"/>
      <c r="G25" s="282"/>
      <c r="H25" s="283"/>
      <c r="I25" s="501">
        <v>3.3000000000000002E-2</v>
      </c>
      <c r="J25" s="281"/>
      <c r="K25" s="281"/>
      <c r="L25" s="284"/>
      <c r="N25" s="506"/>
      <c r="O25" s="504"/>
      <c r="P25" s="503">
        <f t="shared" si="10"/>
        <v>0</v>
      </c>
      <c r="Q25"/>
      <c r="R25"/>
      <c r="S25" s="428">
        <f t="shared" si="8"/>
        <v>0</v>
      </c>
      <c r="T25"/>
      <c r="U25"/>
      <c r="V25"/>
      <c r="W25"/>
      <c r="X25"/>
      <c r="Y25"/>
      <c r="Z25"/>
      <c r="AA25" s="431">
        <f t="shared" si="9"/>
        <v>0</v>
      </c>
    </row>
    <row r="26" spans="2:27" x14ac:dyDescent="0.25">
      <c r="B26" s="889"/>
      <c r="C26" s="280"/>
      <c r="D26" s="281" t="s">
        <v>119</v>
      </c>
      <c r="E26" s="281"/>
      <c r="F26" s="282"/>
      <c r="G26" s="282"/>
      <c r="H26" s="283"/>
      <c r="I26" s="501">
        <v>3.3000000000000002E-2</v>
      </c>
      <c r="J26" s="281"/>
      <c r="K26" s="281"/>
      <c r="L26" s="284"/>
      <c r="N26" s="506"/>
      <c r="O26" s="504"/>
      <c r="P26" s="503">
        <f t="shared" si="10"/>
        <v>0</v>
      </c>
      <c r="Q26"/>
      <c r="R26"/>
      <c r="S26" s="428">
        <f t="shared" si="8"/>
        <v>0</v>
      </c>
      <c r="T26"/>
      <c r="U26"/>
      <c r="V26"/>
      <c r="W26"/>
      <c r="X26"/>
      <c r="Y26"/>
      <c r="Z26"/>
      <c r="AA26" s="431">
        <f t="shared" si="9"/>
        <v>0</v>
      </c>
    </row>
    <row r="27" spans="2:27" ht="14.25" thickBot="1" x14ac:dyDescent="0.3">
      <c r="B27" s="890"/>
      <c r="C27" s="286"/>
      <c r="D27" s="287" t="s">
        <v>119</v>
      </c>
      <c r="E27" s="287"/>
      <c r="F27" s="288"/>
      <c r="G27" s="288"/>
      <c r="H27" s="289"/>
      <c r="I27" s="502">
        <v>3.3000000000000002E-2</v>
      </c>
      <c r="J27" s="287"/>
      <c r="K27" s="287"/>
      <c r="L27" s="290"/>
      <c r="N27" s="507"/>
      <c r="O27" s="504"/>
      <c r="P27" s="503">
        <f t="shared" si="10"/>
        <v>0</v>
      </c>
      <c r="Q27"/>
      <c r="R27"/>
      <c r="S27" s="428">
        <f t="shared" si="8"/>
        <v>0</v>
      </c>
      <c r="T27"/>
      <c r="U27"/>
      <c r="V27"/>
      <c r="W27"/>
      <c r="X27"/>
      <c r="Y27"/>
      <c r="Z27"/>
      <c r="AA27" s="431">
        <f t="shared" si="9"/>
        <v>0</v>
      </c>
    </row>
    <row r="28" spans="2:27" x14ac:dyDescent="0.25">
      <c r="C28" s="247"/>
      <c r="J28" s="291"/>
      <c r="K28" s="291"/>
      <c r="L28" s="291"/>
      <c r="P28"/>
      <c r="Q28"/>
      <c r="R28"/>
      <c r="S28"/>
      <c r="T28"/>
      <c r="U28"/>
      <c r="V28"/>
      <c r="W28"/>
      <c r="X28"/>
      <c r="Y28"/>
      <c r="Z28"/>
      <c r="AA28"/>
    </row>
    <row r="29" spans="2:27" ht="18" thickBot="1" x14ac:dyDescent="0.3">
      <c r="B29" s="246" t="s">
        <v>158</v>
      </c>
      <c r="C29" s="247"/>
      <c r="J29" s="291"/>
      <c r="K29" s="291"/>
      <c r="L29" s="291"/>
    </row>
    <row r="30" spans="2:27" s="279" customFormat="1" ht="21.95" customHeight="1" thickTop="1" thickBot="1" x14ac:dyDescent="0.3">
      <c r="B30" s="275" t="s">
        <v>108</v>
      </c>
      <c r="C30" s="276" t="s">
        <v>109</v>
      </c>
      <c r="D30" s="277" t="s">
        <v>121</v>
      </c>
      <c r="E30" s="277" t="s">
        <v>122</v>
      </c>
      <c r="F30" s="277" t="s">
        <v>124</v>
      </c>
      <c r="G30" s="277" t="s">
        <v>125</v>
      </c>
      <c r="H30" s="278" t="s">
        <v>112</v>
      </c>
      <c r="I30" s="292" t="s">
        <v>113</v>
      </c>
      <c r="J30" s="293" t="s">
        <v>115</v>
      </c>
      <c r="K30" s="277" t="s">
        <v>114</v>
      </c>
      <c r="L30" s="278" t="s">
        <v>116</v>
      </c>
    </row>
    <row r="31" spans="2:27" x14ac:dyDescent="0.25">
      <c r="B31" s="888" t="s">
        <v>111</v>
      </c>
      <c r="C31" s="280" t="s">
        <v>525</v>
      </c>
      <c r="D31" s="281" t="s">
        <v>526</v>
      </c>
      <c r="E31" s="268" t="s">
        <v>138</v>
      </c>
      <c r="F31" s="282"/>
      <c r="G31" s="282"/>
      <c r="H31" s="283"/>
      <c r="I31" s="294">
        <v>20000</v>
      </c>
      <c r="J31" s="519"/>
      <c r="K31" s="268" t="s">
        <v>527</v>
      </c>
      <c r="L31" s="497" t="s">
        <v>528</v>
      </c>
    </row>
    <row r="32" spans="2:27" x14ac:dyDescent="0.25">
      <c r="B32" s="889"/>
      <c r="C32" s="280" t="s">
        <v>529</v>
      </c>
      <c r="D32" s="281" t="s">
        <v>119</v>
      </c>
      <c r="E32" s="268" t="s">
        <v>138</v>
      </c>
      <c r="F32" s="282"/>
      <c r="G32" s="282"/>
      <c r="H32" s="283"/>
      <c r="I32" s="294">
        <v>13000</v>
      </c>
      <c r="J32" s="519"/>
      <c r="K32" s="268" t="s">
        <v>530</v>
      </c>
      <c r="L32" s="497" t="s">
        <v>531</v>
      </c>
    </row>
    <row r="33" spans="2:12" x14ac:dyDescent="0.25">
      <c r="B33" s="889"/>
      <c r="C33" s="280" t="s">
        <v>532</v>
      </c>
      <c r="D33" s="281" t="s">
        <v>119</v>
      </c>
      <c r="E33" s="268" t="s">
        <v>138</v>
      </c>
      <c r="F33" s="282"/>
      <c r="G33" s="282"/>
      <c r="H33" s="283"/>
      <c r="I33" s="294">
        <v>12000</v>
      </c>
      <c r="J33" s="295"/>
      <c r="K33" s="268" t="s">
        <v>533</v>
      </c>
      <c r="L33" s="497" t="s">
        <v>534</v>
      </c>
    </row>
    <row r="34" spans="2:12" x14ac:dyDescent="0.25">
      <c r="B34" s="889"/>
      <c r="C34" s="280" t="s">
        <v>553</v>
      </c>
      <c r="D34" s="281" t="s">
        <v>119</v>
      </c>
      <c r="E34" s="268" t="s">
        <v>138</v>
      </c>
      <c r="F34" s="282"/>
      <c r="G34" s="282"/>
      <c r="H34" s="283"/>
      <c r="I34" s="294">
        <v>13000</v>
      </c>
      <c r="J34" s="295"/>
      <c r="K34" s="281"/>
      <c r="L34" s="284"/>
    </row>
    <row r="35" spans="2:12" x14ac:dyDescent="0.25">
      <c r="B35" s="889"/>
      <c r="C35" s="280" t="s">
        <v>567</v>
      </c>
      <c r="D35" s="281" t="s">
        <v>119</v>
      </c>
      <c r="E35" s="268" t="s">
        <v>138</v>
      </c>
      <c r="F35" s="282"/>
      <c r="G35" s="282"/>
      <c r="H35" s="283"/>
      <c r="I35" s="294">
        <v>13000</v>
      </c>
      <c r="J35" s="295"/>
      <c r="K35" s="281"/>
      <c r="L35" s="284"/>
    </row>
    <row r="36" spans="2:12" x14ac:dyDescent="0.25">
      <c r="B36" s="889"/>
      <c r="C36" s="280" t="s">
        <v>568</v>
      </c>
      <c r="D36" s="281" t="s">
        <v>119</v>
      </c>
      <c r="E36" s="268" t="s">
        <v>138</v>
      </c>
      <c r="F36" s="282"/>
      <c r="G36" s="282"/>
      <c r="H36" s="283"/>
      <c r="I36" s="294">
        <v>13000</v>
      </c>
      <c r="J36" s="295"/>
      <c r="K36" s="281"/>
      <c r="L36" s="284"/>
    </row>
    <row r="37" spans="2:12" x14ac:dyDescent="0.25">
      <c r="B37" s="889"/>
      <c r="C37" s="285"/>
      <c r="D37" s="281" t="s">
        <v>119</v>
      </c>
      <c r="E37" s="268" t="s">
        <v>138</v>
      </c>
      <c r="F37" s="282"/>
      <c r="G37" s="282"/>
      <c r="H37" s="283"/>
      <c r="I37" s="294"/>
      <c r="J37" s="295"/>
      <c r="K37" s="281"/>
      <c r="L37" s="284"/>
    </row>
    <row r="38" spans="2:12" x14ac:dyDescent="0.25">
      <c r="B38" s="889"/>
      <c r="C38" s="285"/>
      <c r="D38" s="281" t="s">
        <v>119</v>
      </c>
      <c r="E38" s="268" t="s">
        <v>138</v>
      </c>
      <c r="F38" s="282"/>
      <c r="G38" s="282"/>
      <c r="H38" s="283"/>
      <c r="I38" s="294"/>
      <c r="J38" s="295"/>
      <c r="K38" s="281"/>
      <c r="L38" s="284"/>
    </row>
    <row r="39" spans="2:12" x14ac:dyDescent="0.25">
      <c r="B39" s="889"/>
      <c r="C39" s="285"/>
      <c r="D39" s="281" t="s">
        <v>119</v>
      </c>
      <c r="E39" s="268" t="s">
        <v>138</v>
      </c>
      <c r="F39" s="282"/>
      <c r="G39" s="282"/>
      <c r="H39" s="283"/>
      <c r="I39" s="294"/>
      <c r="J39" s="295"/>
      <c r="K39" s="281"/>
      <c r="L39" s="284"/>
    </row>
    <row r="40" spans="2:12" x14ac:dyDescent="0.25">
      <c r="B40" s="889"/>
      <c r="C40" s="285"/>
      <c r="D40" s="281" t="s">
        <v>119</v>
      </c>
      <c r="E40" s="268" t="s">
        <v>138</v>
      </c>
      <c r="F40" s="282"/>
      <c r="G40" s="282"/>
      <c r="H40" s="283"/>
      <c r="I40" s="294"/>
      <c r="J40" s="295"/>
      <c r="K40" s="281"/>
      <c r="L40" s="284"/>
    </row>
    <row r="41" spans="2:12" x14ac:dyDescent="0.25">
      <c r="B41" s="889"/>
      <c r="C41" s="285"/>
      <c r="D41" s="281" t="s">
        <v>119</v>
      </c>
      <c r="E41" s="268" t="s">
        <v>138</v>
      </c>
      <c r="F41" s="282"/>
      <c r="G41" s="282"/>
      <c r="H41" s="283"/>
      <c r="I41" s="294"/>
      <c r="J41" s="295"/>
      <c r="K41" s="281"/>
      <c r="L41" s="284"/>
    </row>
    <row r="42" spans="2:12" x14ac:dyDescent="0.25">
      <c r="B42" s="889"/>
      <c r="C42" s="285"/>
      <c r="D42" s="281" t="s">
        <v>119</v>
      </c>
      <c r="E42" s="268" t="s">
        <v>138</v>
      </c>
      <c r="F42" s="282"/>
      <c r="G42" s="282"/>
      <c r="H42" s="283"/>
      <c r="I42" s="294"/>
      <c r="J42" s="295"/>
      <c r="K42" s="281"/>
      <c r="L42" s="284"/>
    </row>
    <row r="43" spans="2:12" x14ac:dyDescent="0.25">
      <c r="B43" s="889"/>
      <c r="C43" s="285"/>
      <c r="D43" s="281" t="s">
        <v>119</v>
      </c>
      <c r="E43" s="268" t="s">
        <v>138</v>
      </c>
      <c r="F43" s="282"/>
      <c r="G43" s="282"/>
      <c r="H43" s="283"/>
      <c r="I43" s="294"/>
      <c r="J43" s="295"/>
      <c r="K43" s="281"/>
      <c r="L43" s="284"/>
    </row>
    <row r="44" spans="2:12" x14ac:dyDescent="0.25">
      <c r="B44" s="889"/>
      <c r="C44" s="285"/>
      <c r="D44" s="281" t="s">
        <v>119</v>
      </c>
      <c r="E44" s="268" t="s">
        <v>138</v>
      </c>
      <c r="F44" s="282"/>
      <c r="G44" s="282"/>
      <c r="H44" s="283"/>
      <c r="I44" s="294"/>
      <c r="J44" s="295"/>
      <c r="K44" s="281"/>
      <c r="L44" s="284"/>
    </row>
    <row r="45" spans="2:12" ht="14.25" thickBot="1" x14ac:dyDescent="0.3">
      <c r="B45" s="890"/>
      <c r="C45" s="286"/>
      <c r="D45" s="287" t="s">
        <v>119</v>
      </c>
      <c r="E45" s="423" t="s">
        <v>138</v>
      </c>
      <c r="F45" s="288"/>
      <c r="G45" s="288"/>
      <c r="H45" s="289"/>
      <c r="I45" s="296"/>
      <c r="J45" s="297"/>
      <c r="K45" s="287"/>
      <c r="L45" s="290"/>
    </row>
    <row r="46" spans="2:12" x14ac:dyDescent="0.25">
      <c r="E46" s="298"/>
      <c r="F46" s="298"/>
    </row>
    <row r="47" spans="2:12" x14ac:dyDescent="0.25">
      <c r="F47" s="298"/>
      <c r="G47" s="298"/>
    </row>
  </sheetData>
  <protectedRanges>
    <protectedRange sqref="N5:N14 N18:N27" name="월급입력"/>
    <protectedRange sqref="C34:L45" name="파트"/>
    <protectedRange sqref="C19:L27" name="정직원 3.3"/>
    <protectedRange sqref="C8:L14" name="정직원 4대"/>
    <protectedRange sqref="C5:L7" name="정직원 4대_1"/>
    <protectedRange sqref="C18:L18" name="정직원 3.3_1"/>
    <protectedRange sqref="C31:L33" name="파트_1"/>
  </protectedRanges>
  <mergeCells count="3">
    <mergeCell ref="B18:B27"/>
    <mergeCell ref="B31:B45"/>
    <mergeCell ref="B5:B14"/>
  </mergeCells>
  <phoneticPr fontId="46" type="noConversion"/>
  <dataValidations count="2">
    <dataValidation type="list" allowBlank="1" showInputMessage="1" showErrorMessage="1" sqref="D5:D14 D18:D27 D31:D45" xr:uid="{BE872B03-669D-4F9C-B5B7-0AA64EF31702}">
      <formula1>"선택,주방,홀"</formula1>
    </dataValidation>
    <dataValidation type="list" allowBlank="1" showInputMessage="1" showErrorMessage="1" sqref="I5:I14 I18:I27" xr:uid="{FE53A093-577F-4D4F-B219-935AE8DA7DD3}">
      <formula1>"-,4대보험,3.3%"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7" tint="0.79998168889431442"/>
  </sheetPr>
  <dimension ref="B1:AZ189"/>
  <sheetViews>
    <sheetView zoomScale="55" zoomScaleNormal="55" zoomScaleSheetLayoutView="10" workbookViewId="0">
      <pane xSplit="6" ySplit="5" topLeftCell="G9" activePane="bottomRight" state="frozen"/>
      <selection activeCell="R13" sqref="R13"/>
      <selection pane="topRight" activeCell="R13" sqref="R13"/>
      <selection pane="bottomLeft" activeCell="R13" sqref="R13"/>
      <selection pane="bottomRight" activeCell="AK34" sqref="AJ33:AK34"/>
    </sheetView>
  </sheetViews>
  <sheetFormatPr defaultColWidth="9.140625" defaultRowHeight="13.5" x14ac:dyDescent="0.25"/>
  <cols>
    <col min="1" max="1" width="1.28515625" customWidth="1"/>
    <col min="2" max="2" width="13.42578125" customWidth="1"/>
    <col min="3" max="4" width="10" customWidth="1"/>
    <col min="5" max="6" width="16.42578125" customWidth="1"/>
    <col min="7" max="37" width="6.7109375" customWidth="1"/>
    <col min="38" max="38" width="14" customWidth="1"/>
    <col min="39" max="44" width="11.7109375" customWidth="1"/>
    <col min="45" max="45" width="29" customWidth="1"/>
    <col min="46" max="46" width="1.140625" customWidth="1"/>
    <col min="47" max="47" width="22.85546875" customWidth="1"/>
    <col min="48" max="48" width="29.140625" customWidth="1"/>
    <col min="49" max="49" width="30.140625" customWidth="1"/>
    <col min="50" max="50" width="9.140625" hidden="1" customWidth="1"/>
    <col min="51" max="51" width="23.42578125" hidden="1" customWidth="1"/>
    <col min="52" max="52" width="18" hidden="1" customWidth="1"/>
    <col min="53" max="53" width="12.5703125" customWidth="1"/>
  </cols>
  <sheetData>
    <row r="1" spans="2:52" ht="26.25" x14ac:dyDescent="0.25">
      <c r="B1" s="4" t="s">
        <v>8</v>
      </c>
      <c r="E1" s="102" t="s">
        <v>133</v>
      </c>
      <c r="F1" s="7"/>
      <c r="G1" s="910" t="str">
        <f>'0.기초및고정비'!C4&amp;'0.기초및고정비'!D4</f>
        <v>2026년4월</v>
      </c>
      <c r="H1" s="910"/>
      <c r="I1" s="910"/>
      <c r="J1" s="910"/>
      <c r="K1" s="910"/>
      <c r="M1" s="476" t="s">
        <v>472</v>
      </c>
    </row>
    <row r="2" spans="2:52" ht="8.25" customHeight="1" x14ac:dyDescent="0.25">
      <c r="X2" s="88" t="s">
        <v>420</v>
      </c>
    </row>
    <row r="3" spans="2:52" ht="18" thickBot="1" x14ac:dyDescent="0.3">
      <c r="B3" s="11" t="s">
        <v>7</v>
      </c>
    </row>
    <row r="4" spans="2:52" ht="21.95" customHeight="1" x14ac:dyDescent="0.25">
      <c r="B4" s="899" t="s">
        <v>15</v>
      </c>
      <c r="C4" s="901" t="s">
        <v>105</v>
      </c>
      <c r="D4" s="906" t="s">
        <v>123</v>
      </c>
      <c r="E4" s="903" t="s">
        <v>16</v>
      </c>
      <c r="F4" s="908" t="s">
        <v>57</v>
      </c>
      <c r="G4" s="15">
        <v>1</v>
      </c>
      <c r="H4" s="13">
        <v>2</v>
      </c>
      <c r="I4" s="15">
        <v>3</v>
      </c>
      <c r="J4" s="13">
        <v>4</v>
      </c>
      <c r="K4" s="15">
        <v>5</v>
      </c>
      <c r="L4" s="13">
        <v>6</v>
      </c>
      <c r="M4" s="15">
        <v>7</v>
      </c>
      <c r="N4" s="13">
        <v>8</v>
      </c>
      <c r="O4" s="15">
        <v>9</v>
      </c>
      <c r="P4" s="13">
        <v>10</v>
      </c>
      <c r="Q4" s="15">
        <v>11</v>
      </c>
      <c r="R4" s="13">
        <v>12</v>
      </c>
      <c r="S4" s="15">
        <v>13</v>
      </c>
      <c r="T4" s="13">
        <v>14</v>
      </c>
      <c r="U4" s="15">
        <v>15</v>
      </c>
      <c r="V4" s="13">
        <v>16</v>
      </c>
      <c r="W4" s="15">
        <v>17</v>
      </c>
      <c r="X4" s="13">
        <v>18</v>
      </c>
      <c r="Y4" s="15">
        <v>19</v>
      </c>
      <c r="Z4" s="13">
        <v>20</v>
      </c>
      <c r="AA4" s="15">
        <v>21</v>
      </c>
      <c r="AB4" s="13">
        <v>22</v>
      </c>
      <c r="AC4" s="15">
        <v>23</v>
      </c>
      <c r="AD4" s="13">
        <v>24</v>
      </c>
      <c r="AE4" s="15">
        <v>25</v>
      </c>
      <c r="AF4" s="13">
        <v>26</v>
      </c>
      <c r="AG4" s="15">
        <v>27</v>
      </c>
      <c r="AH4" s="13">
        <v>28</v>
      </c>
      <c r="AI4" s="13">
        <v>29</v>
      </c>
      <c r="AJ4" s="13">
        <v>30</v>
      </c>
      <c r="AK4" s="15">
        <v>31</v>
      </c>
      <c r="AL4" s="893" t="s">
        <v>6</v>
      </c>
      <c r="AM4" s="923" t="s">
        <v>75</v>
      </c>
      <c r="AN4" s="915" t="s">
        <v>11</v>
      </c>
      <c r="AO4" s="915" t="s">
        <v>461</v>
      </c>
      <c r="AP4" s="915" t="s">
        <v>462</v>
      </c>
      <c r="AQ4" s="921" t="s">
        <v>455</v>
      </c>
      <c r="AR4" s="921" t="s">
        <v>463</v>
      </c>
      <c r="AS4" s="911" t="s">
        <v>90</v>
      </c>
      <c r="AT4" s="6"/>
      <c r="AU4" s="913" t="s">
        <v>36</v>
      </c>
      <c r="AV4" s="915" t="s">
        <v>63</v>
      </c>
      <c r="AW4" s="911" t="s">
        <v>66</v>
      </c>
      <c r="AX4" s="6"/>
      <c r="AY4" s="6"/>
      <c r="AZ4" s="1" t="str">
        <f>'0.기초및고정비'!E4</f>
        <v>30</v>
      </c>
    </row>
    <row r="5" spans="2:52" ht="21.95" customHeight="1" thickBot="1" x14ac:dyDescent="0.3">
      <c r="B5" s="900"/>
      <c r="C5" s="902"/>
      <c r="D5" s="907"/>
      <c r="E5" s="902"/>
      <c r="F5" s="909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894"/>
      <c r="AM5" s="924"/>
      <c r="AN5" s="916"/>
      <c r="AO5" s="916"/>
      <c r="AP5" s="916"/>
      <c r="AQ5" s="922"/>
      <c r="AR5" s="922"/>
      <c r="AS5" s="912"/>
      <c r="AT5" s="6"/>
      <c r="AU5" s="914"/>
      <c r="AV5" s="916"/>
      <c r="AW5" s="912"/>
      <c r="AX5" s="6"/>
      <c r="AY5" s="80" t="s">
        <v>54</v>
      </c>
      <c r="AZ5" s="10" t="s">
        <v>24</v>
      </c>
    </row>
    <row r="6" spans="2:52" ht="21.75" customHeight="1" x14ac:dyDescent="0.25">
      <c r="B6" s="115" t="str">
        <f>'2-1.직원현황'!C5</f>
        <v>박성배</v>
      </c>
      <c r="C6" s="116" t="str">
        <f>'2-1.직원현황'!D5</f>
        <v>선택</v>
      </c>
      <c r="D6" s="116" t="str">
        <f>'2-1.직원현황'!E5</f>
        <v>주방</v>
      </c>
      <c r="E6" s="117">
        <f>'2-1.직원현황'!F5</f>
        <v>46022</v>
      </c>
      <c r="F6" s="117">
        <f>'2-1.직원현황'!G5</f>
        <v>0</v>
      </c>
      <c r="G6" s="23" t="s">
        <v>535</v>
      </c>
      <c r="H6" s="23" t="s">
        <v>535</v>
      </c>
      <c r="I6" s="23" t="s">
        <v>535</v>
      </c>
      <c r="J6" s="23" t="s">
        <v>535</v>
      </c>
      <c r="K6" s="23" t="s">
        <v>536</v>
      </c>
      <c r="L6" s="23" t="s">
        <v>536</v>
      </c>
      <c r="M6" s="23" t="s">
        <v>535</v>
      </c>
      <c r="N6" s="23" t="s">
        <v>535</v>
      </c>
      <c r="O6" s="23" t="s">
        <v>535</v>
      </c>
      <c r="P6" s="23" t="s">
        <v>535</v>
      </c>
      <c r="Q6" s="23" t="s">
        <v>535</v>
      </c>
      <c r="R6" s="23" t="s">
        <v>535</v>
      </c>
      <c r="S6" s="23" t="s">
        <v>536</v>
      </c>
      <c r="T6" s="23" t="s">
        <v>535</v>
      </c>
      <c r="U6" s="23" t="s">
        <v>535</v>
      </c>
      <c r="V6" s="23" t="s">
        <v>535</v>
      </c>
      <c r="W6" s="23" t="s">
        <v>535</v>
      </c>
      <c r="X6" s="23" t="s">
        <v>535</v>
      </c>
      <c r="Y6" s="23" t="s">
        <v>535</v>
      </c>
      <c r="Z6" s="23" t="s">
        <v>535</v>
      </c>
      <c r="AA6" s="23" t="s">
        <v>535</v>
      </c>
      <c r="AB6" s="23" t="s">
        <v>535</v>
      </c>
      <c r="AC6" s="23" t="s">
        <v>535</v>
      </c>
      <c r="AD6" s="23" t="s">
        <v>536</v>
      </c>
      <c r="AE6" s="23" t="s">
        <v>536</v>
      </c>
      <c r="AF6" s="23" t="s">
        <v>569</v>
      </c>
      <c r="AG6" s="23" t="s">
        <v>128</v>
      </c>
      <c r="AH6" s="23" t="s">
        <v>128</v>
      </c>
      <c r="AI6" s="23" t="s">
        <v>128</v>
      </c>
      <c r="AJ6" s="23" t="s">
        <v>128</v>
      </c>
      <c r="AK6" s="23" t="s">
        <v>128</v>
      </c>
      <c r="AL6" s="18">
        <f>COUNTIF(G6:AK6,"근무")</f>
        <v>20</v>
      </c>
      <c r="AM6" s="12">
        <f>COUNTIF(G6:AK6,"휴무")</f>
        <v>5</v>
      </c>
      <c r="AN6" s="12">
        <f>COUNTIF(G6:AK6,"월차")+COUNTIF(G6:AK6,"반차")</f>
        <v>1</v>
      </c>
      <c r="AO6" s="12">
        <f>COUNTIF(G6:AK6,"무단결근")</f>
        <v>0</v>
      </c>
      <c r="AP6" s="12">
        <f>COUNTIF(G6:AK6,"무단조퇴")</f>
        <v>0</v>
      </c>
      <c r="AQ6" s="459">
        <f>COUNTIF(G6:AK6,"권장휴무")</f>
        <v>0</v>
      </c>
      <c r="AR6" s="459">
        <f>COUNTIF(G6:AK6,"권장조퇴")</f>
        <v>0</v>
      </c>
      <c r="AS6" s="44" t="str">
        <f>'2-1.직원현황'!H5</f>
        <v>주1회휴무</v>
      </c>
      <c r="AT6" s="6"/>
      <c r="AU6" s="89" t="str">
        <f>'2-1.직원현황'!J5</f>
        <v>010-9211-1544</v>
      </c>
      <c r="AV6" s="90" t="str">
        <f>'2-1.직원현황'!K5</f>
        <v>900415-1095615</v>
      </c>
      <c r="AW6" s="91" t="str">
        <f>'2-1.직원현황'!L5</f>
        <v>카카오 3333 13012 1594</v>
      </c>
      <c r="AX6" s="6"/>
      <c r="AY6" s="48">
        <f>IFERROR(VLOOKUP(B6,'2-1.직원현황'!$C$5:$AA$14,25,0),0)</f>
        <v>3930390</v>
      </c>
      <c r="AZ6" s="43">
        <f>AY6/$AZ$4</f>
        <v>131013</v>
      </c>
    </row>
    <row r="7" spans="2:52" ht="21.95" customHeight="1" x14ac:dyDescent="0.25">
      <c r="B7" s="115" t="str">
        <f>'2-1.직원현황'!C6</f>
        <v>박참이</v>
      </c>
      <c r="C7" s="116" t="str">
        <f>'2-1.직원현황'!D6</f>
        <v>선택</v>
      </c>
      <c r="D7" s="116" t="str">
        <f>'2-1.직원현황'!E6</f>
        <v>주방</v>
      </c>
      <c r="E7" s="117">
        <f>'2-1.직원현황'!F6</f>
        <v>46113</v>
      </c>
      <c r="F7" s="117">
        <f>'2-1.직원현황'!G6</f>
        <v>0</v>
      </c>
      <c r="G7" s="23" t="s">
        <v>536</v>
      </c>
      <c r="H7" s="23" t="s">
        <v>535</v>
      </c>
      <c r="I7" s="23" t="s">
        <v>535</v>
      </c>
      <c r="J7" s="23" t="s">
        <v>535</v>
      </c>
      <c r="K7" s="23" t="s">
        <v>535</v>
      </c>
      <c r="L7" s="23" t="s">
        <v>535</v>
      </c>
      <c r="M7" s="23" t="s">
        <v>535</v>
      </c>
      <c r="N7" s="23" t="s">
        <v>536</v>
      </c>
      <c r="O7" s="23" t="s">
        <v>535</v>
      </c>
      <c r="P7" s="23" t="s">
        <v>535</v>
      </c>
      <c r="Q7" s="23" t="s">
        <v>535</v>
      </c>
      <c r="R7" s="23" t="s">
        <v>535</v>
      </c>
      <c r="S7" s="23" t="s">
        <v>535</v>
      </c>
      <c r="T7" s="23" t="s">
        <v>536</v>
      </c>
      <c r="U7" s="23" t="s">
        <v>536</v>
      </c>
      <c r="V7" s="23" t="s">
        <v>535</v>
      </c>
      <c r="W7" s="23" t="s">
        <v>535</v>
      </c>
      <c r="X7" s="23" t="s">
        <v>535</v>
      </c>
      <c r="Y7" s="23" t="s">
        <v>535</v>
      </c>
      <c r="Z7" s="23" t="s">
        <v>535</v>
      </c>
      <c r="AA7" s="23" t="s">
        <v>535</v>
      </c>
      <c r="AB7" s="23" t="s">
        <v>536</v>
      </c>
      <c r="AC7" s="23" t="s">
        <v>535</v>
      </c>
      <c r="AD7" s="23" t="s">
        <v>535</v>
      </c>
      <c r="AE7" s="23" t="s">
        <v>535</v>
      </c>
      <c r="AF7" s="23" t="s">
        <v>535</v>
      </c>
      <c r="AG7" s="23" t="s">
        <v>128</v>
      </c>
      <c r="AH7" s="23" t="s">
        <v>128</v>
      </c>
      <c r="AI7" s="23" t="s">
        <v>128</v>
      </c>
      <c r="AJ7" s="23" t="s">
        <v>128</v>
      </c>
      <c r="AK7" s="23" t="s">
        <v>128</v>
      </c>
      <c r="AL7" s="18">
        <f t="shared" ref="AL7:AL14" si="0">COUNTIF(G7:AK7,"근무")</f>
        <v>21</v>
      </c>
      <c r="AM7" s="12">
        <f t="shared" ref="AM7:AM14" si="1">COUNTIF(G7:AK7,"휴무")</f>
        <v>5</v>
      </c>
      <c r="AN7" s="12">
        <f t="shared" ref="AN7:AN14" si="2">COUNTIF(G7:AK7,"월차")+COUNTIF(G7:AK7,"반차")</f>
        <v>0</v>
      </c>
      <c r="AO7" s="12">
        <f t="shared" ref="AO7:AO14" si="3">COUNTIF(G7:AK7,"무단결근")</f>
        <v>0</v>
      </c>
      <c r="AP7" s="12">
        <f t="shared" ref="AP7:AP14" si="4">COUNTIF(G7:AK7,"무단조퇴")</f>
        <v>0</v>
      </c>
      <c r="AQ7" s="459">
        <f t="shared" ref="AQ7:AQ14" si="5">COUNTIF(G7:AK7,"권장휴무")</f>
        <v>0</v>
      </c>
      <c r="AR7" s="459">
        <f t="shared" ref="AR7:AR14" si="6">COUNTIF(G7:AK7,"권장조퇴")</f>
        <v>0</v>
      </c>
      <c r="AS7" s="44" t="str">
        <f>'2-1.직원현황'!H6</f>
        <v>월6회휴무</v>
      </c>
      <c r="AT7" s="6"/>
      <c r="AU7" s="89" t="str">
        <f>'2-1.직원현황'!J6</f>
        <v>010-4320-6101</v>
      </c>
      <c r="AV7" s="90" t="str">
        <f>'2-1.직원현황'!K6</f>
        <v>880226-2030625</v>
      </c>
      <c r="AW7" s="91" t="str">
        <f>'2-1.직원현황'!L6</f>
        <v>신한 110 262 594987</v>
      </c>
      <c r="AX7" s="6"/>
      <c r="AY7" s="48">
        <f>IFERROR(VLOOKUP(B7,'2-1.직원현황'!$C$5:$AA$14,25,0),0)</f>
        <v>3710950</v>
      </c>
      <c r="AZ7" s="43">
        <f t="shared" ref="AZ7:AZ25" si="7">AY7/$AZ$4</f>
        <v>123698.33333333333</v>
      </c>
    </row>
    <row r="8" spans="2:52" ht="21.95" customHeight="1" x14ac:dyDescent="0.25">
      <c r="B8" s="115" t="str">
        <f>'2-1.직원현황'!C7</f>
        <v>이건호</v>
      </c>
      <c r="C8" s="116" t="str">
        <f>'2-1.직원현황'!D7</f>
        <v>선택</v>
      </c>
      <c r="D8" s="116" t="str">
        <f>'2-1.직원현황'!E7</f>
        <v>홀</v>
      </c>
      <c r="E8" s="117">
        <f>'2-1.직원현황'!F7</f>
        <v>46113</v>
      </c>
      <c r="F8" s="117">
        <f>'2-1.직원현황'!G7</f>
        <v>0</v>
      </c>
      <c r="G8" s="23" t="s">
        <v>536</v>
      </c>
      <c r="H8" s="23" t="s">
        <v>535</v>
      </c>
      <c r="I8" s="23" t="s">
        <v>535</v>
      </c>
      <c r="J8" s="23" t="s">
        <v>535</v>
      </c>
      <c r="K8" s="23" t="s">
        <v>535</v>
      </c>
      <c r="L8" s="23" t="s">
        <v>535</v>
      </c>
      <c r="M8" s="23" t="s">
        <v>535</v>
      </c>
      <c r="N8" s="23" t="s">
        <v>535</v>
      </c>
      <c r="O8" s="23" t="s">
        <v>536</v>
      </c>
      <c r="P8" s="23" t="s">
        <v>535</v>
      </c>
      <c r="Q8" s="23" t="s">
        <v>535</v>
      </c>
      <c r="R8" s="23" t="s">
        <v>535</v>
      </c>
      <c r="S8" s="23" t="s">
        <v>535</v>
      </c>
      <c r="T8" s="23" t="s">
        <v>535</v>
      </c>
      <c r="U8" s="23" t="s">
        <v>536</v>
      </c>
      <c r="V8" s="23" t="s">
        <v>536</v>
      </c>
      <c r="W8" s="23" t="s">
        <v>535</v>
      </c>
      <c r="X8" s="23" t="s">
        <v>535</v>
      </c>
      <c r="Y8" s="23" t="s">
        <v>535</v>
      </c>
      <c r="Z8" s="23" t="s">
        <v>535</v>
      </c>
      <c r="AA8" s="23" t="s">
        <v>536</v>
      </c>
      <c r="AB8" s="23" t="s">
        <v>535</v>
      </c>
      <c r="AC8" s="23" t="s">
        <v>535</v>
      </c>
      <c r="AD8" s="23" t="s">
        <v>535</v>
      </c>
      <c r="AE8" s="23" t="s">
        <v>535</v>
      </c>
      <c r="AF8" s="23" t="s">
        <v>535</v>
      </c>
      <c r="AG8" s="23" t="s">
        <v>128</v>
      </c>
      <c r="AH8" s="23" t="s">
        <v>128</v>
      </c>
      <c r="AI8" s="23" t="s">
        <v>128</v>
      </c>
      <c r="AJ8" s="23" t="s">
        <v>128</v>
      </c>
      <c r="AK8" s="23" t="s">
        <v>128</v>
      </c>
      <c r="AL8" s="18">
        <f t="shared" si="0"/>
        <v>21</v>
      </c>
      <c r="AM8" s="12">
        <f t="shared" si="1"/>
        <v>5</v>
      </c>
      <c r="AN8" s="12">
        <f t="shared" si="2"/>
        <v>0</v>
      </c>
      <c r="AO8" s="12">
        <f t="shared" si="3"/>
        <v>0</v>
      </c>
      <c r="AP8" s="12">
        <f t="shared" si="4"/>
        <v>0</v>
      </c>
      <c r="AQ8" s="459">
        <f t="shared" si="5"/>
        <v>0</v>
      </c>
      <c r="AR8" s="459">
        <f t="shared" si="6"/>
        <v>0</v>
      </c>
      <c r="AS8" s="44" t="str">
        <f>'2-1.직원현황'!H7</f>
        <v>월6회휴무</v>
      </c>
      <c r="AT8" s="6"/>
      <c r="AU8" s="89" t="str">
        <f>'2-1.직원현황'!J7</f>
        <v>010-7602-3858</v>
      </c>
      <c r="AV8" s="90" t="str">
        <f>'2-1.직원현황'!K7</f>
        <v>960527-1491016</v>
      </c>
      <c r="AW8" s="91" t="str">
        <f>'2-1.직원현황'!L7</f>
        <v>국민 510002 01 241497</v>
      </c>
      <c r="AX8" s="6"/>
      <c r="AY8" s="48">
        <f>IFERROR(VLOOKUP(B8,'2-1.직원현황'!$C$5:$AA$14,25,0),0)</f>
        <v>3710950</v>
      </c>
      <c r="AZ8" s="43">
        <f t="shared" si="7"/>
        <v>123698.33333333333</v>
      </c>
    </row>
    <row r="9" spans="2:52" ht="21.95" customHeight="1" x14ac:dyDescent="0.25">
      <c r="B9" s="115">
        <f>'2-1.직원현황'!C8</f>
        <v>0</v>
      </c>
      <c r="C9" s="116" t="str">
        <f>'2-1.직원현황'!D8</f>
        <v>선택</v>
      </c>
      <c r="D9" s="116">
        <f>'2-1.직원현황'!E8</f>
        <v>0</v>
      </c>
      <c r="E9" s="117">
        <f>'2-1.직원현황'!F8</f>
        <v>0</v>
      </c>
      <c r="F9" s="117">
        <f>'2-1.직원현황'!G8</f>
        <v>0</v>
      </c>
      <c r="G9" s="23" t="s">
        <v>128</v>
      </c>
      <c r="H9" s="23" t="s">
        <v>128</v>
      </c>
      <c r="I9" s="23" t="s">
        <v>128</v>
      </c>
      <c r="J9" s="23" t="s">
        <v>128</v>
      </c>
      <c r="K9" s="23" t="s">
        <v>128</v>
      </c>
      <c r="L9" s="23" t="s">
        <v>128</v>
      </c>
      <c r="M9" s="23" t="s">
        <v>128</v>
      </c>
      <c r="N9" s="23" t="s">
        <v>128</v>
      </c>
      <c r="O9" s="23" t="s">
        <v>128</v>
      </c>
      <c r="P9" s="23" t="s">
        <v>128</v>
      </c>
      <c r="Q9" s="23" t="s">
        <v>128</v>
      </c>
      <c r="R9" s="23" t="s">
        <v>128</v>
      </c>
      <c r="S9" s="23" t="s">
        <v>128</v>
      </c>
      <c r="T9" s="23" t="s">
        <v>128</v>
      </c>
      <c r="U9" s="23" t="s">
        <v>128</v>
      </c>
      <c r="V9" s="23" t="s">
        <v>128</v>
      </c>
      <c r="W9" s="23" t="s">
        <v>128</v>
      </c>
      <c r="X9" s="23" t="s">
        <v>128</v>
      </c>
      <c r="Y9" s="23" t="s">
        <v>128</v>
      </c>
      <c r="Z9" s="23" t="s">
        <v>128</v>
      </c>
      <c r="AA9" s="23" t="s">
        <v>128</v>
      </c>
      <c r="AB9" s="23" t="s">
        <v>128</v>
      </c>
      <c r="AC9" s="23" t="s">
        <v>128</v>
      </c>
      <c r="AD9" s="23" t="s">
        <v>128</v>
      </c>
      <c r="AE9" s="23" t="s">
        <v>128</v>
      </c>
      <c r="AF9" s="23" t="s">
        <v>128</v>
      </c>
      <c r="AG9" s="23" t="s">
        <v>128</v>
      </c>
      <c r="AH9" s="23" t="s">
        <v>128</v>
      </c>
      <c r="AI9" s="23" t="s">
        <v>128</v>
      </c>
      <c r="AJ9" s="23" t="s">
        <v>128</v>
      </c>
      <c r="AK9" s="23" t="s">
        <v>128</v>
      </c>
      <c r="AL9" s="18">
        <f t="shared" si="0"/>
        <v>0</v>
      </c>
      <c r="AM9" s="12">
        <f t="shared" si="1"/>
        <v>0</v>
      </c>
      <c r="AN9" s="12">
        <f t="shared" si="2"/>
        <v>0</v>
      </c>
      <c r="AO9" s="12">
        <f t="shared" si="3"/>
        <v>0</v>
      </c>
      <c r="AP9" s="12">
        <f t="shared" si="4"/>
        <v>0</v>
      </c>
      <c r="AQ9" s="459">
        <f t="shared" si="5"/>
        <v>0</v>
      </c>
      <c r="AR9" s="459">
        <f t="shared" si="6"/>
        <v>0</v>
      </c>
      <c r="AS9" s="44">
        <f>'2-1.직원현황'!H8</f>
        <v>0</v>
      </c>
      <c r="AT9" s="6"/>
      <c r="AU9" s="89">
        <f>'2-1.직원현황'!J8</f>
        <v>0</v>
      </c>
      <c r="AV9" s="90">
        <f>'2-1.직원현황'!K8</f>
        <v>0</v>
      </c>
      <c r="AW9" s="91">
        <f>'2-1.직원현황'!L8</f>
        <v>0</v>
      </c>
      <c r="AX9" s="6"/>
      <c r="AY9" s="48">
        <f>IFERROR(VLOOKUP(B9,'2-1.직원현황'!$C$5:$AA$14,25,0),0)</f>
        <v>0</v>
      </c>
      <c r="AZ9" s="43">
        <f t="shared" si="7"/>
        <v>0</v>
      </c>
    </row>
    <row r="10" spans="2:52" ht="21.95" customHeight="1" x14ac:dyDescent="0.25">
      <c r="B10" s="115">
        <f>'2-1.직원현황'!C9</f>
        <v>0</v>
      </c>
      <c r="C10" s="116" t="str">
        <f>'2-1.직원현황'!D9</f>
        <v>선택</v>
      </c>
      <c r="D10" s="116">
        <f>'2-1.직원현황'!E9</f>
        <v>0</v>
      </c>
      <c r="E10" s="117">
        <f>'2-1.직원현황'!F9</f>
        <v>0</v>
      </c>
      <c r="F10" s="117">
        <f>'2-1.직원현황'!G9</f>
        <v>0</v>
      </c>
      <c r="G10" s="23" t="s">
        <v>128</v>
      </c>
      <c r="H10" s="23" t="s">
        <v>128</v>
      </c>
      <c r="I10" s="23" t="s">
        <v>128</v>
      </c>
      <c r="J10" s="23" t="s">
        <v>128</v>
      </c>
      <c r="K10" s="23" t="s">
        <v>128</v>
      </c>
      <c r="L10" s="23" t="s">
        <v>128</v>
      </c>
      <c r="M10" s="23" t="s">
        <v>128</v>
      </c>
      <c r="N10" s="23" t="s">
        <v>128</v>
      </c>
      <c r="O10" s="23" t="s">
        <v>128</v>
      </c>
      <c r="P10" s="23" t="s">
        <v>128</v>
      </c>
      <c r="Q10" s="23" t="s">
        <v>128</v>
      </c>
      <c r="R10" s="23" t="s">
        <v>128</v>
      </c>
      <c r="S10" s="23" t="s">
        <v>128</v>
      </c>
      <c r="T10" s="23" t="s">
        <v>128</v>
      </c>
      <c r="U10" s="23" t="s">
        <v>128</v>
      </c>
      <c r="V10" s="23" t="s">
        <v>128</v>
      </c>
      <c r="W10" s="23" t="s">
        <v>128</v>
      </c>
      <c r="X10" s="23" t="s">
        <v>128</v>
      </c>
      <c r="Y10" s="23" t="s">
        <v>128</v>
      </c>
      <c r="Z10" s="23" t="s">
        <v>128</v>
      </c>
      <c r="AA10" s="23" t="s">
        <v>128</v>
      </c>
      <c r="AB10" s="23" t="s">
        <v>128</v>
      </c>
      <c r="AC10" s="23" t="s">
        <v>128</v>
      </c>
      <c r="AD10" s="23" t="s">
        <v>128</v>
      </c>
      <c r="AE10" s="23" t="s">
        <v>128</v>
      </c>
      <c r="AF10" s="23" t="s">
        <v>128</v>
      </c>
      <c r="AG10" s="23" t="s">
        <v>128</v>
      </c>
      <c r="AH10" s="23" t="s">
        <v>128</v>
      </c>
      <c r="AI10" s="23" t="s">
        <v>128</v>
      </c>
      <c r="AJ10" s="23" t="s">
        <v>128</v>
      </c>
      <c r="AK10" s="23" t="s">
        <v>128</v>
      </c>
      <c r="AL10" s="18">
        <f t="shared" si="0"/>
        <v>0</v>
      </c>
      <c r="AM10" s="12">
        <f t="shared" si="1"/>
        <v>0</v>
      </c>
      <c r="AN10" s="12">
        <f t="shared" si="2"/>
        <v>0</v>
      </c>
      <c r="AO10" s="12">
        <f t="shared" si="3"/>
        <v>0</v>
      </c>
      <c r="AP10" s="12">
        <f t="shared" si="4"/>
        <v>0</v>
      </c>
      <c r="AQ10" s="459">
        <f t="shared" si="5"/>
        <v>0</v>
      </c>
      <c r="AR10" s="459">
        <f t="shared" si="6"/>
        <v>0</v>
      </c>
      <c r="AS10" s="44">
        <f>'2-1.직원현황'!H9</f>
        <v>0</v>
      </c>
      <c r="AT10" s="6"/>
      <c r="AU10" s="89">
        <f>'2-1.직원현황'!J9</f>
        <v>0</v>
      </c>
      <c r="AV10" s="90">
        <f>'2-1.직원현황'!K9</f>
        <v>0</v>
      </c>
      <c r="AW10" s="91">
        <f>'2-1.직원현황'!L9</f>
        <v>0</v>
      </c>
      <c r="AX10" s="6"/>
      <c r="AY10" s="48">
        <f>IFERROR(VLOOKUP(B10,'2-1.직원현황'!$C$5:$AA$14,25,0),0)</f>
        <v>0</v>
      </c>
      <c r="AZ10" s="43">
        <f t="shared" si="7"/>
        <v>0</v>
      </c>
    </row>
    <row r="11" spans="2:52" s="6" customFormat="1" ht="21.95" customHeight="1" x14ac:dyDescent="0.25">
      <c r="B11" s="115">
        <f>'2-1.직원현황'!C10</f>
        <v>0</v>
      </c>
      <c r="C11" s="116" t="str">
        <f>'2-1.직원현황'!D10</f>
        <v>선택</v>
      </c>
      <c r="D11" s="116">
        <f>'2-1.직원현황'!E10</f>
        <v>0</v>
      </c>
      <c r="E11" s="117">
        <f>'2-1.직원현황'!F10</f>
        <v>0</v>
      </c>
      <c r="F11" s="117">
        <f>'2-1.직원현황'!G10</f>
        <v>0</v>
      </c>
      <c r="G11" s="23" t="s">
        <v>128</v>
      </c>
      <c r="H11" s="23" t="s">
        <v>128</v>
      </c>
      <c r="I11" s="23" t="s">
        <v>128</v>
      </c>
      <c r="J11" s="23" t="s">
        <v>128</v>
      </c>
      <c r="K11" s="23" t="s">
        <v>128</v>
      </c>
      <c r="L11" s="23" t="s">
        <v>128</v>
      </c>
      <c r="M11" s="23" t="s">
        <v>128</v>
      </c>
      <c r="N11" s="23" t="s">
        <v>128</v>
      </c>
      <c r="O11" s="23" t="s">
        <v>128</v>
      </c>
      <c r="P11" s="23" t="s">
        <v>128</v>
      </c>
      <c r="Q11" s="23" t="s">
        <v>128</v>
      </c>
      <c r="R11" s="23" t="s">
        <v>128</v>
      </c>
      <c r="S11" s="23" t="s">
        <v>128</v>
      </c>
      <c r="T11" s="23" t="s">
        <v>128</v>
      </c>
      <c r="U11" s="23" t="s">
        <v>128</v>
      </c>
      <c r="V11" s="23" t="s">
        <v>128</v>
      </c>
      <c r="W11" s="23" t="s">
        <v>128</v>
      </c>
      <c r="X11" s="23" t="s">
        <v>128</v>
      </c>
      <c r="Y11" s="23" t="s">
        <v>128</v>
      </c>
      <c r="Z11" s="23" t="s">
        <v>128</v>
      </c>
      <c r="AA11" s="23" t="s">
        <v>128</v>
      </c>
      <c r="AB11" s="23" t="s">
        <v>128</v>
      </c>
      <c r="AC11" s="23" t="s">
        <v>128</v>
      </c>
      <c r="AD11" s="23" t="s">
        <v>128</v>
      </c>
      <c r="AE11" s="23" t="s">
        <v>128</v>
      </c>
      <c r="AF11" s="23" t="s">
        <v>128</v>
      </c>
      <c r="AG11" s="23" t="s">
        <v>128</v>
      </c>
      <c r="AH11" s="23" t="s">
        <v>128</v>
      </c>
      <c r="AI11" s="23" t="s">
        <v>128</v>
      </c>
      <c r="AJ11" s="23" t="s">
        <v>128</v>
      </c>
      <c r="AK11" s="23" t="s">
        <v>128</v>
      </c>
      <c r="AL11" s="18">
        <f t="shared" si="0"/>
        <v>0</v>
      </c>
      <c r="AM11" s="12">
        <f t="shared" si="1"/>
        <v>0</v>
      </c>
      <c r="AN11" s="12">
        <f t="shared" si="2"/>
        <v>0</v>
      </c>
      <c r="AO11" s="12">
        <f t="shared" si="3"/>
        <v>0</v>
      </c>
      <c r="AP11" s="12">
        <f t="shared" si="4"/>
        <v>0</v>
      </c>
      <c r="AQ11" s="459">
        <f t="shared" si="5"/>
        <v>0</v>
      </c>
      <c r="AR11" s="459">
        <f t="shared" si="6"/>
        <v>0</v>
      </c>
      <c r="AS11" s="44">
        <f>'2-1.직원현황'!H10</f>
        <v>0</v>
      </c>
      <c r="AU11" s="89">
        <f>'2-1.직원현황'!J10</f>
        <v>0</v>
      </c>
      <c r="AV11" s="90">
        <f>'2-1.직원현황'!K10</f>
        <v>0</v>
      </c>
      <c r="AW11" s="91">
        <f>'2-1.직원현황'!L10</f>
        <v>0</v>
      </c>
      <c r="AY11" s="48">
        <f>IFERROR(VLOOKUP(B11,'2-1.직원현황'!$C$5:$AA$14,25,0),0)</f>
        <v>0</v>
      </c>
      <c r="AZ11" s="43">
        <f t="shared" si="7"/>
        <v>0</v>
      </c>
    </row>
    <row r="12" spans="2:52" s="6" customFormat="1" ht="21.95" customHeight="1" x14ac:dyDescent="0.25">
      <c r="B12" s="115">
        <f>'2-1.직원현황'!C11</f>
        <v>0</v>
      </c>
      <c r="C12" s="116" t="str">
        <f>'2-1.직원현황'!D11</f>
        <v>선택</v>
      </c>
      <c r="D12" s="116">
        <f>'2-1.직원현황'!E11</f>
        <v>0</v>
      </c>
      <c r="E12" s="117">
        <f>'2-1.직원현황'!F11</f>
        <v>0</v>
      </c>
      <c r="F12" s="117">
        <f>'2-1.직원현황'!G11</f>
        <v>0</v>
      </c>
      <c r="G12" s="23" t="s">
        <v>128</v>
      </c>
      <c r="H12" s="23" t="s">
        <v>128</v>
      </c>
      <c r="I12" s="23" t="s">
        <v>128</v>
      </c>
      <c r="J12" s="23" t="s">
        <v>128</v>
      </c>
      <c r="K12" s="23" t="s">
        <v>128</v>
      </c>
      <c r="L12" s="23" t="s">
        <v>128</v>
      </c>
      <c r="M12" s="23" t="s">
        <v>128</v>
      </c>
      <c r="N12" s="23" t="s">
        <v>128</v>
      </c>
      <c r="O12" s="23" t="s">
        <v>128</v>
      </c>
      <c r="P12" s="23" t="s">
        <v>128</v>
      </c>
      <c r="Q12" s="23" t="s">
        <v>128</v>
      </c>
      <c r="R12" s="23" t="s">
        <v>128</v>
      </c>
      <c r="S12" s="23" t="s">
        <v>128</v>
      </c>
      <c r="T12" s="23" t="s">
        <v>128</v>
      </c>
      <c r="U12" s="23" t="s">
        <v>128</v>
      </c>
      <c r="V12" s="23" t="s">
        <v>128</v>
      </c>
      <c r="W12" s="23" t="s">
        <v>128</v>
      </c>
      <c r="X12" s="23" t="s">
        <v>128</v>
      </c>
      <c r="Y12" s="23" t="s">
        <v>128</v>
      </c>
      <c r="Z12" s="23" t="s">
        <v>128</v>
      </c>
      <c r="AA12" s="23" t="s">
        <v>128</v>
      </c>
      <c r="AB12" s="23" t="s">
        <v>128</v>
      </c>
      <c r="AC12" s="23" t="s">
        <v>128</v>
      </c>
      <c r="AD12" s="23" t="s">
        <v>128</v>
      </c>
      <c r="AE12" s="23" t="s">
        <v>128</v>
      </c>
      <c r="AF12" s="23" t="s">
        <v>128</v>
      </c>
      <c r="AG12" s="23" t="s">
        <v>128</v>
      </c>
      <c r="AH12" s="23" t="s">
        <v>128</v>
      </c>
      <c r="AI12" s="23" t="s">
        <v>128</v>
      </c>
      <c r="AJ12" s="23" t="s">
        <v>128</v>
      </c>
      <c r="AK12" s="23" t="s">
        <v>128</v>
      </c>
      <c r="AL12" s="18">
        <f t="shared" si="0"/>
        <v>0</v>
      </c>
      <c r="AM12" s="12">
        <f t="shared" si="1"/>
        <v>0</v>
      </c>
      <c r="AN12" s="12">
        <f t="shared" si="2"/>
        <v>0</v>
      </c>
      <c r="AO12" s="12">
        <f t="shared" si="3"/>
        <v>0</v>
      </c>
      <c r="AP12" s="12">
        <f t="shared" si="4"/>
        <v>0</v>
      </c>
      <c r="AQ12" s="459">
        <f t="shared" si="5"/>
        <v>0</v>
      </c>
      <c r="AR12" s="459">
        <f t="shared" si="6"/>
        <v>0</v>
      </c>
      <c r="AS12" s="44">
        <f>'2-1.직원현황'!H11</f>
        <v>0</v>
      </c>
      <c r="AU12" s="89">
        <f>'2-1.직원현황'!J11</f>
        <v>0</v>
      </c>
      <c r="AV12" s="90">
        <f>'2-1.직원현황'!K11</f>
        <v>0</v>
      </c>
      <c r="AW12" s="91">
        <f>'2-1.직원현황'!L11</f>
        <v>0</v>
      </c>
      <c r="AY12" s="48">
        <f>IFERROR(VLOOKUP(B12,'2-1.직원현황'!$C$5:$AA$14,25,0),0)</f>
        <v>0</v>
      </c>
      <c r="AZ12" s="43">
        <f t="shared" si="7"/>
        <v>0</v>
      </c>
    </row>
    <row r="13" spans="2:52" s="6" customFormat="1" ht="21.95" customHeight="1" x14ac:dyDescent="0.25">
      <c r="B13" s="115">
        <f>'2-1.직원현황'!C12</f>
        <v>0</v>
      </c>
      <c r="C13" s="116" t="str">
        <f>'2-1.직원현황'!D12</f>
        <v>선택</v>
      </c>
      <c r="D13" s="116">
        <f>'2-1.직원현황'!E12</f>
        <v>0</v>
      </c>
      <c r="E13" s="117">
        <f>'2-1.직원현황'!F12</f>
        <v>0</v>
      </c>
      <c r="F13" s="117">
        <f>'2-1.직원현황'!G12</f>
        <v>0</v>
      </c>
      <c r="G13" s="23" t="s">
        <v>128</v>
      </c>
      <c r="H13" s="23" t="s">
        <v>128</v>
      </c>
      <c r="I13" s="23" t="s">
        <v>128</v>
      </c>
      <c r="J13" s="23" t="s">
        <v>128</v>
      </c>
      <c r="K13" s="23" t="s">
        <v>128</v>
      </c>
      <c r="L13" s="23" t="s">
        <v>128</v>
      </c>
      <c r="M13" s="23" t="s">
        <v>128</v>
      </c>
      <c r="N13" s="23" t="s">
        <v>128</v>
      </c>
      <c r="O13" s="23" t="s">
        <v>128</v>
      </c>
      <c r="P13" s="23" t="s">
        <v>128</v>
      </c>
      <c r="Q13" s="23" t="s">
        <v>128</v>
      </c>
      <c r="R13" s="23" t="s">
        <v>128</v>
      </c>
      <c r="S13" s="23" t="s">
        <v>128</v>
      </c>
      <c r="T13" s="23" t="s">
        <v>128</v>
      </c>
      <c r="U13" s="23" t="s">
        <v>128</v>
      </c>
      <c r="V13" s="23" t="s">
        <v>128</v>
      </c>
      <c r="W13" s="23" t="s">
        <v>128</v>
      </c>
      <c r="X13" s="23" t="s">
        <v>128</v>
      </c>
      <c r="Y13" s="23" t="s">
        <v>128</v>
      </c>
      <c r="Z13" s="23" t="s">
        <v>128</v>
      </c>
      <c r="AA13" s="23" t="s">
        <v>128</v>
      </c>
      <c r="AB13" s="23" t="s">
        <v>128</v>
      </c>
      <c r="AC13" s="23" t="s">
        <v>128</v>
      </c>
      <c r="AD13" s="23" t="s">
        <v>128</v>
      </c>
      <c r="AE13" s="23" t="s">
        <v>128</v>
      </c>
      <c r="AF13" s="23" t="s">
        <v>128</v>
      </c>
      <c r="AG13" s="23" t="s">
        <v>128</v>
      </c>
      <c r="AH13" s="23" t="s">
        <v>128</v>
      </c>
      <c r="AI13" s="23" t="s">
        <v>128</v>
      </c>
      <c r="AJ13" s="23" t="s">
        <v>128</v>
      </c>
      <c r="AK13" s="23" t="s">
        <v>128</v>
      </c>
      <c r="AL13" s="18">
        <f t="shared" si="0"/>
        <v>0</v>
      </c>
      <c r="AM13" s="12">
        <f t="shared" si="1"/>
        <v>0</v>
      </c>
      <c r="AN13" s="12">
        <f t="shared" si="2"/>
        <v>0</v>
      </c>
      <c r="AO13" s="12">
        <f t="shared" si="3"/>
        <v>0</v>
      </c>
      <c r="AP13" s="12">
        <f t="shared" si="4"/>
        <v>0</v>
      </c>
      <c r="AQ13" s="459">
        <f t="shared" si="5"/>
        <v>0</v>
      </c>
      <c r="AR13" s="459">
        <f t="shared" si="6"/>
        <v>0</v>
      </c>
      <c r="AS13" s="44">
        <f>'2-1.직원현황'!H12</f>
        <v>0</v>
      </c>
      <c r="AU13" s="89">
        <f>'2-1.직원현황'!J12</f>
        <v>0</v>
      </c>
      <c r="AV13" s="90">
        <f>'2-1.직원현황'!K12</f>
        <v>0</v>
      </c>
      <c r="AW13" s="91">
        <f>'2-1.직원현황'!L12</f>
        <v>0</v>
      </c>
      <c r="AY13" s="48">
        <f>IFERROR(VLOOKUP(B13,'2-1.직원현황'!$C$5:$AA$14,25,0),0)</f>
        <v>0</v>
      </c>
      <c r="AZ13" s="43">
        <f t="shared" si="7"/>
        <v>0</v>
      </c>
    </row>
    <row r="14" spans="2:52" s="6" customFormat="1" ht="21.95" customHeight="1" x14ac:dyDescent="0.25">
      <c r="B14" s="115">
        <f>'2-1.직원현황'!C13</f>
        <v>0</v>
      </c>
      <c r="C14" s="116" t="str">
        <f>'2-1.직원현황'!D13</f>
        <v>선택</v>
      </c>
      <c r="D14" s="116">
        <f>'2-1.직원현황'!E13</f>
        <v>0</v>
      </c>
      <c r="E14" s="117">
        <f>'2-1.직원현황'!F13</f>
        <v>0</v>
      </c>
      <c r="F14" s="117">
        <f>'2-1.직원현황'!G13</f>
        <v>0</v>
      </c>
      <c r="G14" s="23" t="s">
        <v>128</v>
      </c>
      <c r="H14" s="23" t="s">
        <v>128</v>
      </c>
      <c r="I14" s="23" t="s">
        <v>128</v>
      </c>
      <c r="J14" s="23" t="s">
        <v>128</v>
      </c>
      <c r="K14" s="23" t="s">
        <v>128</v>
      </c>
      <c r="L14" s="23" t="s">
        <v>128</v>
      </c>
      <c r="M14" s="23" t="s">
        <v>128</v>
      </c>
      <c r="N14" s="23" t="s">
        <v>128</v>
      </c>
      <c r="O14" s="23" t="s">
        <v>128</v>
      </c>
      <c r="P14" s="23" t="s">
        <v>128</v>
      </c>
      <c r="Q14" s="23" t="s">
        <v>128</v>
      </c>
      <c r="R14" s="23" t="s">
        <v>128</v>
      </c>
      <c r="S14" s="23" t="s">
        <v>128</v>
      </c>
      <c r="T14" s="23" t="s">
        <v>128</v>
      </c>
      <c r="U14" s="23" t="s">
        <v>128</v>
      </c>
      <c r="V14" s="23" t="s">
        <v>128</v>
      </c>
      <c r="W14" s="23" t="s">
        <v>128</v>
      </c>
      <c r="X14" s="23" t="s">
        <v>128</v>
      </c>
      <c r="Y14" s="23" t="s">
        <v>128</v>
      </c>
      <c r="Z14" s="23" t="s">
        <v>128</v>
      </c>
      <c r="AA14" s="23" t="s">
        <v>128</v>
      </c>
      <c r="AB14" s="23" t="s">
        <v>128</v>
      </c>
      <c r="AC14" s="23" t="s">
        <v>128</v>
      </c>
      <c r="AD14" s="23" t="s">
        <v>128</v>
      </c>
      <c r="AE14" s="23" t="s">
        <v>128</v>
      </c>
      <c r="AF14" s="23" t="s">
        <v>128</v>
      </c>
      <c r="AG14" s="23" t="s">
        <v>128</v>
      </c>
      <c r="AH14" s="23" t="s">
        <v>128</v>
      </c>
      <c r="AI14" s="23" t="s">
        <v>128</v>
      </c>
      <c r="AJ14" s="23" t="s">
        <v>128</v>
      </c>
      <c r="AK14" s="23" t="s">
        <v>128</v>
      </c>
      <c r="AL14" s="18">
        <f t="shared" si="0"/>
        <v>0</v>
      </c>
      <c r="AM14" s="12">
        <f t="shared" si="1"/>
        <v>0</v>
      </c>
      <c r="AN14" s="12">
        <f t="shared" si="2"/>
        <v>0</v>
      </c>
      <c r="AO14" s="12">
        <f t="shared" si="3"/>
        <v>0</v>
      </c>
      <c r="AP14" s="12">
        <f t="shared" si="4"/>
        <v>0</v>
      </c>
      <c r="AQ14" s="459">
        <f t="shared" si="5"/>
        <v>0</v>
      </c>
      <c r="AR14" s="459">
        <f t="shared" si="6"/>
        <v>0</v>
      </c>
      <c r="AS14" s="44">
        <f>'2-1.직원현황'!H13</f>
        <v>0</v>
      </c>
      <c r="AU14" s="89">
        <f>'2-1.직원현황'!J13</f>
        <v>0</v>
      </c>
      <c r="AV14" s="90">
        <f>'2-1.직원현황'!K13</f>
        <v>0</v>
      </c>
      <c r="AW14" s="91">
        <f>'2-1.직원현황'!L13</f>
        <v>0</v>
      </c>
      <c r="AY14" s="48">
        <f>IFERROR(VLOOKUP(B14,'2-1.직원현황'!$C$5:$AA$14,25,0),0)</f>
        <v>0</v>
      </c>
      <c r="AZ14" s="43">
        <f t="shared" si="7"/>
        <v>0</v>
      </c>
    </row>
    <row r="15" spans="2:52" s="6" customFormat="1" ht="21.95" customHeight="1" x14ac:dyDescent="0.25">
      <c r="B15" s="115">
        <f>'2-1.직원현황'!C14</f>
        <v>0</v>
      </c>
      <c r="C15" s="116" t="str">
        <f>'2-1.직원현황'!D14</f>
        <v>선택</v>
      </c>
      <c r="D15" s="116">
        <f>'2-1.직원현황'!E14</f>
        <v>0</v>
      </c>
      <c r="E15" s="117">
        <f>'2-1.직원현황'!F14</f>
        <v>0</v>
      </c>
      <c r="F15" s="117">
        <f>'2-1.직원현황'!G14</f>
        <v>0</v>
      </c>
      <c r="G15" s="23" t="s">
        <v>128</v>
      </c>
      <c r="H15" s="23" t="s">
        <v>128</v>
      </c>
      <c r="I15" s="23" t="s">
        <v>128</v>
      </c>
      <c r="J15" s="23" t="s">
        <v>128</v>
      </c>
      <c r="K15" s="23" t="s">
        <v>128</v>
      </c>
      <c r="L15" s="23" t="s">
        <v>128</v>
      </c>
      <c r="M15" s="23" t="s">
        <v>128</v>
      </c>
      <c r="N15" s="23" t="s">
        <v>128</v>
      </c>
      <c r="O15" s="23" t="s">
        <v>128</v>
      </c>
      <c r="P15" s="23" t="s">
        <v>128</v>
      </c>
      <c r="Q15" s="23" t="s">
        <v>128</v>
      </c>
      <c r="R15" s="23" t="s">
        <v>128</v>
      </c>
      <c r="S15" s="23" t="s">
        <v>128</v>
      </c>
      <c r="T15" s="23" t="s">
        <v>128</v>
      </c>
      <c r="U15" s="23" t="s">
        <v>128</v>
      </c>
      <c r="V15" s="23" t="s">
        <v>128</v>
      </c>
      <c r="W15" s="23" t="s">
        <v>128</v>
      </c>
      <c r="X15" s="23" t="s">
        <v>128</v>
      </c>
      <c r="Y15" s="23" t="s">
        <v>128</v>
      </c>
      <c r="Z15" s="23" t="s">
        <v>128</v>
      </c>
      <c r="AA15" s="23" t="s">
        <v>128</v>
      </c>
      <c r="AB15" s="23" t="s">
        <v>128</v>
      </c>
      <c r="AC15" s="23" t="s">
        <v>128</v>
      </c>
      <c r="AD15" s="23" t="s">
        <v>128</v>
      </c>
      <c r="AE15" s="23" t="s">
        <v>128</v>
      </c>
      <c r="AF15" s="23" t="s">
        <v>128</v>
      </c>
      <c r="AG15" s="23" t="s">
        <v>128</v>
      </c>
      <c r="AH15" s="23" t="s">
        <v>128</v>
      </c>
      <c r="AI15" s="23" t="s">
        <v>128</v>
      </c>
      <c r="AJ15" s="23" t="s">
        <v>128</v>
      </c>
      <c r="AK15" s="23" t="s">
        <v>128</v>
      </c>
      <c r="AL15" s="18">
        <f>COUNTIF(G15:AK15,"근무")</f>
        <v>0</v>
      </c>
      <c r="AM15" s="12">
        <f>COUNTIF(G15:AK15,"휴무")</f>
        <v>0</v>
      </c>
      <c r="AN15" s="12">
        <f>COUNTIF(G15:AK15,"월차")+COUNTIF(G15:AK15,"반차")</f>
        <v>0</v>
      </c>
      <c r="AO15" s="12">
        <f>COUNTIF(G15:AK15,"무단결근")</f>
        <v>0</v>
      </c>
      <c r="AP15" s="12">
        <f>COUNTIF(G15:AK15,"무단조퇴")</f>
        <v>0</v>
      </c>
      <c r="AQ15" s="459">
        <f>COUNTIF(G15:AK15,"권장휴무")</f>
        <v>0</v>
      </c>
      <c r="AR15" s="459">
        <f>COUNTIF(G15:AK15,"권장조퇴")</f>
        <v>0</v>
      </c>
      <c r="AS15" s="44">
        <f>'2-1.직원현황'!H14</f>
        <v>0</v>
      </c>
      <c r="AU15" s="89">
        <f>'2-1.직원현황'!J14</f>
        <v>0</v>
      </c>
      <c r="AV15" s="90">
        <f>'2-1.직원현황'!K14</f>
        <v>0</v>
      </c>
      <c r="AW15" s="91">
        <f>'2-1.직원현황'!L14</f>
        <v>0</v>
      </c>
      <c r="AY15" s="48">
        <f>IFERROR(VLOOKUP(B15,'2-1.직원현황'!$C$5:$AA$14,25,0),0)</f>
        <v>0</v>
      </c>
      <c r="AZ15" s="43">
        <f t="shared" si="7"/>
        <v>0</v>
      </c>
    </row>
    <row r="16" spans="2:52" s="6" customFormat="1" ht="21.95" customHeight="1" x14ac:dyDescent="0.25">
      <c r="B16" s="115" t="str">
        <f>'2-1.직원현황'!C18</f>
        <v>김지용</v>
      </c>
      <c r="C16" s="115" t="str">
        <f>'2-1.직원현황'!D18</f>
        <v>선택</v>
      </c>
      <c r="D16" s="116">
        <f>'2-1.직원현황'!E18</f>
        <v>0</v>
      </c>
      <c r="E16" s="117">
        <f>'2-1.직원현황'!F18</f>
        <v>46113</v>
      </c>
      <c r="F16" s="117">
        <f>'2-1.직원현황'!G18</f>
        <v>0</v>
      </c>
      <c r="G16" s="23" t="s">
        <v>535</v>
      </c>
      <c r="H16" s="23" t="s">
        <v>535</v>
      </c>
      <c r="I16" s="23" t="s">
        <v>535</v>
      </c>
      <c r="J16" s="23" t="s">
        <v>535</v>
      </c>
      <c r="K16" s="23" t="s">
        <v>535</v>
      </c>
      <c r="L16" s="23" t="s">
        <v>536</v>
      </c>
      <c r="M16" s="23" t="s">
        <v>535</v>
      </c>
      <c r="N16" s="23" t="s">
        <v>535</v>
      </c>
      <c r="O16" s="23" t="s">
        <v>535</v>
      </c>
      <c r="P16" s="23" t="s">
        <v>535</v>
      </c>
      <c r="Q16" s="23" t="s">
        <v>535</v>
      </c>
      <c r="R16" s="23" t="s">
        <v>535</v>
      </c>
      <c r="S16" s="23" t="s">
        <v>536</v>
      </c>
      <c r="T16" s="23" t="s">
        <v>536</v>
      </c>
      <c r="U16" s="23" t="s">
        <v>535</v>
      </c>
      <c r="V16" s="23" t="s">
        <v>535</v>
      </c>
      <c r="W16" s="23" t="s">
        <v>535</v>
      </c>
      <c r="X16" s="23" t="s">
        <v>535</v>
      </c>
      <c r="Y16" s="23" t="s">
        <v>535</v>
      </c>
      <c r="Z16" s="23" t="s">
        <v>536</v>
      </c>
      <c r="AA16" s="23" t="s">
        <v>535</v>
      </c>
      <c r="AB16" s="23" t="s">
        <v>535</v>
      </c>
      <c r="AC16" s="23" t="s">
        <v>536</v>
      </c>
      <c r="AD16" s="23" t="s">
        <v>535</v>
      </c>
      <c r="AE16" s="23" t="s">
        <v>535</v>
      </c>
      <c r="AF16" s="23" t="s">
        <v>535</v>
      </c>
      <c r="AG16" s="23" t="s">
        <v>128</v>
      </c>
      <c r="AH16" s="23" t="s">
        <v>128</v>
      </c>
      <c r="AI16" s="23" t="s">
        <v>128</v>
      </c>
      <c r="AJ16" s="23" t="s">
        <v>128</v>
      </c>
      <c r="AK16" s="23" t="s">
        <v>128</v>
      </c>
      <c r="AL16" s="18">
        <f>COUNTIF(G16:AK16,"근무")</f>
        <v>21</v>
      </c>
      <c r="AM16" s="12">
        <f>COUNTIF(G16:AK16,"휴무")</f>
        <v>5</v>
      </c>
      <c r="AN16" s="12">
        <f>COUNTIF(G16:AK16,"월차")+COUNTIF(G16:AK16,"반차")</f>
        <v>0</v>
      </c>
      <c r="AO16" s="12">
        <f>COUNTIF(G16:AK16,"무단결근")</f>
        <v>0</v>
      </c>
      <c r="AP16" s="12">
        <f>COUNTIF(G16:AK16,"무단조퇴")</f>
        <v>0</v>
      </c>
      <c r="AQ16" s="459">
        <f>COUNTIF(G16:AK16,"권장휴무")</f>
        <v>0</v>
      </c>
      <c r="AR16" s="459">
        <f>COUNTIF(G16:AK16,"권장조퇴")</f>
        <v>0</v>
      </c>
      <c r="AS16" s="44">
        <f>'2-1.직원현황'!H18</f>
        <v>0</v>
      </c>
      <c r="AU16" s="89">
        <f>'2-1.직원현황'!J18</f>
        <v>0</v>
      </c>
      <c r="AV16" s="89">
        <f>'2-1.직원현황'!K18</f>
        <v>0</v>
      </c>
      <c r="AW16" s="91" t="str">
        <f>'2-1.직원현황'!L18</f>
        <v>신한 110 431 372066</v>
      </c>
      <c r="AY16" s="48">
        <f>IFERROR(VLOOKUP(B16,'2-1.직원현황'!$C$18:$AA$27,25,0),0)</f>
        <v>4000000</v>
      </c>
      <c r="AZ16" s="43">
        <f t="shared" si="7"/>
        <v>133333.33333333334</v>
      </c>
    </row>
    <row r="17" spans="2:52" s="6" customFormat="1" ht="21.95" customHeight="1" x14ac:dyDescent="0.25">
      <c r="B17" s="115" t="str">
        <f>'2-1.직원현황'!C19</f>
        <v>이도형</v>
      </c>
      <c r="C17" s="115" t="str">
        <f>'2-1.직원현황'!D19</f>
        <v>선택</v>
      </c>
      <c r="D17" s="116">
        <f>'2-1.직원현황'!E19</f>
        <v>0</v>
      </c>
      <c r="E17" s="117">
        <f>'2-1.직원현황'!F19</f>
        <v>46125</v>
      </c>
      <c r="F17" s="117">
        <f>'2-1.직원현황'!G19</f>
        <v>0</v>
      </c>
      <c r="G17" s="23" t="s">
        <v>128</v>
      </c>
      <c r="H17" s="23" t="s">
        <v>128</v>
      </c>
      <c r="I17" s="23" t="s">
        <v>128</v>
      </c>
      <c r="J17" s="23" t="s">
        <v>128</v>
      </c>
      <c r="K17" s="23" t="s">
        <v>128</v>
      </c>
      <c r="L17" s="23" t="s">
        <v>128</v>
      </c>
      <c r="M17" s="23" t="s">
        <v>128</v>
      </c>
      <c r="N17" s="23" t="s">
        <v>128</v>
      </c>
      <c r="O17" s="23" t="s">
        <v>128</v>
      </c>
      <c r="P17" s="23" t="s">
        <v>128</v>
      </c>
      <c r="Q17" s="23" t="s">
        <v>128</v>
      </c>
      <c r="R17" s="23" t="s">
        <v>128</v>
      </c>
      <c r="S17" s="23" t="s">
        <v>535</v>
      </c>
      <c r="T17" s="23" t="s">
        <v>535</v>
      </c>
      <c r="U17" s="23" t="s">
        <v>535</v>
      </c>
      <c r="V17" s="23" t="s">
        <v>535</v>
      </c>
      <c r="W17" s="23" t="s">
        <v>535</v>
      </c>
      <c r="X17" s="23" t="s">
        <v>535</v>
      </c>
      <c r="Y17" s="23" t="s">
        <v>536</v>
      </c>
      <c r="Z17" s="23" t="s">
        <v>535</v>
      </c>
      <c r="AA17" s="23" t="s">
        <v>535</v>
      </c>
      <c r="AB17" s="23" t="s">
        <v>535</v>
      </c>
      <c r="AC17" s="23" t="s">
        <v>535</v>
      </c>
      <c r="AD17" s="23" t="s">
        <v>535</v>
      </c>
      <c r="AE17" s="23" t="s">
        <v>535</v>
      </c>
      <c r="AF17" s="23" t="s">
        <v>535</v>
      </c>
      <c r="AG17" s="23" t="s">
        <v>128</v>
      </c>
      <c r="AH17" s="23" t="s">
        <v>128</v>
      </c>
      <c r="AI17" s="23" t="s">
        <v>128</v>
      </c>
      <c r="AJ17" s="23" t="s">
        <v>128</v>
      </c>
      <c r="AK17" s="23" t="s">
        <v>128</v>
      </c>
      <c r="AL17" s="18">
        <f t="shared" ref="AL17:AL25" si="8">COUNTIF(G17:AK17,"근무")</f>
        <v>13</v>
      </c>
      <c r="AM17" s="12">
        <f t="shared" ref="AM17:AM25" si="9">COUNTIF(G17:AK17,"휴무")</f>
        <v>1</v>
      </c>
      <c r="AN17" s="12">
        <f t="shared" ref="AN17:AN25" si="10">COUNTIF(G17:AK17,"월차")+COUNTIF(G17:AK17,"반차")</f>
        <v>0</v>
      </c>
      <c r="AO17" s="12">
        <f t="shared" ref="AO17:AO25" si="11">COUNTIF(G17:AK17,"무단결근")</f>
        <v>0</v>
      </c>
      <c r="AP17" s="12">
        <f t="shared" ref="AP17:AP25" si="12">COUNTIF(G17:AK17,"무단조퇴")</f>
        <v>0</v>
      </c>
      <c r="AQ17" s="459">
        <f t="shared" ref="AQ17:AQ25" si="13">COUNTIF(G17:AK17,"권장휴무")</f>
        <v>0</v>
      </c>
      <c r="AR17" s="459">
        <f t="shared" ref="AR17:AR25" si="14">COUNTIF(G17:AK17,"권장조퇴")</f>
        <v>0</v>
      </c>
      <c r="AS17" s="44">
        <f>'2-1.직원현황'!H19</f>
        <v>0</v>
      </c>
      <c r="AU17" s="89">
        <f>'2-1.직원현황'!J19</f>
        <v>0</v>
      </c>
      <c r="AV17" s="89">
        <f>'2-1.직원현황'!K19</f>
        <v>0</v>
      </c>
      <c r="AW17" s="91">
        <f>'2-1.직원현황'!L19</f>
        <v>0</v>
      </c>
      <c r="AY17" s="48">
        <f>IFERROR(VLOOKUP(B17,'2-1.직원현황'!$C$18:$AA$27,25,0),0)</f>
        <v>3400000</v>
      </c>
      <c r="AZ17" s="43">
        <f t="shared" si="7"/>
        <v>113333.33333333333</v>
      </c>
    </row>
    <row r="18" spans="2:52" s="6" customFormat="1" ht="21.95" customHeight="1" x14ac:dyDescent="0.25">
      <c r="B18" s="115">
        <f>'2-1.직원현황'!C20</f>
        <v>0</v>
      </c>
      <c r="C18" s="115" t="str">
        <f>'2-1.직원현황'!D20</f>
        <v>선택</v>
      </c>
      <c r="D18" s="116">
        <f>'2-1.직원현황'!E20</f>
        <v>0</v>
      </c>
      <c r="E18" s="117">
        <f>'2-1.직원현황'!F20</f>
        <v>0</v>
      </c>
      <c r="F18" s="117">
        <f>'2-1.직원현황'!G20</f>
        <v>0</v>
      </c>
      <c r="G18" s="23" t="s">
        <v>128</v>
      </c>
      <c r="H18" s="23" t="s">
        <v>128</v>
      </c>
      <c r="I18" s="23" t="s">
        <v>128</v>
      </c>
      <c r="J18" s="23" t="s">
        <v>128</v>
      </c>
      <c r="K18" s="23" t="s">
        <v>128</v>
      </c>
      <c r="L18" s="23" t="s">
        <v>128</v>
      </c>
      <c r="M18" s="23" t="s">
        <v>128</v>
      </c>
      <c r="N18" s="23" t="s">
        <v>128</v>
      </c>
      <c r="O18" s="23" t="s">
        <v>128</v>
      </c>
      <c r="P18" s="23" t="s">
        <v>128</v>
      </c>
      <c r="Q18" s="23" t="s">
        <v>128</v>
      </c>
      <c r="R18" s="23" t="s">
        <v>128</v>
      </c>
      <c r="S18" s="23" t="s">
        <v>128</v>
      </c>
      <c r="T18" s="23" t="s">
        <v>128</v>
      </c>
      <c r="U18" s="23" t="s">
        <v>128</v>
      </c>
      <c r="V18" s="23" t="s">
        <v>128</v>
      </c>
      <c r="W18" s="23" t="s">
        <v>128</v>
      </c>
      <c r="X18" s="23" t="s">
        <v>128</v>
      </c>
      <c r="Y18" s="23" t="s">
        <v>128</v>
      </c>
      <c r="Z18" s="23" t="s">
        <v>128</v>
      </c>
      <c r="AA18" s="23" t="s">
        <v>128</v>
      </c>
      <c r="AB18" s="23" t="s">
        <v>128</v>
      </c>
      <c r="AC18" s="23" t="s">
        <v>128</v>
      </c>
      <c r="AD18" s="23" t="s">
        <v>128</v>
      </c>
      <c r="AE18" s="23" t="s">
        <v>128</v>
      </c>
      <c r="AF18" s="23" t="s">
        <v>128</v>
      </c>
      <c r="AG18" s="23" t="s">
        <v>128</v>
      </c>
      <c r="AH18" s="23" t="s">
        <v>128</v>
      </c>
      <c r="AI18" s="23" t="s">
        <v>128</v>
      </c>
      <c r="AJ18" s="23" t="s">
        <v>128</v>
      </c>
      <c r="AK18" s="23" t="s">
        <v>128</v>
      </c>
      <c r="AL18" s="18">
        <f t="shared" si="8"/>
        <v>0</v>
      </c>
      <c r="AM18" s="12">
        <f t="shared" si="9"/>
        <v>0</v>
      </c>
      <c r="AN18" s="12">
        <f t="shared" si="10"/>
        <v>0</v>
      </c>
      <c r="AO18" s="12">
        <f t="shared" si="11"/>
        <v>0</v>
      </c>
      <c r="AP18" s="12">
        <f t="shared" si="12"/>
        <v>0</v>
      </c>
      <c r="AQ18" s="459">
        <f t="shared" si="13"/>
        <v>0</v>
      </c>
      <c r="AR18" s="459">
        <f t="shared" si="14"/>
        <v>0</v>
      </c>
      <c r="AS18" s="44">
        <f>'2-1.직원현황'!H20</f>
        <v>0</v>
      </c>
      <c r="AU18" s="89">
        <f>'2-1.직원현황'!J20</f>
        <v>0</v>
      </c>
      <c r="AV18" s="89">
        <f>'2-1.직원현황'!K20</f>
        <v>0</v>
      </c>
      <c r="AW18" s="91">
        <f>'2-1.직원현황'!L20</f>
        <v>0</v>
      </c>
      <c r="AY18" s="48">
        <f>IFERROR(VLOOKUP(B18,'2-1.직원현황'!$C$18:$AA$27,25,0),0)</f>
        <v>0</v>
      </c>
      <c r="AZ18" s="43">
        <f t="shared" si="7"/>
        <v>0</v>
      </c>
    </row>
    <row r="19" spans="2:52" s="6" customFormat="1" ht="21.95" customHeight="1" x14ac:dyDescent="0.25">
      <c r="B19" s="115">
        <f>'2-1.직원현황'!C21</f>
        <v>0</v>
      </c>
      <c r="C19" s="115" t="str">
        <f>'2-1.직원현황'!D21</f>
        <v>선택</v>
      </c>
      <c r="D19" s="116">
        <f>'2-1.직원현황'!E21</f>
        <v>0</v>
      </c>
      <c r="E19" s="117">
        <f>'2-1.직원현황'!F21</f>
        <v>0</v>
      </c>
      <c r="F19" s="117">
        <f>'2-1.직원현황'!G21</f>
        <v>0</v>
      </c>
      <c r="G19" s="23" t="s">
        <v>128</v>
      </c>
      <c r="H19" s="23" t="s">
        <v>128</v>
      </c>
      <c r="I19" s="23" t="s">
        <v>128</v>
      </c>
      <c r="J19" s="23" t="s">
        <v>128</v>
      </c>
      <c r="K19" s="23" t="s">
        <v>128</v>
      </c>
      <c r="L19" s="23" t="s">
        <v>128</v>
      </c>
      <c r="M19" s="23" t="s">
        <v>128</v>
      </c>
      <c r="N19" s="23" t="s">
        <v>128</v>
      </c>
      <c r="O19" s="23" t="s">
        <v>128</v>
      </c>
      <c r="P19" s="23" t="s">
        <v>128</v>
      </c>
      <c r="Q19" s="23" t="s">
        <v>128</v>
      </c>
      <c r="R19" s="23" t="s">
        <v>128</v>
      </c>
      <c r="S19" s="23" t="s">
        <v>128</v>
      </c>
      <c r="T19" s="23" t="s">
        <v>128</v>
      </c>
      <c r="U19" s="23" t="s">
        <v>128</v>
      </c>
      <c r="V19" s="23" t="s">
        <v>128</v>
      </c>
      <c r="W19" s="23" t="s">
        <v>128</v>
      </c>
      <c r="X19" s="23" t="s">
        <v>128</v>
      </c>
      <c r="Y19" s="23" t="s">
        <v>128</v>
      </c>
      <c r="Z19" s="23" t="s">
        <v>128</v>
      </c>
      <c r="AA19" s="23" t="s">
        <v>128</v>
      </c>
      <c r="AB19" s="23" t="s">
        <v>128</v>
      </c>
      <c r="AC19" s="23" t="s">
        <v>128</v>
      </c>
      <c r="AD19" s="23" t="s">
        <v>128</v>
      </c>
      <c r="AE19" s="23" t="s">
        <v>128</v>
      </c>
      <c r="AF19" s="23" t="s">
        <v>128</v>
      </c>
      <c r="AG19" s="23" t="s">
        <v>128</v>
      </c>
      <c r="AH19" s="23" t="s">
        <v>128</v>
      </c>
      <c r="AI19" s="23" t="s">
        <v>128</v>
      </c>
      <c r="AJ19" s="23" t="s">
        <v>128</v>
      </c>
      <c r="AK19" s="23" t="s">
        <v>128</v>
      </c>
      <c r="AL19" s="18">
        <f t="shared" si="8"/>
        <v>0</v>
      </c>
      <c r="AM19" s="12">
        <f t="shared" si="9"/>
        <v>0</v>
      </c>
      <c r="AN19" s="12">
        <f t="shared" si="10"/>
        <v>0</v>
      </c>
      <c r="AO19" s="12">
        <f t="shared" si="11"/>
        <v>0</v>
      </c>
      <c r="AP19" s="12">
        <f t="shared" si="12"/>
        <v>0</v>
      </c>
      <c r="AQ19" s="459">
        <f t="shared" si="13"/>
        <v>0</v>
      </c>
      <c r="AR19" s="459">
        <f t="shared" si="14"/>
        <v>0</v>
      </c>
      <c r="AS19" s="44">
        <f>'2-1.직원현황'!H21</f>
        <v>0</v>
      </c>
      <c r="AU19" s="89">
        <f>'2-1.직원현황'!J21</f>
        <v>0</v>
      </c>
      <c r="AV19" s="89">
        <f>'2-1.직원현황'!K21</f>
        <v>0</v>
      </c>
      <c r="AW19" s="91">
        <f>'2-1.직원현황'!L21</f>
        <v>0</v>
      </c>
      <c r="AY19" s="48">
        <f>IFERROR(VLOOKUP(B19,'2-1.직원현황'!$C$18:$AA$27,25,0),0)</f>
        <v>0</v>
      </c>
      <c r="AZ19" s="43">
        <f t="shared" si="7"/>
        <v>0</v>
      </c>
    </row>
    <row r="20" spans="2:52" s="6" customFormat="1" ht="21.95" customHeight="1" x14ac:dyDescent="0.25">
      <c r="B20" s="115">
        <f>'2-1.직원현황'!C22</f>
        <v>0</v>
      </c>
      <c r="C20" s="115" t="str">
        <f>'2-1.직원현황'!D22</f>
        <v>선택</v>
      </c>
      <c r="D20" s="116">
        <f>'2-1.직원현황'!E22</f>
        <v>0</v>
      </c>
      <c r="E20" s="117">
        <f>'2-1.직원현황'!F22</f>
        <v>0</v>
      </c>
      <c r="F20" s="117">
        <f>'2-1.직원현황'!G22</f>
        <v>0</v>
      </c>
      <c r="G20" s="23" t="s">
        <v>128</v>
      </c>
      <c r="H20" s="23" t="s">
        <v>128</v>
      </c>
      <c r="I20" s="23" t="s">
        <v>128</v>
      </c>
      <c r="J20" s="23" t="s">
        <v>128</v>
      </c>
      <c r="K20" s="23" t="s">
        <v>128</v>
      </c>
      <c r="L20" s="23" t="s">
        <v>128</v>
      </c>
      <c r="M20" s="23" t="s">
        <v>128</v>
      </c>
      <c r="N20" s="23" t="s">
        <v>128</v>
      </c>
      <c r="O20" s="23" t="s">
        <v>128</v>
      </c>
      <c r="P20" s="23" t="s">
        <v>128</v>
      </c>
      <c r="Q20" s="23" t="s">
        <v>128</v>
      </c>
      <c r="R20" s="23" t="s">
        <v>128</v>
      </c>
      <c r="S20" s="23" t="s">
        <v>128</v>
      </c>
      <c r="T20" s="23" t="s">
        <v>128</v>
      </c>
      <c r="U20" s="23" t="s">
        <v>128</v>
      </c>
      <c r="V20" s="23" t="s">
        <v>128</v>
      </c>
      <c r="W20" s="23" t="s">
        <v>128</v>
      </c>
      <c r="X20" s="23" t="s">
        <v>128</v>
      </c>
      <c r="Y20" s="23" t="s">
        <v>128</v>
      </c>
      <c r="Z20" s="23" t="s">
        <v>128</v>
      </c>
      <c r="AA20" s="23" t="s">
        <v>128</v>
      </c>
      <c r="AB20" s="23" t="s">
        <v>128</v>
      </c>
      <c r="AC20" s="23" t="s">
        <v>128</v>
      </c>
      <c r="AD20" s="23" t="s">
        <v>128</v>
      </c>
      <c r="AE20" s="23" t="s">
        <v>128</v>
      </c>
      <c r="AF20" s="23" t="s">
        <v>128</v>
      </c>
      <c r="AG20" s="23" t="s">
        <v>128</v>
      </c>
      <c r="AH20" s="23" t="s">
        <v>128</v>
      </c>
      <c r="AI20" s="23" t="s">
        <v>128</v>
      </c>
      <c r="AJ20" s="23" t="s">
        <v>128</v>
      </c>
      <c r="AK20" s="23" t="s">
        <v>128</v>
      </c>
      <c r="AL20" s="18">
        <f t="shared" si="8"/>
        <v>0</v>
      </c>
      <c r="AM20" s="12">
        <f t="shared" si="9"/>
        <v>0</v>
      </c>
      <c r="AN20" s="12">
        <f t="shared" si="10"/>
        <v>0</v>
      </c>
      <c r="AO20" s="12">
        <f t="shared" si="11"/>
        <v>0</v>
      </c>
      <c r="AP20" s="12">
        <f t="shared" si="12"/>
        <v>0</v>
      </c>
      <c r="AQ20" s="459">
        <f t="shared" si="13"/>
        <v>0</v>
      </c>
      <c r="AR20" s="459">
        <f t="shared" si="14"/>
        <v>0</v>
      </c>
      <c r="AS20" s="44">
        <f>'2-1.직원현황'!H22</f>
        <v>0</v>
      </c>
      <c r="AU20" s="89">
        <f>'2-1.직원현황'!J22</f>
        <v>0</v>
      </c>
      <c r="AV20" s="89">
        <f>'2-1.직원현황'!K22</f>
        <v>0</v>
      </c>
      <c r="AW20" s="91">
        <f>'2-1.직원현황'!L22</f>
        <v>0</v>
      </c>
      <c r="AY20" s="48">
        <f>IFERROR(VLOOKUP(B20,'2-1.직원현황'!$C$18:$AA$27,25,0),0)</f>
        <v>0</v>
      </c>
      <c r="AZ20" s="43">
        <f t="shared" si="7"/>
        <v>0</v>
      </c>
    </row>
    <row r="21" spans="2:52" s="6" customFormat="1" ht="21.95" customHeight="1" x14ac:dyDescent="0.25">
      <c r="B21" s="115">
        <f>'2-1.직원현황'!C23</f>
        <v>0</v>
      </c>
      <c r="C21" s="115" t="str">
        <f>'2-1.직원현황'!D23</f>
        <v>선택</v>
      </c>
      <c r="D21" s="116">
        <f>'2-1.직원현황'!E23</f>
        <v>0</v>
      </c>
      <c r="E21" s="117">
        <f>'2-1.직원현황'!F23</f>
        <v>0</v>
      </c>
      <c r="F21" s="117">
        <f>'2-1.직원현황'!G23</f>
        <v>0</v>
      </c>
      <c r="G21" s="23" t="s">
        <v>128</v>
      </c>
      <c r="H21" s="23" t="s">
        <v>128</v>
      </c>
      <c r="I21" s="23" t="s">
        <v>128</v>
      </c>
      <c r="J21" s="23" t="s">
        <v>128</v>
      </c>
      <c r="K21" s="23" t="s">
        <v>128</v>
      </c>
      <c r="L21" s="23" t="s">
        <v>128</v>
      </c>
      <c r="M21" s="23" t="s">
        <v>128</v>
      </c>
      <c r="N21" s="23" t="s">
        <v>128</v>
      </c>
      <c r="O21" s="23" t="s">
        <v>128</v>
      </c>
      <c r="P21" s="23" t="s">
        <v>128</v>
      </c>
      <c r="Q21" s="23" t="s">
        <v>128</v>
      </c>
      <c r="R21" s="23" t="s">
        <v>128</v>
      </c>
      <c r="S21" s="23" t="s">
        <v>128</v>
      </c>
      <c r="T21" s="23" t="s">
        <v>128</v>
      </c>
      <c r="U21" s="23" t="s">
        <v>128</v>
      </c>
      <c r="V21" s="23" t="s">
        <v>128</v>
      </c>
      <c r="W21" s="23" t="s">
        <v>128</v>
      </c>
      <c r="X21" s="23" t="s">
        <v>128</v>
      </c>
      <c r="Y21" s="23" t="s">
        <v>128</v>
      </c>
      <c r="Z21" s="23" t="s">
        <v>128</v>
      </c>
      <c r="AA21" s="23" t="s">
        <v>128</v>
      </c>
      <c r="AB21" s="23" t="s">
        <v>128</v>
      </c>
      <c r="AC21" s="23" t="s">
        <v>128</v>
      </c>
      <c r="AD21" s="23" t="s">
        <v>128</v>
      </c>
      <c r="AE21" s="23" t="s">
        <v>128</v>
      </c>
      <c r="AF21" s="23" t="s">
        <v>128</v>
      </c>
      <c r="AG21" s="23" t="s">
        <v>128</v>
      </c>
      <c r="AH21" s="23" t="s">
        <v>128</v>
      </c>
      <c r="AI21" s="23" t="s">
        <v>128</v>
      </c>
      <c r="AJ21" s="23" t="s">
        <v>128</v>
      </c>
      <c r="AK21" s="23" t="s">
        <v>128</v>
      </c>
      <c r="AL21" s="18">
        <f t="shared" si="8"/>
        <v>0</v>
      </c>
      <c r="AM21" s="12">
        <f t="shared" si="9"/>
        <v>0</v>
      </c>
      <c r="AN21" s="12">
        <f t="shared" si="10"/>
        <v>0</v>
      </c>
      <c r="AO21" s="12">
        <f t="shared" si="11"/>
        <v>0</v>
      </c>
      <c r="AP21" s="12">
        <f t="shared" si="12"/>
        <v>0</v>
      </c>
      <c r="AQ21" s="459">
        <f t="shared" si="13"/>
        <v>0</v>
      </c>
      <c r="AR21" s="459">
        <f t="shared" si="14"/>
        <v>0</v>
      </c>
      <c r="AS21" s="44">
        <f>'2-1.직원현황'!H23</f>
        <v>0</v>
      </c>
      <c r="AU21" s="89">
        <f>'2-1.직원현황'!J23</f>
        <v>0</v>
      </c>
      <c r="AV21" s="89">
        <f>'2-1.직원현황'!K23</f>
        <v>0</v>
      </c>
      <c r="AW21" s="91">
        <f>'2-1.직원현황'!L23</f>
        <v>0</v>
      </c>
      <c r="AY21" s="48">
        <f>IFERROR(VLOOKUP(B21,'2-1.직원현황'!$C$18:$AA$27,25,0),0)</f>
        <v>0</v>
      </c>
      <c r="AZ21" s="43">
        <f t="shared" si="7"/>
        <v>0</v>
      </c>
    </row>
    <row r="22" spans="2:52" s="6" customFormat="1" ht="21.95" customHeight="1" x14ac:dyDescent="0.25">
      <c r="B22" s="115">
        <f>'2-1.직원현황'!C24</f>
        <v>0</v>
      </c>
      <c r="C22" s="115" t="str">
        <f>'2-1.직원현황'!D24</f>
        <v>선택</v>
      </c>
      <c r="D22" s="116">
        <f>'2-1.직원현황'!E24</f>
        <v>0</v>
      </c>
      <c r="E22" s="117">
        <f>'2-1.직원현황'!F24</f>
        <v>0</v>
      </c>
      <c r="F22" s="117">
        <f>'2-1.직원현황'!G24</f>
        <v>0</v>
      </c>
      <c r="G22" s="23" t="s">
        <v>128</v>
      </c>
      <c r="H22" s="23" t="s">
        <v>128</v>
      </c>
      <c r="I22" s="23" t="s">
        <v>128</v>
      </c>
      <c r="J22" s="23" t="s">
        <v>128</v>
      </c>
      <c r="K22" s="23" t="s">
        <v>128</v>
      </c>
      <c r="L22" s="23" t="s">
        <v>128</v>
      </c>
      <c r="M22" s="23" t="s">
        <v>128</v>
      </c>
      <c r="N22" s="23" t="s">
        <v>128</v>
      </c>
      <c r="O22" s="23" t="s">
        <v>128</v>
      </c>
      <c r="P22" s="23" t="s">
        <v>128</v>
      </c>
      <c r="Q22" s="23" t="s">
        <v>128</v>
      </c>
      <c r="R22" s="23" t="s">
        <v>128</v>
      </c>
      <c r="S22" s="23" t="s">
        <v>128</v>
      </c>
      <c r="T22" s="23" t="s">
        <v>128</v>
      </c>
      <c r="U22" s="23" t="s">
        <v>128</v>
      </c>
      <c r="V22" s="23" t="s">
        <v>128</v>
      </c>
      <c r="W22" s="23" t="s">
        <v>128</v>
      </c>
      <c r="X22" s="23" t="s">
        <v>128</v>
      </c>
      <c r="Y22" s="23" t="s">
        <v>128</v>
      </c>
      <c r="Z22" s="23" t="s">
        <v>128</v>
      </c>
      <c r="AA22" s="23" t="s">
        <v>128</v>
      </c>
      <c r="AB22" s="23" t="s">
        <v>128</v>
      </c>
      <c r="AC22" s="23" t="s">
        <v>128</v>
      </c>
      <c r="AD22" s="23" t="s">
        <v>128</v>
      </c>
      <c r="AE22" s="23" t="s">
        <v>128</v>
      </c>
      <c r="AF22" s="23" t="s">
        <v>128</v>
      </c>
      <c r="AG22" s="23" t="s">
        <v>128</v>
      </c>
      <c r="AH22" s="23" t="s">
        <v>128</v>
      </c>
      <c r="AI22" s="23" t="s">
        <v>128</v>
      </c>
      <c r="AJ22" s="23" t="s">
        <v>128</v>
      </c>
      <c r="AK22" s="23" t="s">
        <v>128</v>
      </c>
      <c r="AL22" s="18">
        <f t="shared" si="8"/>
        <v>0</v>
      </c>
      <c r="AM22" s="12">
        <f t="shared" si="9"/>
        <v>0</v>
      </c>
      <c r="AN22" s="12">
        <f t="shared" si="10"/>
        <v>0</v>
      </c>
      <c r="AO22" s="12">
        <f t="shared" si="11"/>
        <v>0</v>
      </c>
      <c r="AP22" s="12">
        <f t="shared" si="12"/>
        <v>0</v>
      </c>
      <c r="AQ22" s="459">
        <f t="shared" si="13"/>
        <v>0</v>
      </c>
      <c r="AR22" s="459">
        <f t="shared" si="14"/>
        <v>0</v>
      </c>
      <c r="AS22" s="44">
        <f>'2-1.직원현황'!H24</f>
        <v>0</v>
      </c>
      <c r="AU22" s="89">
        <f>'2-1.직원현황'!J24</f>
        <v>0</v>
      </c>
      <c r="AV22" s="89">
        <f>'2-1.직원현황'!K24</f>
        <v>0</v>
      </c>
      <c r="AW22" s="91">
        <f>'2-1.직원현황'!L24</f>
        <v>0</v>
      </c>
      <c r="AY22" s="48">
        <f>IFERROR(VLOOKUP(B22,'2-1.직원현황'!$C$18:$AA$27,25,0),0)</f>
        <v>0</v>
      </c>
      <c r="AZ22" s="43">
        <f t="shared" si="7"/>
        <v>0</v>
      </c>
    </row>
    <row r="23" spans="2:52" s="6" customFormat="1" ht="21.95" customHeight="1" x14ac:dyDescent="0.25">
      <c r="B23" s="115">
        <f>'2-1.직원현황'!C25</f>
        <v>0</v>
      </c>
      <c r="C23" s="115" t="str">
        <f>'2-1.직원현황'!D25</f>
        <v>선택</v>
      </c>
      <c r="D23" s="116">
        <f>'2-1.직원현황'!E25</f>
        <v>0</v>
      </c>
      <c r="E23" s="117">
        <f>'2-1.직원현황'!F25</f>
        <v>0</v>
      </c>
      <c r="F23" s="117">
        <f>'2-1.직원현황'!G25</f>
        <v>0</v>
      </c>
      <c r="G23" s="23" t="s">
        <v>128</v>
      </c>
      <c r="H23" s="23" t="s">
        <v>128</v>
      </c>
      <c r="I23" s="23" t="s">
        <v>128</v>
      </c>
      <c r="J23" s="23" t="s">
        <v>128</v>
      </c>
      <c r="K23" s="23" t="s">
        <v>128</v>
      </c>
      <c r="L23" s="23" t="s">
        <v>128</v>
      </c>
      <c r="M23" s="23" t="s">
        <v>128</v>
      </c>
      <c r="N23" s="23" t="s">
        <v>128</v>
      </c>
      <c r="O23" s="23" t="s">
        <v>128</v>
      </c>
      <c r="P23" s="23" t="s">
        <v>128</v>
      </c>
      <c r="Q23" s="23" t="s">
        <v>128</v>
      </c>
      <c r="R23" s="23" t="s">
        <v>128</v>
      </c>
      <c r="S23" s="23" t="s">
        <v>128</v>
      </c>
      <c r="T23" s="23" t="s">
        <v>128</v>
      </c>
      <c r="U23" s="23" t="s">
        <v>128</v>
      </c>
      <c r="V23" s="23" t="s">
        <v>128</v>
      </c>
      <c r="W23" s="23" t="s">
        <v>128</v>
      </c>
      <c r="X23" s="23" t="s">
        <v>128</v>
      </c>
      <c r="Y23" s="23" t="s">
        <v>128</v>
      </c>
      <c r="Z23" s="23" t="s">
        <v>128</v>
      </c>
      <c r="AA23" s="23" t="s">
        <v>128</v>
      </c>
      <c r="AB23" s="23" t="s">
        <v>128</v>
      </c>
      <c r="AC23" s="23" t="s">
        <v>128</v>
      </c>
      <c r="AD23" s="23" t="s">
        <v>128</v>
      </c>
      <c r="AE23" s="23" t="s">
        <v>128</v>
      </c>
      <c r="AF23" s="23" t="s">
        <v>128</v>
      </c>
      <c r="AG23" s="23" t="s">
        <v>128</v>
      </c>
      <c r="AH23" s="23" t="s">
        <v>128</v>
      </c>
      <c r="AI23" s="23" t="s">
        <v>128</v>
      </c>
      <c r="AJ23" s="23" t="s">
        <v>128</v>
      </c>
      <c r="AK23" s="23" t="s">
        <v>128</v>
      </c>
      <c r="AL23" s="18">
        <f t="shared" si="8"/>
        <v>0</v>
      </c>
      <c r="AM23" s="12">
        <f t="shared" si="9"/>
        <v>0</v>
      </c>
      <c r="AN23" s="12">
        <f t="shared" si="10"/>
        <v>0</v>
      </c>
      <c r="AO23" s="12">
        <f t="shared" si="11"/>
        <v>0</v>
      </c>
      <c r="AP23" s="12">
        <f t="shared" si="12"/>
        <v>0</v>
      </c>
      <c r="AQ23" s="459">
        <f t="shared" si="13"/>
        <v>0</v>
      </c>
      <c r="AR23" s="459">
        <f t="shared" si="14"/>
        <v>0</v>
      </c>
      <c r="AS23" s="44">
        <f>'2-1.직원현황'!H25</f>
        <v>0</v>
      </c>
      <c r="AU23" s="89">
        <f>'2-1.직원현황'!J25</f>
        <v>0</v>
      </c>
      <c r="AV23" s="89">
        <f>'2-1.직원현황'!K25</f>
        <v>0</v>
      </c>
      <c r="AW23" s="91">
        <f>'2-1.직원현황'!L25</f>
        <v>0</v>
      </c>
      <c r="AY23" s="48">
        <f>IFERROR(VLOOKUP(B23,'2-1.직원현황'!$C$18:$AA$27,25,0),0)</f>
        <v>0</v>
      </c>
      <c r="AZ23" s="43">
        <f t="shared" si="7"/>
        <v>0</v>
      </c>
    </row>
    <row r="24" spans="2:52" s="6" customFormat="1" ht="21.95" customHeight="1" x14ac:dyDescent="0.25">
      <c r="B24" s="115">
        <f>'2-1.직원현황'!C26</f>
        <v>0</v>
      </c>
      <c r="C24" s="115" t="str">
        <f>'2-1.직원현황'!D26</f>
        <v>선택</v>
      </c>
      <c r="D24" s="116">
        <f>'2-1.직원현황'!E26</f>
        <v>0</v>
      </c>
      <c r="E24" s="117">
        <f>'2-1.직원현황'!F26</f>
        <v>0</v>
      </c>
      <c r="F24" s="117">
        <f>'2-1.직원현황'!G26</f>
        <v>0</v>
      </c>
      <c r="G24" s="23" t="s">
        <v>128</v>
      </c>
      <c r="H24" s="23" t="s">
        <v>128</v>
      </c>
      <c r="I24" s="23" t="s">
        <v>128</v>
      </c>
      <c r="J24" s="23" t="s">
        <v>128</v>
      </c>
      <c r="K24" s="23" t="s">
        <v>128</v>
      </c>
      <c r="L24" s="23" t="s">
        <v>128</v>
      </c>
      <c r="M24" s="23" t="s">
        <v>128</v>
      </c>
      <c r="N24" s="23" t="s">
        <v>128</v>
      </c>
      <c r="O24" s="23" t="s">
        <v>128</v>
      </c>
      <c r="P24" s="23" t="s">
        <v>128</v>
      </c>
      <c r="Q24" s="23" t="s">
        <v>128</v>
      </c>
      <c r="R24" s="23" t="s">
        <v>128</v>
      </c>
      <c r="S24" s="23" t="s">
        <v>128</v>
      </c>
      <c r="T24" s="23" t="s">
        <v>128</v>
      </c>
      <c r="U24" s="23" t="s">
        <v>128</v>
      </c>
      <c r="V24" s="23" t="s">
        <v>128</v>
      </c>
      <c r="W24" s="23" t="s">
        <v>128</v>
      </c>
      <c r="X24" s="23" t="s">
        <v>128</v>
      </c>
      <c r="Y24" s="23" t="s">
        <v>128</v>
      </c>
      <c r="Z24" s="23" t="s">
        <v>128</v>
      </c>
      <c r="AA24" s="23" t="s">
        <v>128</v>
      </c>
      <c r="AB24" s="23" t="s">
        <v>128</v>
      </c>
      <c r="AC24" s="23" t="s">
        <v>128</v>
      </c>
      <c r="AD24" s="23" t="s">
        <v>128</v>
      </c>
      <c r="AE24" s="23" t="s">
        <v>128</v>
      </c>
      <c r="AF24" s="23" t="s">
        <v>128</v>
      </c>
      <c r="AG24" s="23" t="s">
        <v>128</v>
      </c>
      <c r="AH24" s="23" t="s">
        <v>128</v>
      </c>
      <c r="AI24" s="23" t="s">
        <v>128</v>
      </c>
      <c r="AJ24" s="23" t="s">
        <v>128</v>
      </c>
      <c r="AK24" s="23" t="s">
        <v>128</v>
      </c>
      <c r="AL24" s="18">
        <f t="shared" si="8"/>
        <v>0</v>
      </c>
      <c r="AM24" s="12">
        <f t="shared" si="9"/>
        <v>0</v>
      </c>
      <c r="AN24" s="12">
        <f t="shared" si="10"/>
        <v>0</v>
      </c>
      <c r="AO24" s="12">
        <f t="shared" si="11"/>
        <v>0</v>
      </c>
      <c r="AP24" s="12">
        <f t="shared" si="12"/>
        <v>0</v>
      </c>
      <c r="AQ24" s="459">
        <f t="shared" si="13"/>
        <v>0</v>
      </c>
      <c r="AR24" s="459">
        <f t="shared" si="14"/>
        <v>0</v>
      </c>
      <c r="AS24" s="44">
        <f>'2-1.직원현황'!H26</f>
        <v>0</v>
      </c>
      <c r="AU24" s="89">
        <f>'2-1.직원현황'!J26</f>
        <v>0</v>
      </c>
      <c r="AV24" s="89">
        <f>'2-1.직원현황'!K26</f>
        <v>0</v>
      </c>
      <c r="AW24" s="91">
        <f>'2-1.직원현황'!L26</f>
        <v>0</v>
      </c>
      <c r="AY24" s="48">
        <f>IFERROR(VLOOKUP(B24,'2-1.직원현황'!$C$18:$AA$27,25,0),0)</f>
        <v>0</v>
      </c>
      <c r="AZ24" s="43">
        <f t="shared" si="7"/>
        <v>0</v>
      </c>
    </row>
    <row r="25" spans="2:52" s="6" customFormat="1" ht="21.95" customHeight="1" thickBot="1" x14ac:dyDescent="0.3">
      <c r="B25" s="456">
        <f>'2-1.직원현황'!C27</f>
        <v>0</v>
      </c>
      <c r="C25" s="456" t="str">
        <f>'2-1.직원현황'!D27</f>
        <v>선택</v>
      </c>
      <c r="D25" s="457">
        <f>'2-1.직원현황'!E27</f>
        <v>0</v>
      </c>
      <c r="E25" s="458">
        <f>'2-1.직원현황'!F27</f>
        <v>0</v>
      </c>
      <c r="F25" s="458">
        <f>'2-1.직원현황'!G27</f>
        <v>0</v>
      </c>
      <c r="G25" s="460" t="s">
        <v>128</v>
      </c>
      <c r="H25" s="460" t="s">
        <v>128</v>
      </c>
      <c r="I25" s="460" t="s">
        <v>128</v>
      </c>
      <c r="J25" s="460" t="s">
        <v>128</v>
      </c>
      <c r="K25" s="460" t="s">
        <v>128</v>
      </c>
      <c r="L25" s="460" t="s">
        <v>128</v>
      </c>
      <c r="M25" s="460" t="s">
        <v>128</v>
      </c>
      <c r="N25" s="460" t="s">
        <v>128</v>
      </c>
      <c r="O25" s="460" t="s">
        <v>128</v>
      </c>
      <c r="P25" s="460" t="s">
        <v>128</v>
      </c>
      <c r="Q25" s="460" t="s">
        <v>128</v>
      </c>
      <c r="R25" s="460" t="s">
        <v>128</v>
      </c>
      <c r="S25" s="460" t="s">
        <v>128</v>
      </c>
      <c r="T25" s="460" t="s">
        <v>128</v>
      </c>
      <c r="U25" s="460" t="s">
        <v>128</v>
      </c>
      <c r="V25" s="460" t="s">
        <v>128</v>
      </c>
      <c r="W25" s="460" t="s">
        <v>128</v>
      </c>
      <c r="X25" s="460" t="s">
        <v>128</v>
      </c>
      <c r="Y25" s="460" t="s">
        <v>128</v>
      </c>
      <c r="Z25" s="460" t="s">
        <v>128</v>
      </c>
      <c r="AA25" s="460" t="s">
        <v>128</v>
      </c>
      <c r="AB25" s="460" t="s">
        <v>128</v>
      </c>
      <c r="AC25" s="460" t="s">
        <v>128</v>
      </c>
      <c r="AD25" s="460" t="s">
        <v>128</v>
      </c>
      <c r="AE25" s="460" t="s">
        <v>128</v>
      </c>
      <c r="AF25" s="460" t="s">
        <v>128</v>
      </c>
      <c r="AG25" s="460" t="s">
        <v>128</v>
      </c>
      <c r="AH25" s="460" t="s">
        <v>128</v>
      </c>
      <c r="AI25" s="460" t="s">
        <v>128</v>
      </c>
      <c r="AJ25" s="460" t="s">
        <v>128</v>
      </c>
      <c r="AK25" s="460" t="s">
        <v>128</v>
      </c>
      <c r="AL25" s="18">
        <f t="shared" si="8"/>
        <v>0</v>
      </c>
      <c r="AM25" s="12">
        <f t="shared" si="9"/>
        <v>0</v>
      </c>
      <c r="AN25" s="12">
        <f t="shared" si="10"/>
        <v>0</v>
      </c>
      <c r="AO25" s="12">
        <f t="shared" si="11"/>
        <v>0</v>
      </c>
      <c r="AP25" s="12">
        <f t="shared" si="12"/>
        <v>0</v>
      </c>
      <c r="AQ25" s="459">
        <f t="shared" si="13"/>
        <v>0</v>
      </c>
      <c r="AR25" s="459">
        <f t="shared" si="14"/>
        <v>0</v>
      </c>
      <c r="AS25" s="44">
        <f>'2-1.직원현황'!H27</f>
        <v>0</v>
      </c>
      <c r="AU25" s="89">
        <f>'2-1.직원현황'!J27</f>
        <v>0</v>
      </c>
      <c r="AV25" s="89">
        <f>'2-1.직원현황'!K27</f>
        <v>0</v>
      </c>
      <c r="AW25" s="91">
        <f>'2-1.직원현황'!L27</f>
        <v>0</v>
      </c>
      <c r="AY25" s="48">
        <f>IFERROR(VLOOKUP(B25,'2-1.직원현황'!$C$18:$AA$27,25,0),0)</f>
        <v>0</v>
      </c>
      <c r="AZ25" s="43">
        <f t="shared" si="7"/>
        <v>0</v>
      </c>
    </row>
    <row r="26" spans="2:52" s="6" customFormat="1" ht="21.95" customHeight="1" thickBot="1" x14ac:dyDescent="0.3">
      <c r="B26" s="895" t="s">
        <v>88</v>
      </c>
      <c r="C26" s="896"/>
      <c r="D26" s="896"/>
      <c r="E26" s="896"/>
      <c r="F26" s="896"/>
      <c r="G26" s="45">
        <f t="shared" ref="G26:AK26" si="15">COUNTIF(G6:G25,"근무")+COUNTIF(G6:G25,"지원")</f>
        <v>2</v>
      </c>
      <c r="H26" s="45">
        <f t="shared" si="15"/>
        <v>4</v>
      </c>
      <c r="I26" s="45">
        <f t="shared" si="15"/>
        <v>4</v>
      </c>
      <c r="J26" s="45">
        <f t="shared" si="15"/>
        <v>4</v>
      </c>
      <c r="K26" s="45">
        <f t="shared" si="15"/>
        <v>3</v>
      </c>
      <c r="L26" s="45">
        <f t="shared" si="15"/>
        <v>2</v>
      </c>
      <c r="M26" s="45">
        <f t="shared" si="15"/>
        <v>4</v>
      </c>
      <c r="N26" s="45">
        <f t="shared" si="15"/>
        <v>3</v>
      </c>
      <c r="O26" s="45">
        <f t="shared" si="15"/>
        <v>3</v>
      </c>
      <c r="P26" s="45">
        <f t="shared" si="15"/>
        <v>4</v>
      </c>
      <c r="Q26" s="45">
        <f t="shared" si="15"/>
        <v>4</v>
      </c>
      <c r="R26" s="45">
        <f t="shared" si="15"/>
        <v>4</v>
      </c>
      <c r="S26" s="45">
        <f t="shared" si="15"/>
        <v>3</v>
      </c>
      <c r="T26" s="45">
        <f t="shared" si="15"/>
        <v>3</v>
      </c>
      <c r="U26" s="45">
        <f t="shared" si="15"/>
        <v>3</v>
      </c>
      <c r="V26" s="45">
        <f t="shared" si="15"/>
        <v>4</v>
      </c>
      <c r="W26" s="45">
        <f t="shared" si="15"/>
        <v>5</v>
      </c>
      <c r="X26" s="45">
        <f t="shared" si="15"/>
        <v>5</v>
      </c>
      <c r="Y26" s="45">
        <f t="shared" si="15"/>
        <v>4</v>
      </c>
      <c r="Z26" s="45">
        <f t="shared" si="15"/>
        <v>4</v>
      </c>
      <c r="AA26" s="45">
        <f t="shared" si="15"/>
        <v>4</v>
      </c>
      <c r="AB26" s="45">
        <f t="shared" si="15"/>
        <v>4</v>
      </c>
      <c r="AC26" s="45">
        <f t="shared" si="15"/>
        <v>4</v>
      </c>
      <c r="AD26" s="45">
        <f t="shared" si="15"/>
        <v>4</v>
      </c>
      <c r="AE26" s="45">
        <f t="shared" si="15"/>
        <v>4</v>
      </c>
      <c r="AF26" s="45">
        <f t="shared" si="15"/>
        <v>4</v>
      </c>
      <c r="AG26" s="45">
        <f t="shared" si="15"/>
        <v>0</v>
      </c>
      <c r="AH26" s="45">
        <f t="shared" si="15"/>
        <v>0</v>
      </c>
      <c r="AI26" s="45">
        <f t="shared" si="15"/>
        <v>0</v>
      </c>
      <c r="AJ26" s="45">
        <f t="shared" si="15"/>
        <v>0</v>
      </c>
      <c r="AK26" s="45">
        <f t="shared" si="15"/>
        <v>0</v>
      </c>
      <c r="AL26" s="53"/>
      <c r="AM26"/>
      <c r="AN26"/>
      <c r="AO26"/>
      <c r="AP26"/>
      <c r="AQ26"/>
      <c r="AR26"/>
      <c r="AS26" s="449"/>
      <c r="AT26"/>
      <c r="AU26"/>
      <c r="AV26"/>
      <c r="AW26"/>
      <c r="AX26"/>
      <c r="AY26" s="48"/>
      <c r="AZ26"/>
    </row>
    <row r="27" spans="2:52" s="6" customFormat="1" ht="9.75" customHeight="1" x14ac:dyDescent="0.25">
      <c r="V27" s="10"/>
      <c r="AL27" s="9"/>
      <c r="AM27" s="9"/>
      <c r="AN27" s="9"/>
      <c r="AO27" s="9"/>
      <c r="AP27" s="9"/>
      <c r="AQ27" s="9"/>
      <c r="AR27" s="9"/>
      <c r="AY27" s="48"/>
    </row>
    <row r="28" spans="2:52" s="6" customFormat="1" ht="21.95" customHeight="1" thickBot="1" x14ac:dyDescent="0.3">
      <c r="B28" s="11" t="s">
        <v>127</v>
      </c>
      <c r="V28" s="10"/>
      <c r="AL28" s="9"/>
      <c r="AM28" s="9"/>
      <c r="AN28" s="46"/>
      <c r="AO28" s="46"/>
      <c r="AP28" s="9"/>
      <c r="AQ28" s="9"/>
      <c r="AR28" s="9"/>
    </row>
    <row r="29" spans="2:52" s="6" customFormat="1" ht="21.95" customHeight="1" x14ac:dyDescent="0.25">
      <c r="B29" s="899" t="s">
        <v>15</v>
      </c>
      <c r="C29" s="901" t="s">
        <v>105</v>
      </c>
      <c r="D29" s="906" t="s">
        <v>123</v>
      </c>
      <c r="E29" s="903" t="s">
        <v>16</v>
      </c>
      <c r="F29" s="904" t="s">
        <v>57</v>
      </c>
      <c r="G29" s="15">
        <v>1</v>
      </c>
      <c r="H29" s="13">
        <v>2</v>
      </c>
      <c r="I29" s="13">
        <v>3</v>
      </c>
      <c r="J29" s="13">
        <v>4</v>
      </c>
      <c r="K29" s="13">
        <v>5</v>
      </c>
      <c r="L29" s="13">
        <v>6</v>
      </c>
      <c r="M29" s="13">
        <v>7</v>
      </c>
      <c r="N29" s="13">
        <v>8</v>
      </c>
      <c r="O29" s="13">
        <v>9</v>
      </c>
      <c r="P29" s="13">
        <v>10</v>
      </c>
      <c r="Q29" s="13">
        <v>11</v>
      </c>
      <c r="R29" s="13">
        <v>12</v>
      </c>
      <c r="S29" s="13">
        <v>13</v>
      </c>
      <c r="T29" s="13">
        <v>14</v>
      </c>
      <c r="U29" s="13">
        <v>15</v>
      </c>
      <c r="V29" s="13">
        <v>16</v>
      </c>
      <c r="W29" s="13">
        <v>17</v>
      </c>
      <c r="X29" s="13">
        <v>18</v>
      </c>
      <c r="Y29" s="13">
        <v>19</v>
      </c>
      <c r="Z29" s="13">
        <v>20</v>
      </c>
      <c r="AA29" s="13">
        <v>21</v>
      </c>
      <c r="AB29" s="13">
        <v>22</v>
      </c>
      <c r="AC29" s="13">
        <v>23</v>
      </c>
      <c r="AD29" s="13">
        <v>24</v>
      </c>
      <c r="AE29" s="13">
        <v>25</v>
      </c>
      <c r="AF29" s="13">
        <v>26</v>
      </c>
      <c r="AG29" s="13">
        <v>27</v>
      </c>
      <c r="AH29" s="13">
        <v>28</v>
      </c>
      <c r="AI29" s="13">
        <v>29</v>
      </c>
      <c r="AJ29" s="13">
        <v>30</v>
      </c>
      <c r="AK29" s="78">
        <v>31</v>
      </c>
      <c r="AL29" s="893" t="s">
        <v>97</v>
      </c>
      <c r="AM29" s="923" t="s">
        <v>48</v>
      </c>
      <c r="AN29" s="917" t="s">
        <v>41</v>
      </c>
      <c r="AO29" s="918"/>
      <c r="AP29" s="915"/>
      <c r="AQ29" s="915"/>
      <c r="AR29" s="915"/>
      <c r="AS29" s="915"/>
      <c r="AU29" s="913" t="s">
        <v>36</v>
      </c>
      <c r="AV29" s="915" t="s">
        <v>63</v>
      </c>
      <c r="AW29" s="911" t="s">
        <v>66</v>
      </c>
    </row>
    <row r="30" spans="2:52" s="6" customFormat="1" ht="21.95" customHeight="1" thickBot="1" x14ac:dyDescent="0.3">
      <c r="B30" s="900"/>
      <c r="C30" s="902"/>
      <c r="D30" s="907"/>
      <c r="E30" s="902"/>
      <c r="F30" s="905"/>
      <c r="G30" s="17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79"/>
      <c r="AL30" s="894"/>
      <c r="AM30" s="924"/>
      <c r="AN30" s="919"/>
      <c r="AO30" s="920"/>
      <c r="AP30" s="916"/>
      <c r="AQ30" s="916"/>
      <c r="AR30" s="916"/>
      <c r="AS30" s="916"/>
      <c r="AU30" s="914"/>
      <c r="AV30" s="916"/>
      <c r="AW30" s="912"/>
    </row>
    <row r="31" spans="2:52" s="6" customFormat="1" ht="21.95" customHeight="1" x14ac:dyDescent="0.25">
      <c r="B31" s="118" t="str">
        <f>'2-1.직원현황'!C31</f>
        <v>최은태</v>
      </c>
      <c r="C31" s="119" t="str">
        <f>'2-1.직원현황'!D31</f>
        <v>주방</v>
      </c>
      <c r="D31" s="119" t="str">
        <f>'2-1.직원현황'!E31</f>
        <v>파트타임</v>
      </c>
      <c r="E31" s="117">
        <f>'2-1.직원현황'!F31</f>
        <v>0</v>
      </c>
      <c r="F31" s="117">
        <f>'2-1.직원현황'!G31</f>
        <v>0</v>
      </c>
      <c r="G31" s="87">
        <v>10</v>
      </c>
      <c r="H31" s="87">
        <v>10</v>
      </c>
      <c r="I31" s="87">
        <v>10</v>
      </c>
      <c r="J31" s="87">
        <v>10</v>
      </c>
      <c r="K31" s="87">
        <v>10</v>
      </c>
      <c r="L31" s="87">
        <v>10</v>
      </c>
      <c r="M31" s="87"/>
      <c r="N31" s="87">
        <v>10</v>
      </c>
      <c r="O31" s="87">
        <v>10</v>
      </c>
      <c r="P31" s="87">
        <v>10</v>
      </c>
      <c r="Q31" s="87">
        <v>10</v>
      </c>
      <c r="R31" s="87">
        <v>10</v>
      </c>
      <c r="S31" s="87">
        <v>10</v>
      </c>
      <c r="T31" s="87">
        <v>10</v>
      </c>
      <c r="U31" s="87">
        <v>10</v>
      </c>
      <c r="V31" s="87">
        <v>10</v>
      </c>
      <c r="W31" s="87">
        <v>10</v>
      </c>
      <c r="X31" s="87">
        <v>10</v>
      </c>
      <c r="Y31" s="87">
        <v>10</v>
      </c>
      <c r="Z31" s="87">
        <v>10</v>
      </c>
      <c r="AA31" s="87"/>
      <c r="AB31" s="87">
        <v>10</v>
      </c>
      <c r="AC31" s="87">
        <v>10</v>
      </c>
      <c r="AD31" s="87">
        <v>10</v>
      </c>
      <c r="AE31" s="87">
        <v>10</v>
      </c>
      <c r="AF31" s="87">
        <v>10</v>
      </c>
      <c r="AG31" s="87"/>
      <c r="AH31" s="87"/>
      <c r="AI31" s="87"/>
      <c r="AJ31" s="87"/>
      <c r="AK31" s="87"/>
      <c r="AL31" s="41">
        <f>SUM(G31:AK31)</f>
        <v>240</v>
      </c>
      <c r="AM31" s="97">
        <f>'2-1.직원현황'!I31</f>
        <v>20000</v>
      </c>
      <c r="AN31" s="891">
        <f>AL31*AM31</f>
        <v>4800000</v>
      </c>
      <c r="AO31" s="892"/>
      <c r="AP31" s="12"/>
      <c r="AQ31" s="12"/>
      <c r="AR31" s="12"/>
      <c r="AS31" s="12"/>
      <c r="AU31" s="89">
        <f>'2-1.직원현황'!J31</f>
        <v>0</v>
      </c>
      <c r="AV31" s="90" t="str">
        <f>'2-1.직원현황'!K31</f>
        <v>800303-2637310</v>
      </c>
      <c r="AW31" s="91" t="str">
        <f>'2-1.직원현황'!L31</f>
        <v>경남 221 0110 1350 07</v>
      </c>
    </row>
    <row r="32" spans="2:52" s="6" customFormat="1" ht="21.95" customHeight="1" x14ac:dyDescent="0.25">
      <c r="B32" s="118" t="str">
        <f>'2-1.직원현황'!C32</f>
        <v>이서문</v>
      </c>
      <c r="C32" s="119" t="str">
        <f>'2-1.직원현황'!D32</f>
        <v>선택</v>
      </c>
      <c r="D32" s="119" t="str">
        <f>'2-1.직원현황'!E32</f>
        <v>파트타임</v>
      </c>
      <c r="E32" s="117">
        <f>'2-1.직원현황'!F32</f>
        <v>0</v>
      </c>
      <c r="F32" s="117">
        <f>'2-1.직원현황'!G32</f>
        <v>0</v>
      </c>
      <c r="G32" s="87"/>
      <c r="H32" s="87"/>
      <c r="I32" s="87">
        <v>6</v>
      </c>
      <c r="J32" s="87">
        <v>8</v>
      </c>
      <c r="K32" s="87"/>
      <c r="L32" s="87"/>
      <c r="M32" s="87"/>
      <c r="N32" s="87"/>
      <c r="O32" s="87"/>
      <c r="P32" s="87">
        <v>6</v>
      </c>
      <c r="Q32" s="87">
        <v>7</v>
      </c>
      <c r="R32" s="87"/>
      <c r="S32" s="87"/>
      <c r="T32" s="87"/>
      <c r="U32" s="87"/>
      <c r="V32" s="87"/>
      <c r="W32" s="87">
        <v>7</v>
      </c>
      <c r="X32" s="87">
        <v>8</v>
      </c>
      <c r="Y32" s="87"/>
      <c r="Z32" s="87"/>
      <c r="AA32" s="87"/>
      <c r="AB32" s="87"/>
      <c r="AC32" s="87"/>
      <c r="AD32" s="87">
        <v>7</v>
      </c>
      <c r="AE32" s="87">
        <v>9</v>
      </c>
      <c r="AF32" s="87">
        <v>10</v>
      </c>
      <c r="AG32" s="87"/>
      <c r="AH32" s="87"/>
      <c r="AI32" s="87"/>
      <c r="AJ32" s="87"/>
      <c r="AK32" s="87"/>
      <c r="AL32" s="41">
        <f>SUM(G32:AK32)</f>
        <v>68</v>
      </c>
      <c r="AM32" s="97">
        <f>'2-1.직원현황'!I32</f>
        <v>13000</v>
      </c>
      <c r="AN32" s="897">
        <f>AL32*AM32</f>
        <v>884000</v>
      </c>
      <c r="AO32" s="898"/>
      <c r="AP32" s="12"/>
      <c r="AQ32" s="12"/>
      <c r="AR32" s="12"/>
      <c r="AS32" s="12"/>
      <c r="AU32" s="89">
        <f>'2-1.직원현황'!J32</f>
        <v>0</v>
      </c>
      <c r="AV32" s="90" t="str">
        <f>'2-1.직원현황'!K32</f>
        <v>960527-2471215</v>
      </c>
      <c r="AW32" s="91" t="str">
        <f>'2-1.직원현황'!L32</f>
        <v>카카오 3333 344 538401</v>
      </c>
    </row>
    <row r="33" spans="2:52" ht="21.95" customHeight="1" x14ac:dyDescent="0.25">
      <c r="B33" s="118" t="str">
        <f>'2-1.직원현황'!C33</f>
        <v>김복순</v>
      </c>
      <c r="C33" s="119" t="str">
        <f>'2-1.직원현황'!D33</f>
        <v>선택</v>
      </c>
      <c r="D33" s="119" t="str">
        <f>'2-1.직원현황'!E33</f>
        <v>파트타임</v>
      </c>
      <c r="E33" s="117">
        <f>'2-1.직원현황'!F33</f>
        <v>0</v>
      </c>
      <c r="F33" s="117">
        <f>'2-1.직원현황'!G33</f>
        <v>0</v>
      </c>
      <c r="G33" s="87"/>
      <c r="H33" s="87"/>
      <c r="I33" s="87">
        <v>6</v>
      </c>
      <c r="J33" s="87">
        <v>6.5</v>
      </c>
      <c r="K33" s="87"/>
      <c r="L33" s="87"/>
      <c r="M33" s="87"/>
      <c r="N33" s="87"/>
      <c r="O33" s="87"/>
      <c r="P33" s="87">
        <v>6</v>
      </c>
      <c r="Q33" s="87">
        <v>6</v>
      </c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41">
        <f>SUM(G33:AK33)</f>
        <v>24.5</v>
      </c>
      <c r="AM33" s="97">
        <f>'2-1.직원현황'!I33</f>
        <v>12000</v>
      </c>
      <c r="AN33" s="897">
        <f>AL33*AM33</f>
        <v>294000</v>
      </c>
      <c r="AO33" s="898"/>
      <c r="AP33" s="12"/>
      <c r="AQ33" s="12"/>
      <c r="AR33" s="12"/>
      <c r="AS33" s="12"/>
      <c r="AT33" s="6"/>
      <c r="AU33" s="89">
        <f>'2-1.직원현황'!J33</f>
        <v>0</v>
      </c>
      <c r="AV33" s="90" t="str">
        <f>'2-1.직원현황'!K33</f>
        <v>601109-6102493</v>
      </c>
      <c r="AW33" s="91" t="str">
        <f>'2-1.직원현황'!L33</f>
        <v>국민 424002 01 337949</v>
      </c>
      <c r="AX33" s="6"/>
      <c r="AY33" s="6"/>
      <c r="AZ33" s="6"/>
    </row>
    <row r="34" spans="2:52" s="6" customFormat="1" ht="21.95" customHeight="1" x14ac:dyDescent="0.25">
      <c r="B34" s="118" t="str">
        <f>'2-1.직원현황'!C34</f>
        <v>이도형</v>
      </c>
      <c r="C34" s="119" t="str">
        <f>'2-1.직원현황'!D34</f>
        <v>선택</v>
      </c>
      <c r="D34" s="119" t="str">
        <f>'2-1.직원현황'!E34</f>
        <v>파트타임</v>
      </c>
      <c r="E34" s="117">
        <f>'2-1.직원현황'!F34</f>
        <v>0</v>
      </c>
      <c r="F34" s="117">
        <f>'2-1.직원현황'!G34</f>
        <v>0</v>
      </c>
      <c r="G34" s="87"/>
      <c r="H34" s="87"/>
      <c r="I34" s="87"/>
      <c r="J34" s="87"/>
      <c r="K34" s="87"/>
      <c r="L34" s="87"/>
      <c r="M34" s="87"/>
      <c r="N34" s="87"/>
      <c r="O34" s="87">
        <v>7</v>
      </c>
      <c r="P34" s="87">
        <v>7</v>
      </c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41">
        <f>SUM(G34:AK34)</f>
        <v>14</v>
      </c>
      <c r="AM34" s="97">
        <f>'2-1.직원현황'!I34</f>
        <v>13000</v>
      </c>
      <c r="AN34" s="897">
        <f>AL34*AM34</f>
        <v>182000</v>
      </c>
      <c r="AO34" s="898"/>
      <c r="AP34" s="12"/>
      <c r="AQ34" s="12"/>
      <c r="AR34" s="12"/>
      <c r="AS34" s="12"/>
      <c r="AU34" s="89">
        <f>'2-1.직원현황'!J34</f>
        <v>0</v>
      </c>
      <c r="AV34" s="90">
        <f>'2-1.직원현황'!K34</f>
        <v>0</v>
      </c>
      <c r="AW34" s="91">
        <f>'2-1.직원현황'!L34</f>
        <v>0</v>
      </c>
    </row>
    <row r="35" spans="2:52" s="6" customFormat="1" ht="21.95" customHeight="1" x14ac:dyDescent="0.25">
      <c r="B35" s="118" t="str">
        <f>'2-1.직원현황'!C35</f>
        <v>송은비</v>
      </c>
      <c r="C35" s="119" t="str">
        <f>'2-1.직원현황'!D35</f>
        <v>선택</v>
      </c>
      <c r="D35" s="119" t="str">
        <f>'2-1.직원현황'!E35</f>
        <v>파트타임</v>
      </c>
      <c r="E35" s="117">
        <f>'2-1.직원현황'!F35</f>
        <v>0</v>
      </c>
      <c r="F35" s="117">
        <f>'2-1.직원현황'!G35</f>
        <v>0</v>
      </c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>
        <v>7</v>
      </c>
      <c r="AF35" s="87"/>
      <c r="AG35" s="87"/>
      <c r="AH35" s="87"/>
      <c r="AI35" s="87"/>
      <c r="AJ35" s="87"/>
      <c r="AK35" s="87"/>
      <c r="AL35" s="41">
        <f t="shared" ref="AL35:AL44" si="16">SUM(G35:AK35)</f>
        <v>7</v>
      </c>
      <c r="AM35" s="97">
        <f>'2-1.직원현황'!I35</f>
        <v>13000</v>
      </c>
      <c r="AN35" s="897">
        <f t="shared" ref="AN35:AN45" si="17">AL35*AM35</f>
        <v>91000</v>
      </c>
      <c r="AO35" s="898"/>
      <c r="AP35" s="12"/>
      <c r="AQ35" s="12"/>
      <c r="AR35" s="12"/>
      <c r="AS35" s="12"/>
      <c r="AU35" s="89">
        <f>'2-1.직원현황'!J35</f>
        <v>0</v>
      </c>
      <c r="AV35" s="90">
        <f>'2-1.직원현황'!K35</f>
        <v>0</v>
      </c>
      <c r="AW35" s="91">
        <f>'2-1.직원현황'!L35</f>
        <v>0</v>
      </c>
    </row>
    <row r="36" spans="2:52" s="6" customFormat="1" ht="21.95" customHeight="1" x14ac:dyDescent="0.25">
      <c r="B36" s="118" t="str">
        <f>'2-1.직원현황'!C36</f>
        <v>김범창</v>
      </c>
      <c r="C36" s="119" t="str">
        <f>'2-1.직원현황'!D36</f>
        <v>선택</v>
      </c>
      <c r="D36" s="119" t="str">
        <f>'2-1.직원현황'!E36</f>
        <v>파트타임</v>
      </c>
      <c r="E36" s="117">
        <f>'2-1.직원현황'!F36</f>
        <v>0</v>
      </c>
      <c r="F36" s="117">
        <f>'2-1.직원현황'!G36</f>
        <v>0</v>
      </c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>
        <v>3.5</v>
      </c>
      <c r="AF36" s="87"/>
      <c r="AG36" s="87"/>
      <c r="AH36" s="87"/>
      <c r="AI36" s="87"/>
      <c r="AJ36" s="87"/>
      <c r="AK36" s="87"/>
      <c r="AL36" s="41">
        <f t="shared" si="16"/>
        <v>3.5</v>
      </c>
      <c r="AM36" s="97">
        <f>'2-1.직원현황'!I36</f>
        <v>13000</v>
      </c>
      <c r="AN36" s="897">
        <f t="shared" si="17"/>
        <v>45500</v>
      </c>
      <c r="AO36" s="898"/>
      <c r="AP36" s="12"/>
      <c r="AQ36" s="12"/>
      <c r="AR36" s="12"/>
      <c r="AS36" s="12"/>
      <c r="AU36" s="89">
        <f>'2-1.직원현황'!J36</f>
        <v>0</v>
      </c>
      <c r="AV36" s="90">
        <f>'2-1.직원현황'!K36</f>
        <v>0</v>
      </c>
      <c r="AW36" s="91">
        <f>'2-1.직원현황'!L36</f>
        <v>0</v>
      </c>
    </row>
    <row r="37" spans="2:52" s="6" customFormat="1" ht="21.95" customHeight="1" x14ac:dyDescent="0.25">
      <c r="B37" s="118">
        <f>'2-1.직원현황'!C37</f>
        <v>0</v>
      </c>
      <c r="C37" s="119" t="str">
        <f>'2-1.직원현황'!D37</f>
        <v>선택</v>
      </c>
      <c r="D37" s="119" t="str">
        <f>'2-1.직원현황'!E37</f>
        <v>파트타임</v>
      </c>
      <c r="E37" s="117">
        <f>'2-1.직원현황'!F37</f>
        <v>0</v>
      </c>
      <c r="F37" s="117">
        <f>'2-1.직원현황'!G37</f>
        <v>0</v>
      </c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41">
        <f t="shared" si="16"/>
        <v>0</v>
      </c>
      <c r="AM37" s="97">
        <f>'2-1.직원현황'!I37</f>
        <v>0</v>
      </c>
      <c r="AN37" s="897">
        <f t="shared" si="17"/>
        <v>0</v>
      </c>
      <c r="AO37" s="898"/>
      <c r="AP37" s="12"/>
      <c r="AQ37" s="12"/>
      <c r="AR37" s="12"/>
      <c r="AS37" s="12"/>
      <c r="AU37" s="89">
        <f>'2-1.직원현황'!J37</f>
        <v>0</v>
      </c>
      <c r="AV37" s="90">
        <f>'2-1.직원현황'!K37</f>
        <v>0</v>
      </c>
      <c r="AW37" s="91">
        <f>'2-1.직원현황'!L37</f>
        <v>0</v>
      </c>
    </row>
    <row r="38" spans="2:52" s="6" customFormat="1" ht="21.95" customHeight="1" x14ac:dyDescent="0.25">
      <c r="B38" s="118">
        <f>'2-1.직원현황'!C38</f>
        <v>0</v>
      </c>
      <c r="C38" s="119" t="str">
        <f>'2-1.직원현황'!D38</f>
        <v>선택</v>
      </c>
      <c r="D38" s="119" t="str">
        <f>'2-1.직원현황'!E38</f>
        <v>파트타임</v>
      </c>
      <c r="E38" s="117">
        <f>'2-1.직원현황'!F38</f>
        <v>0</v>
      </c>
      <c r="F38" s="117">
        <f>'2-1.직원현황'!G38</f>
        <v>0</v>
      </c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41">
        <f t="shared" si="16"/>
        <v>0</v>
      </c>
      <c r="AM38" s="97">
        <f>'2-1.직원현황'!I38</f>
        <v>0</v>
      </c>
      <c r="AN38" s="897">
        <f t="shared" si="17"/>
        <v>0</v>
      </c>
      <c r="AO38" s="898"/>
      <c r="AP38" s="12"/>
      <c r="AQ38" s="12"/>
      <c r="AR38" s="12"/>
      <c r="AS38" s="12"/>
      <c r="AU38" s="89">
        <f>'2-1.직원현황'!J38</f>
        <v>0</v>
      </c>
      <c r="AV38" s="90">
        <f>'2-1.직원현황'!K38</f>
        <v>0</v>
      </c>
      <c r="AW38" s="91">
        <f>'2-1.직원현황'!L38</f>
        <v>0</v>
      </c>
    </row>
    <row r="39" spans="2:52" s="6" customFormat="1" ht="21.95" customHeight="1" x14ac:dyDescent="0.25">
      <c r="B39" s="118">
        <f>'2-1.직원현황'!C39</f>
        <v>0</v>
      </c>
      <c r="C39" s="119" t="str">
        <f>'2-1.직원현황'!D39</f>
        <v>선택</v>
      </c>
      <c r="D39" s="119" t="str">
        <f>'2-1.직원현황'!E39</f>
        <v>파트타임</v>
      </c>
      <c r="E39" s="117">
        <f>'2-1.직원현황'!F39</f>
        <v>0</v>
      </c>
      <c r="F39" s="117">
        <f>'2-1.직원현황'!G39</f>
        <v>0</v>
      </c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41">
        <f t="shared" si="16"/>
        <v>0</v>
      </c>
      <c r="AM39" s="97">
        <f>'2-1.직원현황'!I39</f>
        <v>0</v>
      </c>
      <c r="AN39" s="897">
        <f t="shared" si="17"/>
        <v>0</v>
      </c>
      <c r="AO39" s="898"/>
      <c r="AP39" s="12"/>
      <c r="AQ39" s="12"/>
      <c r="AR39" s="12"/>
      <c r="AS39" s="12"/>
      <c r="AU39" s="89">
        <f>'2-1.직원현황'!J39</f>
        <v>0</v>
      </c>
      <c r="AV39" s="90">
        <f>'2-1.직원현황'!K39</f>
        <v>0</v>
      </c>
      <c r="AW39" s="91">
        <f>'2-1.직원현황'!L39</f>
        <v>0</v>
      </c>
    </row>
    <row r="40" spans="2:52" s="6" customFormat="1" ht="21.95" customHeight="1" x14ac:dyDescent="0.25">
      <c r="B40" s="118">
        <f>'2-1.직원현황'!C40</f>
        <v>0</v>
      </c>
      <c r="C40" s="119" t="str">
        <f>'2-1.직원현황'!D40</f>
        <v>선택</v>
      </c>
      <c r="D40" s="119" t="str">
        <f>'2-1.직원현황'!E40</f>
        <v>파트타임</v>
      </c>
      <c r="E40" s="117">
        <f>'2-1.직원현황'!F40</f>
        <v>0</v>
      </c>
      <c r="F40" s="117">
        <f>'2-1.직원현황'!G40</f>
        <v>0</v>
      </c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41">
        <f t="shared" si="16"/>
        <v>0</v>
      </c>
      <c r="AM40" s="97">
        <f>'2-1.직원현황'!I40</f>
        <v>0</v>
      </c>
      <c r="AN40" s="897">
        <f t="shared" si="17"/>
        <v>0</v>
      </c>
      <c r="AO40" s="898"/>
      <c r="AP40" s="12"/>
      <c r="AQ40" s="12"/>
      <c r="AR40" s="12"/>
      <c r="AS40" s="12"/>
      <c r="AU40" s="89">
        <f>'2-1.직원현황'!J40</f>
        <v>0</v>
      </c>
      <c r="AV40" s="90">
        <f>'2-1.직원현황'!K40</f>
        <v>0</v>
      </c>
      <c r="AW40" s="91">
        <f>'2-1.직원현황'!L40</f>
        <v>0</v>
      </c>
    </row>
    <row r="41" spans="2:52" s="6" customFormat="1" ht="21.95" customHeight="1" x14ac:dyDescent="0.25">
      <c r="B41" s="118">
        <f>'2-1.직원현황'!C41</f>
        <v>0</v>
      </c>
      <c r="C41" s="119" t="str">
        <f>'2-1.직원현황'!D41</f>
        <v>선택</v>
      </c>
      <c r="D41" s="119" t="str">
        <f>'2-1.직원현황'!E41</f>
        <v>파트타임</v>
      </c>
      <c r="E41" s="117">
        <f>'2-1.직원현황'!F41</f>
        <v>0</v>
      </c>
      <c r="F41" s="117">
        <f>'2-1.직원현황'!G41</f>
        <v>0</v>
      </c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41">
        <f t="shared" si="16"/>
        <v>0</v>
      </c>
      <c r="AM41" s="97">
        <f>'2-1.직원현황'!I41</f>
        <v>0</v>
      </c>
      <c r="AN41" s="897">
        <f t="shared" si="17"/>
        <v>0</v>
      </c>
      <c r="AO41" s="898"/>
      <c r="AP41" s="12"/>
      <c r="AQ41" s="12"/>
      <c r="AR41" s="12"/>
      <c r="AS41" s="12"/>
      <c r="AU41" s="89">
        <f>'2-1.직원현황'!J41</f>
        <v>0</v>
      </c>
      <c r="AV41" s="90">
        <f>'2-1.직원현황'!K41</f>
        <v>0</v>
      </c>
      <c r="AW41" s="91">
        <f>'2-1.직원현황'!L41</f>
        <v>0</v>
      </c>
    </row>
    <row r="42" spans="2:52" s="6" customFormat="1" ht="21.95" customHeight="1" x14ac:dyDescent="0.25">
      <c r="B42" s="118">
        <f>'2-1.직원현황'!C42</f>
        <v>0</v>
      </c>
      <c r="C42" s="119" t="str">
        <f>'2-1.직원현황'!D42</f>
        <v>선택</v>
      </c>
      <c r="D42" s="119" t="str">
        <f>'2-1.직원현황'!E42</f>
        <v>파트타임</v>
      </c>
      <c r="E42" s="117">
        <f>'2-1.직원현황'!F42</f>
        <v>0</v>
      </c>
      <c r="F42" s="117">
        <f>'2-1.직원현황'!G42</f>
        <v>0</v>
      </c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41">
        <f t="shared" si="16"/>
        <v>0</v>
      </c>
      <c r="AM42" s="97">
        <f>'2-1.직원현황'!I42</f>
        <v>0</v>
      </c>
      <c r="AN42" s="897">
        <f t="shared" si="17"/>
        <v>0</v>
      </c>
      <c r="AO42" s="898"/>
      <c r="AP42" s="12"/>
      <c r="AQ42" s="12"/>
      <c r="AR42" s="12"/>
      <c r="AS42" s="12"/>
      <c r="AU42" s="89">
        <f>'2-1.직원현황'!J42</f>
        <v>0</v>
      </c>
      <c r="AV42" s="90">
        <f>'2-1.직원현황'!K42</f>
        <v>0</v>
      </c>
      <c r="AW42" s="91">
        <f>'2-1.직원현황'!L42</f>
        <v>0</v>
      </c>
    </row>
    <row r="43" spans="2:52" s="6" customFormat="1" ht="21.95" customHeight="1" x14ac:dyDescent="0.25">
      <c r="B43" s="118">
        <f>'2-1.직원현황'!C43</f>
        <v>0</v>
      </c>
      <c r="C43" s="119" t="str">
        <f>'2-1.직원현황'!D43</f>
        <v>선택</v>
      </c>
      <c r="D43" s="119" t="str">
        <f>'2-1.직원현황'!E43</f>
        <v>파트타임</v>
      </c>
      <c r="E43" s="117">
        <f>'2-1.직원현황'!F43</f>
        <v>0</v>
      </c>
      <c r="F43" s="117">
        <f>'2-1.직원현황'!G43</f>
        <v>0</v>
      </c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41">
        <f t="shared" si="16"/>
        <v>0</v>
      </c>
      <c r="AM43" s="97">
        <f>'2-1.직원현황'!I43</f>
        <v>0</v>
      </c>
      <c r="AN43" s="897">
        <f t="shared" si="17"/>
        <v>0</v>
      </c>
      <c r="AO43" s="898"/>
      <c r="AP43" s="12"/>
      <c r="AQ43" s="12"/>
      <c r="AR43" s="12"/>
      <c r="AS43" s="12"/>
      <c r="AU43" s="89">
        <f>'2-1.직원현황'!J43</f>
        <v>0</v>
      </c>
      <c r="AV43" s="90">
        <f>'2-1.직원현황'!K43</f>
        <v>0</v>
      </c>
      <c r="AW43" s="91">
        <f>'2-1.직원현황'!L43</f>
        <v>0</v>
      </c>
    </row>
    <row r="44" spans="2:52" s="6" customFormat="1" ht="21.95" customHeight="1" x14ac:dyDescent="0.25">
      <c r="B44" s="118">
        <f>'2-1.직원현황'!C44</f>
        <v>0</v>
      </c>
      <c r="C44" s="119" t="str">
        <f>'2-1.직원현황'!D44</f>
        <v>선택</v>
      </c>
      <c r="D44" s="119" t="str">
        <f>'2-1.직원현황'!E44</f>
        <v>파트타임</v>
      </c>
      <c r="E44" s="117">
        <f>'2-1.직원현황'!F44</f>
        <v>0</v>
      </c>
      <c r="F44" s="117">
        <f>'2-1.직원현황'!G44</f>
        <v>0</v>
      </c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41">
        <f t="shared" si="16"/>
        <v>0</v>
      </c>
      <c r="AM44" s="97">
        <f>'2-1.직원현황'!I44</f>
        <v>0</v>
      </c>
      <c r="AN44" s="897">
        <f t="shared" si="17"/>
        <v>0</v>
      </c>
      <c r="AO44" s="898"/>
      <c r="AP44" s="12"/>
      <c r="AQ44" s="12"/>
      <c r="AR44" s="12"/>
      <c r="AS44" s="12"/>
      <c r="AU44" s="89">
        <f>'2-1.직원현황'!J44</f>
        <v>0</v>
      </c>
      <c r="AV44" s="90">
        <f>'2-1.직원현황'!K44</f>
        <v>0</v>
      </c>
      <c r="AW44" s="91">
        <f>'2-1.직원현황'!L44</f>
        <v>0</v>
      </c>
    </row>
    <row r="45" spans="2:52" s="6" customFormat="1" ht="21.95" customHeight="1" thickBot="1" x14ac:dyDescent="0.3">
      <c r="B45" s="120">
        <f>'2-1.직원현황'!C45</f>
        <v>0</v>
      </c>
      <c r="C45" s="121" t="str">
        <f>'2-1.직원현황'!D45</f>
        <v>선택</v>
      </c>
      <c r="D45" s="121" t="str">
        <f>'2-1.직원현황'!E45</f>
        <v>파트타임</v>
      </c>
      <c r="E45" s="122">
        <f>'2-1.직원현황'!F45</f>
        <v>0</v>
      </c>
      <c r="F45" s="122">
        <f>'2-1.직원현황'!G45</f>
        <v>0</v>
      </c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6">
        <f>SUM(G45:AK45)</f>
        <v>0</v>
      </c>
      <c r="AM45" s="98">
        <f>'2-1.직원현황'!I45</f>
        <v>0</v>
      </c>
      <c r="AN45" s="925">
        <f t="shared" si="17"/>
        <v>0</v>
      </c>
      <c r="AO45" s="926"/>
      <c r="AP45" s="12"/>
      <c r="AQ45" s="12"/>
      <c r="AR45" s="12"/>
      <c r="AS45" s="12"/>
      <c r="AU45" s="92">
        <f>'2-1.직원현황'!J45</f>
        <v>0</v>
      </c>
      <c r="AV45" s="93">
        <f>'2-1.직원현황'!K45</f>
        <v>0</v>
      </c>
      <c r="AW45" s="94">
        <f>'2-1.직원현황'!L45</f>
        <v>0</v>
      </c>
    </row>
    <row r="46" spans="2:52" s="6" customFormat="1" ht="21.95" customHeight="1" thickBot="1" x14ac:dyDescent="0.3">
      <c r="B46" s="895" t="s">
        <v>88</v>
      </c>
      <c r="C46" s="896"/>
      <c r="D46" s="896"/>
      <c r="E46" s="896"/>
      <c r="F46" s="896"/>
      <c r="G46" s="45">
        <f t="shared" ref="G46:AK46" si="18">COUNT(G31:G45)</f>
        <v>1</v>
      </c>
      <c r="H46" s="45">
        <f t="shared" si="18"/>
        <v>1</v>
      </c>
      <c r="I46" s="45">
        <f t="shared" si="18"/>
        <v>3</v>
      </c>
      <c r="J46" s="45">
        <f t="shared" si="18"/>
        <v>3</v>
      </c>
      <c r="K46" s="45">
        <f t="shared" si="18"/>
        <v>1</v>
      </c>
      <c r="L46" s="45">
        <f t="shared" si="18"/>
        <v>1</v>
      </c>
      <c r="M46" s="45">
        <f t="shared" si="18"/>
        <v>0</v>
      </c>
      <c r="N46" s="45">
        <f t="shared" si="18"/>
        <v>1</v>
      </c>
      <c r="O46" s="45">
        <f t="shared" si="18"/>
        <v>2</v>
      </c>
      <c r="P46" s="45">
        <f t="shared" si="18"/>
        <v>4</v>
      </c>
      <c r="Q46" s="45">
        <f t="shared" si="18"/>
        <v>3</v>
      </c>
      <c r="R46" s="45">
        <f t="shared" si="18"/>
        <v>1</v>
      </c>
      <c r="S46" s="45">
        <f t="shared" si="18"/>
        <v>1</v>
      </c>
      <c r="T46" s="45">
        <f t="shared" si="18"/>
        <v>1</v>
      </c>
      <c r="U46" s="45">
        <f t="shared" si="18"/>
        <v>1</v>
      </c>
      <c r="V46" s="45">
        <f t="shared" si="18"/>
        <v>1</v>
      </c>
      <c r="W46" s="45">
        <f t="shared" si="18"/>
        <v>2</v>
      </c>
      <c r="X46" s="45">
        <f t="shared" si="18"/>
        <v>2</v>
      </c>
      <c r="Y46" s="45">
        <f t="shared" si="18"/>
        <v>1</v>
      </c>
      <c r="Z46" s="45">
        <f t="shared" si="18"/>
        <v>1</v>
      </c>
      <c r="AA46" s="45">
        <f t="shared" si="18"/>
        <v>0</v>
      </c>
      <c r="AB46" s="45">
        <f t="shared" si="18"/>
        <v>1</v>
      </c>
      <c r="AC46" s="45">
        <f t="shared" si="18"/>
        <v>1</v>
      </c>
      <c r="AD46" s="45">
        <f t="shared" si="18"/>
        <v>2</v>
      </c>
      <c r="AE46" s="45">
        <f t="shared" si="18"/>
        <v>4</v>
      </c>
      <c r="AF46" s="45">
        <f t="shared" si="18"/>
        <v>2</v>
      </c>
      <c r="AG46" s="45">
        <f t="shared" si="18"/>
        <v>0</v>
      </c>
      <c r="AH46" s="45">
        <f t="shared" si="18"/>
        <v>0</v>
      </c>
      <c r="AI46" s="45">
        <f t="shared" si="18"/>
        <v>0</v>
      </c>
      <c r="AJ46" s="45">
        <f t="shared" si="18"/>
        <v>0</v>
      </c>
      <c r="AK46" s="45">
        <f t="shared" si="18"/>
        <v>0</v>
      </c>
      <c r="AL46" s="52">
        <f>SUM(G46:AK46)</f>
        <v>41</v>
      </c>
      <c r="AM46" s="47"/>
      <c r="AN46" s="927">
        <f>SUM(AN31:AO45)</f>
        <v>6296500</v>
      </c>
      <c r="AO46" s="928"/>
      <c r="AP46" s="99"/>
      <c r="AQ46" s="99"/>
      <c r="AR46" s="99"/>
      <c r="AS46" s="99"/>
    </row>
    <row r="47" spans="2:52" s="6" customFormat="1" ht="7.5" customHeight="1" x14ac:dyDescent="0.25">
      <c r="AN47" s="8"/>
    </row>
    <row r="48" spans="2:52" s="6" customFormat="1" ht="21.95" customHeight="1" x14ac:dyDescent="0.25">
      <c r="AN48" s="8"/>
      <c r="AS48" s="455"/>
    </row>
    <row r="49" spans="2:45" s="6" customFormat="1" ht="21.95" customHeight="1" x14ac:dyDescent="0.25">
      <c r="AN49" s="8"/>
      <c r="AS49" s="455"/>
    </row>
    <row r="50" spans="2:45" s="6" customFormat="1" ht="21.95" hidden="1" customHeight="1" x14ac:dyDescent="0.25">
      <c r="G50" s="15">
        <v>1</v>
      </c>
      <c r="H50" s="13">
        <v>2</v>
      </c>
      <c r="I50" s="15">
        <v>3</v>
      </c>
      <c r="J50" s="13">
        <v>4</v>
      </c>
      <c r="K50" s="15">
        <v>5</v>
      </c>
      <c r="L50" s="13">
        <v>6</v>
      </c>
      <c r="M50" s="15">
        <v>7</v>
      </c>
      <c r="N50" s="13">
        <v>8</v>
      </c>
      <c r="O50" s="15">
        <v>9</v>
      </c>
      <c r="P50" s="13">
        <v>10</v>
      </c>
      <c r="Q50" s="15">
        <v>11</v>
      </c>
      <c r="R50" s="13">
        <v>12</v>
      </c>
      <c r="S50" s="15">
        <v>13</v>
      </c>
      <c r="T50" s="13">
        <v>14</v>
      </c>
      <c r="U50" s="15">
        <v>15</v>
      </c>
      <c r="V50" s="13">
        <v>16</v>
      </c>
      <c r="W50" s="15">
        <v>17</v>
      </c>
      <c r="X50" s="13">
        <v>18</v>
      </c>
      <c r="Y50" s="15">
        <v>19</v>
      </c>
      <c r="Z50" s="13">
        <v>20</v>
      </c>
      <c r="AA50" s="15">
        <v>21</v>
      </c>
      <c r="AB50" s="13">
        <v>22</v>
      </c>
      <c r="AC50" s="15">
        <v>23</v>
      </c>
      <c r="AD50" s="13">
        <v>24</v>
      </c>
      <c r="AE50" s="15">
        <v>25</v>
      </c>
      <c r="AF50" s="13">
        <v>26</v>
      </c>
      <c r="AG50" s="15">
        <v>27</v>
      </c>
      <c r="AH50" s="13">
        <v>28</v>
      </c>
      <c r="AI50" s="13">
        <v>29</v>
      </c>
      <c r="AJ50" s="13">
        <v>30</v>
      </c>
      <c r="AK50" s="15">
        <v>31</v>
      </c>
      <c r="AN50" s="8"/>
      <c r="AS50" s="455"/>
    </row>
    <row r="51" spans="2:45" s="6" customFormat="1" ht="21.95" hidden="1" customHeight="1" thickBot="1" x14ac:dyDescent="0.3">
      <c r="F51" s="77" t="s">
        <v>451</v>
      </c>
      <c r="G51" s="465">
        <f t="shared" ref="G51:AK51" si="19">COUNTIF(G6:G25,"근무")</f>
        <v>2</v>
      </c>
      <c r="H51" s="465">
        <f t="shared" si="19"/>
        <v>4</v>
      </c>
      <c r="I51" s="465">
        <f t="shared" si="19"/>
        <v>4</v>
      </c>
      <c r="J51" s="465">
        <f t="shared" si="19"/>
        <v>4</v>
      </c>
      <c r="K51" s="465">
        <f t="shared" si="19"/>
        <v>3</v>
      </c>
      <c r="L51" s="465">
        <f t="shared" si="19"/>
        <v>2</v>
      </c>
      <c r="M51" s="465">
        <f t="shared" si="19"/>
        <v>4</v>
      </c>
      <c r="N51" s="465">
        <f t="shared" si="19"/>
        <v>3</v>
      </c>
      <c r="O51" s="465">
        <f t="shared" si="19"/>
        <v>3</v>
      </c>
      <c r="P51" s="465">
        <f t="shared" si="19"/>
        <v>4</v>
      </c>
      <c r="Q51" s="465">
        <f t="shared" si="19"/>
        <v>4</v>
      </c>
      <c r="R51" s="465">
        <f t="shared" si="19"/>
        <v>4</v>
      </c>
      <c r="S51" s="465">
        <f t="shared" si="19"/>
        <v>3</v>
      </c>
      <c r="T51" s="465">
        <f t="shared" si="19"/>
        <v>3</v>
      </c>
      <c r="U51" s="465">
        <f t="shared" si="19"/>
        <v>3</v>
      </c>
      <c r="V51" s="465">
        <f t="shared" si="19"/>
        <v>4</v>
      </c>
      <c r="W51" s="465">
        <f t="shared" si="19"/>
        <v>5</v>
      </c>
      <c r="X51" s="465">
        <f t="shared" si="19"/>
        <v>5</v>
      </c>
      <c r="Y51" s="465">
        <f t="shared" si="19"/>
        <v>4</v>
      </c>
      <c r="Z51" s="465">
        <f t="shared" si="19"/>
        <v>4</v>
      </c>
      <c r="AA51" s="465">
        <f t="shared" si="19"/>
        <v>4</v>
      </c>
      <c r="AB51" s="465">
        <f t="shared" si="19"/>
        <v>4</v>
      </c>
      <c r="AC51" s="465">
        <f t="shared" si="19"/>
        <v>4</v>
      </c>
      <c r="AD51" s="465">
        <f t="shared" si="19"/>
        <v>4</v>
      </c>
      <c r="AE51" s="465">
        <f t="shared" si="19"/>
        <v>4</v>
      </c>
      <c r="AF51" s="465">
        <f t="shared" si="19"/>
        <v>4</v>
      </c>
      <c r="AG51" s="465">
        <f t="shared" si="19"/>
        <v>0</v>
      </c>
      <c r="AH51" s="465">
        <f t="shared" si="19"/>
        <v>0</v>
      </c>
      <c r="AI51" s="465">
        <f t="shared" si="19"/>
        <v>0</v>
      </c>
      <c r="AJ51" s="465">
        <f t="shared" si="19"/>
        <v>0</v>
      </c>
      <c r="AK51" s="465">
        <f t="shared" si="19"/>
        <v>0</v>
      </c>
      <c r="AL51" s="52">
        <f t="shared" ref="AL51:AL58" si="20">SUM(G51:AK51)</f>
        <v>96</v>
      </c>
      <c r="AN51" s="8"/>
    </row>
    <row r="52" spans="2:45" s="6" customFormat="1" ht="21.95" hidden="1" customHeight="1" thickBot="1" x14ac:dyDescent="0.3">
      <c r="F52" s="77" t="s">
        <v>452</v>
      </c>
      <c r="G52" s="465">
        <f t="shared" ref="G52:AK52" si="21">COUNTIF(G6:G25,"휴무")</f>
        <v>2</v>
      </c>
      <c r="H52" s="465">
        <f t="shared" si="21"/>
        <v>0</v>
      </c>
      <c r="I52" s="465">
        <f t="shared" si="21"/>
        <v>0</v>
      </c>
      <c r="J52" s="465">
        <f t="shared" si="21"/>
        <v>0</v>
      </c>
      <c r="K52" s="465">
        <f t="shared" si="21"/>
        <v>1</v>
      </c>
      <c r="L52" s="465">
        <f t="shared" si="21"/>
        <v>2</v>
      </c>
      <c r="M52" s="465">
        <f t="shared" si="21"/>
        <v>0</v>
      </c>
      <c r="N52" s="465">
        <f t="shared" si="21"/>
        <v>1</v>
      </c>
      <c r="O52" s="465">
        <f t="shared" si="21"/>
        <v>1</v>
      </c>
      <c r="P52" s="465">
        <f t="shared" si="21"/>
        <v>0</v>
      </c>
      <c r="Q52" s="465">
        <f t="shared" si="21"/>
        <v>0</v>
      </c>
      <c r="R52" s="465">
        <f t="shared" si="21"/>
        <v>0</v>
      </c>
      <c r="S52" s="465">
        <f t="shared" si="21"/>
        <v>2</v>
      </c>
      <c r="T52" s="465">
        <f t="shared" si="21"/>
        <v>2</v>
      </c>
      <c r="U52" s="465">
        <f t="shared" si="21"/>
        <v>2</v>
      </c>
      <c r="V52" s="465">
        <f t="shared" si="21"/>
        <v>1</v>
      </c>
      <c r="W52" s="465">
        <f t="shared" si="21"/>
        <v>0</v>
      </c>
      <c r="X52" s="465">
        <f t="shared" si="21"/>
        <v>0</v>
      </c>
      <c r="Y52" s="465">
        <f t="shared" si="21"/>
        <v>1</v>
      </c>
      <c r="Z52" s="465">
        <f t="shared" si="21"/>
        <v>1</v>
      </c>
      <c r="AA52" s="465">
        <f t="shared" si="21"/>
        <v>1</v>
      </c>
      <c r="AB52" s="465">
        <f t="shared" si="21"/>
        <v>1</v>
      </c>
      <c r="AC52" s="465">
        <f t="shared" si="21"/>
        <v>1</v>
      </c>
      <c r="AD52" s="465">
        <f t="shared" si="21"/>
        <v>1</v>
      </c>
      <c r="AE52" s="465">
        <f t="shared" si="21"/>
        <v>1</v>
      </c>
      <c r="AF52" s="465">
        <f t="shared" si="21"/>
        <v>0</v>
      </c>
      <c r="AG52" s="465">
        <f t="shared" si="21"/>
        <v>0</v>
      </c>
      <c r="AH52" s="465">
        <f t="shared" si="21"/>
        <v>0</v>
      </c>
      <c r="AI52" s="465">
        <f t="shared" si="21"/>
        <v>0</v>
      </c>
      <c r="AJ52" s="465">
        <f t="shared" si="21"/>
        <v>0</v>
      </c>
      <c r="AK52" s="465">
        <f t="shared" si="21"/>
        <v>0</v>
      </c>
      <c r="AL52" s="52">
        <f t="shared" si="20"/>
        <v>21</v>
      </c>
      <c r="AN52" s="8"/>
    </row>
    <row r="53" spans="2:45" s="6" customFormat="1" ht="21.95" hidden="1" customHeight="1" thickBot="1" x14ac:dyDescent="0.3">
      <c r="F53" s="77" t="s">
        <v>453</v>
      </c>
      <c r="G53" s="465">
        <f t="shared" ref="G53:AK53" si="22">COUNTIF(G6:G25,"월차")+COUNTIF(G6:G25,"반차")</f>
        <v>0</v>
      </c>
      <c r="H53" s="465">
        <f t="shared" si="22"/>
        <v>0</v>
      </c>
      <c r="I53" s="465">
        <f t="shared" si="22"/>
        <v>0</v>
      </c>
      <c r="J53" s="465">
        <f t="shared" si="22"/>
        <v>0</v>
      </c>
      <c r="K53" s="465">
        <f t="shared" si="22"/>
        <v>0</v>
      </c>
      <c r="L53" s="465">
        <f t="shared" si="22"/>
        <v>0</v>
      </c>
      <c r="M53" s="465">
        <f t="shared" si="22"/>
        <v>0</v>
      </c>
      <c r="N53" s="465">
        <f t="shared" si="22"/>
        <v>0</v>
      </c>
      <c r="O53" s="465">
        <f t="shared" si="22"/>
        <v>0</v>
      </c>
      <c r="P53" s="465">
        <f t="shared" si="22"/>
        <v>0</v>
      </c>
      <c r="Q53" s="465">
        <f t="shared" si="22"/>
        <v>0</v>
      </c>
      <c r="R53" s="465">
        <f t="shared" si="22"/>
        <v>0</v>
      </c>
      <c r="S53" s="465">
        <f t="shared" si="22"/>
        <v>0</v>
      </c>
      <c r="T53" s="465">
        <f t="shared" si="22"/>
        <v>0</v>
      </c>
      <c r="U53" s="465">
        <f t="shared" si="22"/>
        <v>0</v>
      </c>
      <c r="V53" s="465">
        <f t="shared" si="22"/>
        <v>0</v>
      </c>
      <c r="W53" s="465">
        <f t="shared" si="22"/>
        <v>0</v>
      </c>
      <c r="X53" s="465">
        <f t="shared" si="22"/>
        <v>0</v>
      </c>
      <c r="Y53" s="465">
        <f t="shared" si="22"/>
        <v>0</v>
      </c>
      <c r="Z53" s="465">
        <f t="shared" si="22"/>
        <v>0</v>
      </c>
      <c r="AA53" s="465">
        <f t="shared" si="22"/>
        <v>0</v>
      </c>
      <c r="AB53" s="465">
        <f t="shared" si="22"/>
        <v>0</v>
      </c>
      <c r="AC53" s="465">
        <f t="shared" si="22"/>
        <v>0</v>
      </c>
      <c r="AD53" s="465">
        <f t="shared" si="22"/>
        <v>0</v>
      </c>
      <c r="AE53" s="465">
        <f t="shared" si="22"/>
        <v>0</v>
      </c>
      <c r="AF53" s="465">
        <f t="shared" si="22"/>
        <v>1</v>
      </c>
      <c r="AG53" s="465">
        <f t="shared" si="22"/>
        <v>0</v>
      </c>
      <c r="AH53" s="465">
        <f t="shared" si="22"/>
        <v>0</v>
      </c>
      <c r="AI53" s="465">
        <f t="shared" si="22"/>
        <v>0</v>
      </c>
      <c r="AJ53" s="465">
        <f t="shared" si="22"/>
        <v>0</v>
      </c>
      <c r="AK53" s="465">
        <f t="shared" si="22"/>
        <v>0</v>
      </c>
      <c r="AL53" s="52">
        <f t="shared" si="20"/>
        <v>1</v>
      </c>
      <c r="AN53" s="8"/>
    </row>
    <row r="54" spans="2:45" s="6" customFormat="1" ht="21.95" hidden="1" customHeight="1" thickBot="1" x14ac:dyDescent="0.3">
      <c r="F54" s="77" t="s">
        <v>454</v>
      </c>
      <c r="G54" s="465">
        <f t="shared" ref="G54:AK54" si="23">COUNTIF(G6:G25,"무단결근")+COUNTIF(G6:G25,"무단조퇴")</f>
        <v>0</v>
      </c>
      <c r="H54" s="465">
        <f t="shared" si="23"/>
        <v>0</v>
      </c>
      <c r="I54" s="465">
        <f t="shared" si="23"/>
        <v>0</v>
      </c>
      <c r="J54" s="465">
        <f t="shared" si="23"/>
        <v>0</v>
      </c>
      <c r="K54" s="465">
        <f t="shared" si="23"/>
        <v>0</v>
      </c>
      <c r="L54" s="465">
        <f t="shared" si="23"/>
        <v>0</v>
      </c>
      <c r="M54" s="465">
        <f t="shared" si="23"/>
        <v>0</v>
      </c>
      <c r="N54" s="465">
        <f t="shared" si="23"/>
        <v>0</v>
      </c>
      <c r="O54" s="465">
        <f t="shared" si="23"/>
        <v>0</v>
      </c>
      <c r="P54" s="465">
        <f t="shared" si="23"/>
        <v>0</v>
      </c>
      <c r="Q54" s="465">
        <f t="shared" si="23"/>
        <v>0</v>
      </c>
      <c r="R54" s="465">
        <f t="shared" si="23"/>
        <v>0</v>
      </c>
      <c r="S54" s="465">
        <f t="shared" si="23"/>
        <v>0</v>
      </c>
      <c r="T54" s="465">
        <f t="shared" si="23"/>
        <v>0</v>
      </c>
      <c r="U54" s="465">
        <f t="shared" si="23"/>
        <v>0</v>
      </c>
      <c r="V54" s="465">
        <f t="shared" si="23"/>
        <v>0</v>
      </c>
      <c r="W54" s="465">
        <f t="shared" si="23"/>
        <v>0</v>
      </c>
      <c r="X54" s="465">
        <f t="shared" si="23"/>
        <v>0</v>
      </c>
      <c r="Y54" s="465">
        <f t="shared" si="23"/>
        <v>0</v>
      </c>
      <c r="Z54" s="465">
        <f t="shared" si="23"/>
        <v>0</v>
      </c>
      <c r="AA54" s="465">
        <f t="shared" si="23"/>
        <v>0</v>
      </c>
      <c r="AB54" s="465">
        <f t="shared" si="23"/>
        <v>0</v>
      </c>
      <c r="AC54" s="465">
        <f t="shared" si="23"/>
        <v>0</v>
      </c>
      <c r="AD54" s="465">
        <f t="shared" si="23"/>
        <v>0</v>
      </c>
      <c r="AE54" s="465">
        <f t="shared" si="23"/>
        <v>0</v>
      </c>
      <c r="AF54" s="465">
        <f t="shared" si="23"/>
        <v>0</v>
      </c>
      <c r="AG54" s="465">
        <f t="shared" si="23"/>
        <v>0</v>
      </c>
      <c r="AH54" s="465">
        <f t="shared" si="23"/>
        <v>0</v>
      </c>
      <c r="AI54" s="465">
        <f t="shared" si="23"/>
        <v>0</v>
      </c>
      <c r="AJ54" s="465">
        <f t="shared" si="23"/>
        <v>0</v>
      </c>
      <c r="AK54" s="465">
        <f t="shared" si="23"/>
        <v>0</v>
      </c>
      <c r="AL54" s="52">
        <f t="shared" si="20"/>
        <v>0</v>
      </c>
      <c r="AN54" s="8"/>
    </row>
    <row r="55" spans="2:45" s="6" customFormat="1" ht="21.95" hidden="1" customHeight="1" thickBot="1" x14ac:dyDescent="0.3">
      <c r="F55" s="77" t="s">
        <v>455</v>
      </c>
      <c r="G55" s="465">
        <f t="shared" ref="G55:AK55" si="24">COUNTIF(G6:G25,"권장휴무")+COUNTIF(G6:G25,"권장조퇴")</f>
        <v>0</v>
      </c>
      <c r="H55" s="465">
        <f t="shared" si="24"/>
        <v>0</v>
      </c>
      <c r="I55" s="465">
        <f t="shared" si="24"/>
        <v>0</v>
      </c>
      <c r="J55" s="465">
        <f t="shared" si="24"/>
        <v>0</v>
      </c>
      <c r="K55" s="465">
        <f t="shared" si="24"/>
        <v>0</v>
      </c>
      <c r="L55" s="465">
        <f t="shared" si="24"/>
        <v>0</v>
      </c>
      <c r="M55" s="465">
        <f t="shared" si="24"/>
        <v>0</v>
      </c>
      <c r="N55" s="465">
        <f t="shared" si="24"/>
        <v>0</v>
      </c>
      <c r="O55" s="465">
        <f t="shared" si="24"/>
        <v>0</v>
      </c>
      <c r="P55" s="465">
        <f t="shared" si="24"/>
        <v>0</v>
      </c>
      <c r="Q55" s="465">
        <f t="shared" si="24"/>
        <v>0</v>
      </c>
      <c r="R55" s="465">
        <f t="shared" si="24"/>
        <v>0</v>
      </c>
      <c r="S55" s="465">
        <f t="shared" si="24"/>
        <v>0</v>
      </c>
      <c r="T55" s="465">
        <f t="shared" si="24"/>
        <v>0</v>
      </c>
      <c r="U55" s="465">
        <f t="shared" si="24"/>
        <v>0</v>
      </c>
      <c r="V55" s="465">
        <f t="shared" si="24"/>
        <v>0</v>
      </c>
      <c r="W55" s="465">
        <f t="shared" si="24"/>
        <v>0</v>
      </c>
      <c r="X55" s="465">
        <f t="shared" si="24"/>
        <v>0</v>
      </c>
      <c r="Y55" s="465">
        <f t="shared" si="24"/>
        <v>0</v>
      </c>
      <c r="Z55" s="465">
        <f t="shared" si="24"/>
        <v>0</v>
      </c>
      <c r="AA55" s="465">
        <f t="shared" si="24"/>
        <v>0</v>
      </c>
      <c r="AB55" s="465">
        <f t="shared" si="24"/>
        <v>0</v>
      </c>
      <c r="AC55" s="465">
        <f t="shared" si="24"/>
        <v>0</v>
      </c>
      <c r="AD55" s="465">
        <f t="shared" si="24"/>
        <v>0</v>
      </c>
      <c r="AE55" s="465">
        <f t="shared" si="24"/>
        <v>0</v>
      </c>
      <c r="AF55" s="465">
        <f t="shared" si="24"/>
        <v>0</v>
      </c>
      <c r="AG55" s="465">
        <f t="shared" si="24"/>
        <v>0</v>
      </c>
      <c r="AH55" s="465">
        <f t="shared" si="24"/>
        <v>0</v>
      </c>
      <c r="AI55" s="465">
        <f t="shared" si="24"/>
        <v>0</v>
      </c>
      <c r="AJ55" s="465">
        <f t="shared" si="24"/>
        <v>0</v>
      </c>
      <c r="AK55" s="465">
        <f t="shared" si="24"/>
        <v>0</v>
      </c>
      <c r="AL55" s="52">
        <f t="shared" si="20"/>
        <v>0</v>
      </c>
      <c r="AN55" s="8"/>
    </row>
    <row r="56" spans="2:45" s="6" customFormat="1" ht="21.95" hidden="1" customHeight="1" thickBot="1" x14ac:dyDescent="0.3">
      <c r="F56" s="77" t="s">
        <v>456</v>
      </c>
      <c r="G56" s="465">
        <f t="shared" ref="G56:AK56" si="25">COUNTIF(G6:G25,"예비군")+COUNTIF(G6:G25,"민방위")</f>
        <v>0</v>
      </c>
      <c r="H56" s="465">
        <f t="shared" si="25"/>
        <v>0</v>
      </c>
      <c r="I56" s="465">
        <f t="shared" si="25"/>
        <v>0</v>
      </c>
      <c r="J56" s="465">
        <f t="shared" si="25"/>
        <v>0</v>
      </c>
      <c r="K56" s="465">
        <f t="shared" si="25"/>
        <v>0</v>
      </c>
      <c r="L56" s="465">
        <f t="shared" si="25"/>
        <v>0</v>
      </c>
      <c r="M56" s="465">
        <f t="shared" si="25"/>
        <v>0</v>
      </c>
      <c r="N56" s="465">
        <f t="shared" si="25"/>
        <v>0</v>
      </c>
      <c r="O56" s="465">
        <f t="shared" si="25"/>
        <v>0</v>
      </c>
      <c r="P56" s="465">
        <f t="shared" si="25"/>
        <v>0</v>
      </c>
      <c r="Q56" s="465">
        <f t="shared" si="25"/>
        <v>0</v>
      </c>
      <c r="R56" s="465">
        <f t="shared" si="25"/>
        <v>0</v>
      </c>
      <c r="S56" s="465">
        <f t="shared" si="25"/>
        <v>0</v>
      </c>
      <c r="T56" s="465">
        <f t="shared" si="25"/>
        <v>0</v>
      </c>
      <c r="U56" s="465">
        <f t="shared" si="25"/>
        <v>0</v>
      </c>
      <c r="V56" s="465">
        <f t="shared" si="25"/>
        <v>0</v>
      </c>
      <c r="W56" s="465">
        <f t="shared" si="25"/>
        <v>0</v>
      </c>
      <c r="X56" s="465">
        <f t="shared" si="25"/>
        <v>0</v>
      </c>
      <c r="Y56" s="465">
        <f t="shared" si="25"/>
        <v>0</v>
      </c>
      <c r="Z56" s="465">
        <f t="shared" si="25"/>
        <v>0</v>
      </c>
      <c r="AA56" s="465">
        <f t="shared" si="25"/>
        <v>0</v>
      </c>
      <c r="AB56" s="465">
        <f t="shared" si="25"/>
        <v>0</v>
      </c>
      <c r="AC56" s="465">
        <f t="shared" si="25"/>
        <v>0</v>
      </c>
      <c r="AD56" s="465">
        <f t="shared" si="25"/>
        <v>0</v>
      </c>
      <c r="AE56" s="465">
        <f t="shared" si="25"/>
        <v>0</v>
      </c>
      <c r="AF56" s="465">
        <f t="shared" si="25"/>
        <v>0</v>
      </c>
      <c r="AG56" s="465">
        <f t="shared" si="25"/>
        <v>0</v>
      </c>
      <c r="AH56" s="465">
        <f t="shared" si="25"/>
        <v>0</v>
      </c>
      <c r="AI56" s="465">
        <f t="shared" si="25"/>
        <v>0</v>
      </c>
      <c r="AJ56" s="465">
        <f t="shared" si="25"/>
        <v>0</v>
      </c>
      <c r="AK56" s="465">
        <f t="shared" si="25"/>
        <v>0</v>
      </c>
      <c r="AL56" s="52">
        <f t="shared" si="20"/>
        <v>0</v>
      </c>
      <c r="AN56" s="8"/>
    </row>
    <row r="57" spans="2:45" s="6" customFormat="1" ht="21.95" hidden="1" customHeight="1" thickBot="1" x14ac:dyDescent="0.3">
      <c r="F57" s="77" t="s">
        <v>457</v>
      </c>
      <c r="G57" s="465">
        <f t="shared" ref="G57:AK57" si="26">COUNTIF(G6:G25,"지원")</f>
        <v>0</v>
      </c>
      <c r="H57" s="465">
        <f t="shared" si="26"/>
        <v>0</v>
      </c>
      <c r="I57" s="465">
        <f t="shared" si="26"/>
        <v>0</v>
      </c>
      <c r="J57" s="465">
        <f t="shared" si="26"/>
        <v>0</v>
      </c>
      <c r="K57" s="465">
        <f t="shared" si="26"/>
        <v>0</v>
      </c>
      <c r="L57" s="465">
        <f t="shared" si="26"/>
        <v>0</v>
      </c>
      <c r="M57" s="465">
        <f t="shared" si="26"/>
        <v>0</v>
      </c>
      <c r="N57" s="465">
        <f t="shared" si="26"/>
        <v>0</v>
      </c>
      <c r="O57" s="465">
        <f t="shared" si="26"/>
        <v>0</v>
      </c>
      <c r="P57" s="465">
        <f t="shared" si="26"/>
        <v>0</v>
      </c>
      <c r="Q57" s="465">
        <f t="shared" si="26"/>
        <v>0</v>
      </c>
      <c r="R57" s="465">
        <f t="shared" si="26"/>
        <v>0</v>
      </c>
      <c r="S57" s="465">
        <f t="shared" si="26"/>
        <v>0</v>
      </c>
      <c r="T57" s="465">
        <f t="shared" si="26"/>
        <v>0</v>
      </c>
      <c r="U57" s="465">
        <f t="shared" si="26"/>
        <v>0</v>
      </c>
      <c r="V57" s="465">
        <f t="shared" si="26"/>
        <v>0</v>
      </c>
      <c r="W57" s="465">
        <f t="shared" si="26"/>
        <v>0</v>
      </c>
      <c r="X57" s="465">
        <f t="shared" si="26"/>
        <v>0</v>
      </c>
      <c r="Y57" s="465">
        <f t="shared" si="26"/>
        <v>0</v>
      </c>
      <c r="Z57" s="465">
        <f t="shared" si="26"/>
        <v>0</v>
      </c>
      <c r="AA57" s="465">
        <f t="shared" si="26"/>
        <v>0</v>
      </c>
      <c r="AB57" s="465">
        <f t="shared" si="26"/>
        <v>0</v>
      </c>
      <c r="AC57" s="465">
        <f t="shared" si="26"/>
        <v>0</v>
      </c>
      <c r="AD57" s="465">
        <f t="shared" si="26"/>
        <v>0</v>
      </c>
      <c r="AE57" s="465">
        <f t="shared" si="26"/>
        <v>0</v>
      </c>
      <c r="AF57" s="465">
        <f t="shared" si="26"/>
        <v>0</v>
      </c>
      <c r="AG57" s="465">
        <f t="shared" si="26"/>
        <v>0</v>
      </c>
      <c r="AH57" s="465">
        <f t="shared" si="26"/>
        <v>0</v>
      </c>
      <c r="AI57" s="465">
        <f t="shared" si="26"/>
        <v>0</v>
      </c>
      <c r="AJ57" s="465">
        <f t="shared" si="26"/>
        <v>0</v>
      </c>
      <c r="AK57" s="465">
        <f t="shared" si="26"/>
        <v>0</v>
      </c>
      <c r="AL57" s="52">
        <f t="shared" si="20"/>
        <v>0</v>
      </c>
      <c r="AN57" s="8"/>
    </row>
    <row r="58" spans="2:45" s="6" customFormat="1" ht="21.95" hidden="1" customHeight="1" thickBot="1" x14ac:dyDescent="0.3">
      <c r="F58" s="77" t="s">
        <v>458</v>
      </c>
      <c r="G58" s="465">
        <f t="shared" ref="G58:AK58" si="27">COUNTIF(G6:G25,"파견")</f>
        <v>0</v>
      </c>
      <c r="H58" s="465">
        <f t="shared" si="27"/>
        <v>0</v>
      </c>
      <c r="I58" s="465">
        <f t="shared" si="27"/>
        <v>0</v>
      </c>
      <c r="J58" s="465">
        <f t="shared" si="27"/>
        <v>0</v>
      </c>
      <c r="K58" s="465">
        <f t="shared" si="27"/>
        <v>0</v>
      </c>
      <c r="L58" s="465">
        <f t="shared" si="27"/>
        <v>0</v>
      </c>
      <c r="M58" s="465">
        <f t="shared" si="27"/>
        <v>0</v>
      </c>
      <c r="N58" s="465">
        <f t="shared" si="27"/>
        <v>0</v>
      </c>
      <c r="O58" s="465">
        <f t="shared" si="27"/>
        <v>0</v>
      </c>
      <c r="P58" s="465">
        <f t="shared" si="27"/>
        <v>0</v>
      </c>
      <c r="Q58" s="465">
        <f t="shared" si="27"/>
        <v>0</v>
      </c>
      <c r="R58" s="465">
        <f t="shared" si="27"/>
        <v>0</v>
      </c>
      <c r="S58" s="465">
        <f t="shared" si="27"/>
        <v>0</v>
      </c>
      <c r="T58" s="465">
        <f t="shared" si="27"/>
        <v>0</v>
      </c>
      <c r="U58" s="465">
        <f t="shared" si="27"/>
        <v>0</v>
      </c>
      <c r="V58" s="465">
        <f t="shared" si="27"/>
        <v>0</v>
      </c>
      <c r="W58" s="465">
        <f t="shared" si="27"/>
        <v>0</v>
      </c>
      <c r="X58" s="465">
        <f t="shared" si="27"/>
        <v>0</v>
      </c>
      <c r="Y58" s="465">
        <f t="shared" si="27"/>
        <v>0</v>
      </c>
      <c r="Z58" s="465">
        <f t="shared" si="27"/>
        <v>0</v>
      </c>
      <c r="AA58" s="465">
        <f t="shared" si="27"/>
        <v>0</v>
      </c>
      <c r="AB58" s="465">
        <f t="shared" si="27"/>
        <v>0</v>
      </c>
      <c r="AC58" s="465">
        <f t="shared" si="27"/>
        <v>0</v>
      </c>
      <c r="AD58" s="465">
        <f t="shared" si="27"/>
        <v>0</v>
      </c>
      <c r="AE58" s="465">
        <f t="shared" si="27"/>
        <v>0</v>
      </c>
      <c r="AF58" s="465">
        <f t="shared" si="27"/>
        <v>0</v>
      </c>
      <c r="AG58" s="465">
        <f t="shared" si="27"/>
        <v>0</v>
      </c>
      <c r="AH58" s="465">
        <f t="shared" si="27"/>
        <v>0</v>
      </c>
      <c r="AI58" s="465">
        <f t="shared" si="27"/>
        <v>0</v>
      </c>
      <c r="AJ58" s="465">
        <f t="shared" si="27"/>
        <v>0</v>
      </c>
      <c r="AK58" s="465">
        <f t="shared" si="27"/>
        <v>0</v>
      </c>
      <c r="AL58" s="52">
        <f t="shared" si="20"/>
        <v>0</v>
      </c>
      <c r="AN58" s="8"/>
    </row>
    <row r="59" spans="2:45" s="6" customFormat="1" ht="21.95" hidden="1" customHeight="1" thickBot="1" x14ac:dyDescent="0.3">
      <c r="F59" s="77" t="s">
        <v>459</v>
      </c>
      <c r="G59" s="465"/>
      <c r="H59" s="465"/>
      <c r="I59" s="465"/>
      <c r="J59" s="465"/>
      <c r="K59" s="465"/>
      <c r="L59" s="465"/>
      <c r="M59" s="465"/>
      <c r="N59" s="465"/>
      <c r="O59" s="465"/>
      <c r="P59" s="465"/>
      <c r="Q59" s="465"/>
      <c r="R59" s="465"/>
      <c r="S59" s="465"/>
      <c r="T59" s="465"/>
      <c r="U59" s="465"/>
      <c r="V59" s="465"/>
      <c r="W59" s="465"/>
      <c r="X59" s="465"/>
      <c r="Y59" s="465"/>
      <c r="Z59" s="465"/>
      <c r="AA59" s="465"/>
      <c r="AB59" s="465"/>
      <c r="AC59" s="465"/>
      <c r="AD59" s="465"/>
      <c r="AE59" s="465"/>
      <c r="AF59" s="465"/>
      <c r="AG59" s="465"/>
      <c r="AH59" s="465"/>
      <c r="AI59" s="465"/>
      <c r="AJ59" s="465"/>
      <c r="AK59" s="465"/>
      <c r="AL59" s="52">
        <f>SUM(G59:AK59)</f>
        <v>0</v>
      </c>
      <c r="AN59" s="8"/>
    </row>
    <row r="60" spans="2:45" s="6" customFormat="1" ht="21.95" hidden="1" customHeight="1" x14ac:dyDescent="0.25">
      <c r="AN60" s="8"/>
    </row>
    <row r="61" spans="2:45" s="6" customFormat="1" ht="21.95" hidden="1" customHeight="1" thickBot="1" x14ac:dyDescent="0.3">
      <c r="B61" s="7" t="s">
        <v>486</v>
      </c>
      <c r="AN61" s="8"/>
    </row>
    <row r="62" spans="2:45" s="6" customFormat="1" ht="21.95" hidden="1" customHeight="1" x14ac:dyDescent="0.25">
      <c r="B62" s="899" t="s">
        <v>15</v>
      </c>
      <c r="C62" s="901" t="s">
        <v>105</v>
      </c>
      <c r="D62" s="906" t="s">
        <v>122</v>
      </c>
      <c r="E62" s="903" t="s">
        <v>16</v>
      </c>
      <c r="F62" s="908" t="s">
        <v>57</v>
      </c>
      <c r="G62" s="15">
        <v>1</v>
      </c>
      <c r="H62" s="13">
        <v>2</v>
      </c>
      <c r="I62" s="15">
        <v>3</v>
      </c>
      <c r="J62" s="13">
        <v>4</v>
      </c>
      <c r="K62" s="15">
        <v>5</v>
      </c>
      <c r="L62" s="13">
        <v>6</v>
      </c>
      <c r="M62" s="15">
        <v>7</v>
      </c>
      <c r="N62" s="13">
        <v>8</v>
      </c>
      <c r="O62" s="15">
        <v>9</v>
      </c>
      <c r="P62" s="13">
        <v>10</v>
      </c>
      <c r="Q62" s="15">
        <v>11</v>
      </c>
      <c r="R62" s="13">
        <v>12</v>
      </c>
      <c r="S62" s="15">
        <v>13</v>
      </c>
      <c r="T62" s="13">
        <v>14</v>
      </c>
      <c r="U62" s="15">
        <v>15</v>
      </c>
      <c r="V62" s="13">
        <v>16</v>
      </c>
      <c r="W62" s="15">
        <v>17</v>
      </c>
      <c r="X62" s="13">
        <v>18</v>
      </c>
      <c r="Y62" s="15">
        <v>19</v>
      </c>
      <c r="Z62" s="13">
        <v>20</v>
      </c>
      <c r="AA62" s="15">
        <v>21</v>
      </c>
      <c r="AB62" s="13">
        <v>22</v>
      </c>
      <c r="AC62" s="15">
        <v>23</v>
      </c>
      <c r="AD62" s="13">
        <v>24</v>
      </c>
      <c r="AE62" s="15">
        <v>25</v>
      </c>
      <c r="AF62" s="13">
        <v>26</v>
      </c>
      <c r="AG62" s="15">
        <v>27</v>
      </c>
      <c r="AH62" s="13">
        <v>28</v>
      </c>
      <c r="AI62" s="13">
        <v>29</v>
      </c>
      <c r="AJ62" s="13">
        <v>30</v>
      </c>
      <c r="AK62" s="15">
        <v>31</v>
      </c>
    </row>
    <row r="63" spans="2:45" s="6" customFormat="1" ht="21.95" hidden="1" customHeight="1" thickBot="1" x14ac:dyDescent="0.3">
      <c r="B63" s="900"/>
      <c r="C63" s="902"/>
      <c r="D63" s="907"/>
      <c r="E63" s="902"/>
      <c r="F63" s="909"/>
      <c r="G63" s="16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84"/>
    </row>
    <row r="64" spans="2:45" s="6" customFormat="1" ht="21.95" hidden="1" customHeight="1" x14ac:dyDescent="0.25">
      <c r="B64" s="42" t="str">
        <f t="shared" ref="B64:F69" si="28">B6</f>
        <v>박성배</v>
      </c>
      <c r="C64" s="22" t="str">
        <f t="shared" si="28"/>
        <v>선택</v>
      </c>
      <c r="D64" s="22" t="str">
        <f t="shared" si="28"/>
        <v>주방</v>
      </c>
      <c r="E64" s="21">
        <f t="shared" si="28"/>
        <v>46022</v>
      </c>
      <c r="F64" s="21">
        <f t="shared" si="28"/>
        <v>0</v>
      </c>
      <c r="G64" s="461" cm="1">
        <f t="array" ref="G64">IFERROR(_xlfn.IFS(G6="-","0",G6="근무","1",G6="휴무","1",G6="월차","1", G6="반차","1", G6="무단결근","0",G6="무단조퇴","0.5",G6="권장휴무","0",G6="권장조퇴","0.5",G6="예비군","1",G6="민방위","1",G6="지원","1",G6="파견","0")*$AZ6,0)</f>
        <v>131013</v>
      </c>
      <c r="H64" s="462" cm="1">
        <f t="array" ref="H64">IFERROR(_xlfn.IFS(H6="-","0",H6="근무","1",H6="휴무","1",H6="월차","1", H6="반차","1", H6="무단결근","0",H6="무단조퇴","0.5",H6="권장휴무","0",H6="권장조퇴","0.5",H6="예비군","1",H6="민방위","1",H6="지원","1",H6="파견","0")*$AZ6,0)</f>
        <v>131013</v>
      </c>
      <c r="I64" s="462" cm="1">
        <f t="array" ref="I64">IFERROR(_xlfn.IFS(I6="-","0",I6="근무","1",I6="휴무","1",I6="월차","1", I6="반차","1", I6="무단결근","0",I6="무단조퇴","0.5",I6="권장휴무","0",I6="권장조퇴","0.5",I6="예비군","1",I6="민방위","1",I6="지원","1",I6="파견","0")*$AZ6,0)</f>
        <v>131013</v>
      </c>
      <c r="J64" s="462" cm="1">
        <f t="array" ref="J64">IFERROR(_xlfn.IFS(J6="-","0",J6="근무","1",J6="휴무","1",J6="월차","1", J6="반차","1", J6="무단결근","0",J6="무단조퇴","0.5",J6="권장휴무","0",J6="권장조퇴","0.5",J6="예비군","1",J6="민방위","1",J6="지원","1",J6="파견","0")*$AZ6,0)</f>
        <v>131013</v>
      </c>
      <c r="K64" s="462" cm="1">
        <f t="array" ref="K64">IFERROR(_xlfn.IFS(K6="-","0",K6="근무","1",K6="휴무","1",K6="월차","1", K6="반차","1", K6="무단결근","0",K6="무단조퇴","0.5",K6="권장휴무","0",K6="권장조퇴","0.5",K6="예비군","1",K6="민방위","1",K6="지원","1",K6="파견","0")*$AZ6,0)</f>
        <v>131013</v>
      </c>
      <c r="L64" s="462" cm="1">
        <f t="array" ref="L64">IFERROR(_xlfn.IFS(L6="-","0",L6="근무","1",L6="휴무","1",L6="월차","1", L6="반차","1", L6="무단결근","0",L6="무단조퇴","0.5",L6="권장휴무","0",L6="권장조퇴","0.5",L6="예비군","1",L6="민방위","1",L6="지원","1",L6="파견","0")*$AZ6,0)</f>
        <v>131013</v>
      </c>
      <c r="M64" s="462" cm="1">
        <f t="array" ref="M64">IFERROR(_xlfn.IFS(M6="-","0",M6="근무","1",M6="휴무","1",M6="월차","1", M6="반차","1", M6="무단결근","0",M6="무단조퇴","0.5",M6="권장휴무","0",M6="권장조퇴","0.5",M6="예비군","1",M6="민방위","1",M6="지원","1",M6="파견","0")*$AZ6,0)</f>
        <v>131013</v>
      </c>
      <c r="N64" s="462" cm="1">
        <f t="array" ref="N64">IFERROR(_xlfn.IFS(N6="-","0",N6="근무","1",N6="휴무","1",N6="월차","1", N6="반차","1", N6="무단결근","0",N6="무단조퇴","0.5",N6="권장휴무","0",N6="권장조퇴","0.5",N6="예비군","1",N6="민방위","1",N6="지원","1",N6="파견","0")*$AZ6,0)</f>
        <v>131013</v>
      </c>
      <c r="O64" s="462" cm="1">
        <f t="array" ref="O64">IFERROR(_xlfn.IFS(O6="-","0",O6="근무","1",O6="휴무","1",O6="월차","1", O6="반차","1", O6="무단결근","0",O6="무단조퇴","0.5",O6="권장휴무","0",O6="권장조퇴","0.5",O6="예비군","1",O6="민방위","1",O6="지원","1",O6="파견","0")*$AZ6,0)</f>
        <v>131013</v>
      </c>
      <c r="P64" s="462" cm="1">
        <f t="array" ref="P64">IFERROR(_xlfn.IFS(P6="-","0",P6="근무","1",P6="휴무","1",P6="월차","1", P6="반차","1", P6="무단결근","0",P6="무단조퇴","0.5",P6="권장휴무","0",P6="권장조퇴","0.5",P6="예비군","1",P6="민방위","1",P6="지원","1",P6="파견","0")*$AZ6,0)</f>
        <v>131013</v>
      </c>
      <c r="Q64" s="462" cm="1">
        <f t="array" ref="Q64">IFERROR(_xlfn.IFS(Q6="-","0",Q6="근무","1",Q6="휴무","1",Q6="월차","1", Q6="반차","1", Q6="무단결근","0",Q6="무단조퇴","0.5",Q6="권장휴무","0",Q6="권장조퇴","0.5",Q6="예비군","1",Q6="민방위","1",Q6="지원","1",Q6="파견","0")*$AZ6,0)</f>
        <v>131013</v>
      </c>
      <c r="R64" s="462" cm="1">
        <f t="array" ref="R64">IFERROR(_xlfn.IFS(R6="-","0",R6="근무","1",R6="휴무","1",R6="월차","1", R6="반차","1", R6="무단결근","0",R6="무단조퇴","0.5",R6="권장휴무","0",R6="권장조퇴","0.5",R6="예비군","1",R6="민방위","1",R6="지원","1",R6="파견","0")*$AZ6,0)</f>
        <v>131013</v>
      </c>
      <c r="S64" s="462" cm="1">
        <f t="array" ref="S64">IFERROR(_xlfn.IFS(S6="-","0",S6="근무","1",S6="휴무","1",S6="월차","1", S6="반차","1", S6="무단결근","0",S6="무단조퇴","0.5",S6="권장휴무","0",S6="권장조퇴","0.5",S6="예비군","1",S6="민방위","1",S6="지원","1",S6="파견","0")*$AZ6,0)</f>
        <v>131013</v>
      </c>
      <c r="T64" s="462" cm="1">
        <f t="array" ref="T64">IFERROR(_xlfn.IFS(T6="-","0",T6="근무","1",T6="휴무","1",T6="월차","1", T6="반차","1", T6="무단결근","0",T6="무단조퇴","0.5",T6="권장휴무","0",T6="권장조퇴","0.5",T6="예비군","1",T6="민방위","1",T6="지원","1",T6="파견","0")*$AZ6,0)</f>
        <v>131013</v>
      </c>
      <c r="U64" s="462" cm="1">
        <f t="array" ref="U64">IFERROR(_xlfn.IFS(U6="-","0",U6="근무","1",U6="휴무","1",U6="월차","1", U6="반차","1", U6="무단결근","0",U6="무단조퇴","0.5",U6="권장휴무","0",U6="권장조퇴","0.5",U6="예비군","1",U6="민방위","1",U6="지원","1",U6="파견","0")*$AZ6,0)</f>
        <v>131013</v>
      </c>
      <c r="V64" s="462" cm="1">
        <f t="array" ref="V64">IFERROR(_xlfn.IFS(V6="-","0",V6="근무","1",V6="휴무","1",V6="월차","1", V6="반차","1", V6="무단결근","0",V6="무단조퇴","0.5",V6="권장휴무","0",V6="권장조퇴","0.5",V6="예비군","1",V6="민방위","1",V6="지원","1",V6="파견","0")*$AZ6,0)</f>
        <v>131013</v>
      </c>
      <c r="W64" s="462" cm="1">
        <f t="array" ref="W64">IFERROR(_xlfn.IFS(W6="-","0",W6="근무","1",W6="휴무","1",W6="월차","1", W6="반차","1", W6="무단결근","0",W6="무단조퇴","0.5",W6="권장휴무","0",W6="권장조퇴","0.5",W6="예비군","1",W6="민방위","1",W6="지원","1",W6="파견","0")*$AZ6,0)</f>
        <v>131013</v>
      </c>
      <c r="X64" s="462" cm="1">
        <f t="array" ref="X64">IFERROR(_xlfn.IFS(X6="-","0",X6="근무","1",X6="휴무","1",X6="월차","1", X6="반차","1", X6="무단결근","0",X6="무단조퇴","0.5",X6="권장휴무","0",X6="권장조퇴","0.5",X6="예비군","1",X6="민방위","1",X6="지원","1",X6="파견","0")*$AZ6,0)</f>
        <v>131013</v>
      </c>
      <c r="Y64" s="462" cm="1">
        <f t="array" ref="Y64">IFERROR(_xlfn.IFS(Y6="-","0",Y6="근무","1",Y6="휴무","1",Y6="월차","1", Y6="반차","1", Y6="무단결근","0",Y6="무단조퇴","0.5",Y6="권장휴무","0",Y6="권장조퇴","0.5",Y6="예비군","1",Y6="민방위","1",Y6="지원","1",Y6="파견","0")*$AZ6,0)</f>
        <v>131013</v>
      </c>
      <c r="Z64" s="462" cm="1">
        <f t="array" ref="Z64">IFERROR(_xlfn.IFS(Z6="-","0",Z6="근무","1",Z6="휴무","1",Z6="월차","1", Z6="반차","1", Z6="무단결근","0",Z6="무단조퇴","0.5",Z6="권장휴무","0",Z6="권장조퇴","0.5",Z6="예비군","1",Z6="민방위","1",Z6="지원","1",Z6="파견","0")*$AZ6,0)</f>
        <v>131013</v>
      </c>
      <c r="AA64" s="462" cm="1">
        <f t="array" ref="AA64">IFERROR(_xlfn.IFS(AA6="-","0",AA6="근무","1",AA6="휴무","1",AA6="월차","1", AA6="반차","1", AA6="무단결근","0",AA6="무단조퇴","0.5",AA6="권장휴무","0",AA6="권장조퇴","0.5",AA6="예비군","1",AA6="민방위","1",AA6="지원","1",AA6="파견","0")*$AZ6,0)</f>
        <v>131013</v>
      </c>
      <c r="AB64" s="462" cm="1">
        <f t="array" ref="AB64">IFERROR(_xlfn.IFS(AB6="-","0",AB6="근무","1",AB6="휴무","1",AB6="월차","1", AB6="반차","1", AB6="무단결근","0",AB6="무단조퇴","0.5",AB6="권장휴무","0",AB6="권장조퇴","0.5",AB6="예비군","1",AB6="민방위","1",AB6="지원","1",AB6="파견","0")*$AZ6,0)</f>
        <v>131013</v>
      </c>
      <c r="AC64" s="462" cm="1">
        <f t="array" ref="AC64">IFERROR(_xlfn.IFS(AC6="-","0",AC6="근무","1",AC6="휴무","1",AC6="월차","1", AC6="반차","1", AC6="무단결근","0",AC6="무단조퇴","0.5",AC6="권장휴무","0",AC6="권장조퇴","0.5",AC6="예비군","1",AC6="민방위","1",AC6="지원","1",AC6="파견","0")*$AZ6,0)</f>
        <v>131013</v>
      </c>
      <c r="AD64" s="462" cm="1">
        <f t="array" ref="AD64">IFERROR(_xlfn.IFS(AD6="-","0",AD6="근무","1",AD6="휴무","1",AD6="월차","1", AD6="반차","1", AD6="무단결근","0",AD6="무단조퇴","0.5",AD6="권장휴무","0",AD6="권장조퇴","0.5",AD6="예비군","1",AD6="민방위","1",AD6="지원","1",AD6="파견","0")*$AZ6,0)</f>
        <v>131013</v>
      </c>
      <c r="AE64" s="462" cm="1">
        <f t="array" ref="AE64">IFERROR(_xlfn.IFS(AE6="-","0",AE6="근무","1",AE6="휴무","1",AE6="월차","1", AE6="반차","1", AE6="무단결근","0",AE6="무단조퇴","0.5",AE6="권장휴무","0",AE6="권장조퇴","0.5",AE6="예비군","1",AE6="민방위","1",AE6="지원","1",AE6="파견","0")*$AZ6,0)</f>
        <v>131013</v>
      </c>
      <c r="AF64" s="462" cm="1">
        <f t="array" ref="AF64">IFERROR(_xlfn.IFS(AF6="-","0",AF6="근무","1",AF6="휴무","1",AF6="월차","1", AF6="반차","1", AF6="무단결근","0",AF6="무단조퇴","0.5",AF6="권장휴무","0",AF6="권장조퇴","0.5",AF6="예비군","1",AF6="민방위","1",AF6="지원","1",AF6="파견","0")*$AZ6,0)</f>
        <v>131013</v>
      </c>
      <c r="AG64" s="462" cm="1">
        <f t="array" ref="AG64">IFERROR(_xlfn.IFS(AG6="-","0",AG6="근무","1",AG6="휴무","1",AG6="월차","1", AG6="반차","1", AG6="무단결근","0",AG6="무단조퇴","0.5",AG6="권장휴무","0",AG6="권장조퇴","0.5",AG6="예비군","1",AG6="민방위","1",AG6="지원","1",AG6="파견","0")*$AZ6,0)</f>
        <v>0</v>
      </c>
      <c r="AH64" s="462" cm="1">
        <f t="array" ref="AH64">IFERROR(_xlfn.IFS(AH6="-","0",AH6="근무","1",AH6="휴무","1",AH6="월차","1", AH6="반차","1", AH6="무단결근","0",AH6="무단조퇴","0.5",AH6="권장휴무","0",AH6="권장조퇴","0.5",AH6="예비군","1",AH6="민방위","1",AH6="지원","1",AH6="파견","0")*$AZ6,0)</f>
        <v>0</v>
      </c>
      <c r="AI64" s="462" cm="1">
        <f t="array" ref="AI64">IFERROR(_xlfn.IFS(AI6="-","0",AI6="근무","1",AI6="휴무","1",AI6="월차","1", AI6="반차","1", AI6="무단결근","0",AI6="무단조퇴","0.5",AI6="권장휴무","0",AI6="권장조퇴","0.5",AI6="예비군","1",AI6="민방위","1",AI6="지원","1",AI6="파견","0")*$AZ6,0)</f>
        <v>0</v>
      </c>
      <c r="AJ64" s="462" cm="1">
        <f t="array" ref="AJ64">IFERROR(_xlfn.IFS(AJ6="-","0",AJ6="근무","1",AJ6="휴무","1",AJ6="월차","1", AJ6="반차","1", AJ6="무단결근","0",AJ6="무단조퇴","0.5",AJ6="권장휴무","0",AJ6="권장조퇴","0.5",AJ6="예비군","1",AJ6="민방위","1",AJ6="지원","1",AJ6="파견","0")*$AZ6,0)</f>
        <v>0</v>
      </c>
      <c r="AK64" s="462" cm="1">
        <f t="array" ref="AK64">IFERROR(_xlfn.IFS(AK6="-","0",AK6="근무","1",AK6="휴무","1",AK6="월차","1", AK6="반차","1", AK6="무단결근","0",AK6="무단조퇴","0.5",AK6="권장휴무","0",AK6="권장조퇴","0.5",AK6="예비군","1",AK6="민방위","1",AK6="지원","1",AK6="파견","0")*$AZ6,0)</f>
        <v>0</v>
      </c>
    </row>
    <row r="65" spans="2:37" s="6" customFormat="1" ht="21.95" hidden="1" customHeight="1" x14ac:dyDescent="0.25">
      <c r="B65" s="42" t="str">
        <f t="shared" si="28"/>
        <v>박참이</v>
      </c>
      <c r="C65" s="22" t="str">
        <f t="shared" si="28"/>
        <v>선택</v>
      </c>
      <c r="D65" s="22" t="str">
        <f t="shared" si="28"/>
        <v>주방</v>
      </c>
      <c r="E65" s="21">
        <f t="shared" si="28"/>
        <v>46113</v>
      </c>
      <c r="F65" s="21">
        <f t="shared" si="28"/>
        <v>0</v>
      </c>
      <c r="G65" s="463" cm="1">
        <f t="array" ref="G65">IFERROR(_xlfn.IFS(G7="-","0",G7="근무","1",G7="휴무","1",G7="월차","1", G7="반차","1", G7="무단결근","0",G7="무단조퇴","0.5",G7="권장휴무","0",G7="권장조퇴","0.5",G7="예비군","1",G7="민방위","1",G7="지원","1",G7="파견","0")*$AZ7,0)</f>
        <v>123698.33333333333</v>
      </c>
      <c r="H65" s="464" cm="1">
        <f t="array" ref="H65">IFERROR(_xlfn.IFS(H7="-","0",H7="근무","1",H7="휴무","1",H7="월차","1", H7="반차","1", H7="무단결근","0",H7="무단조퇴","0.5",H7="권장휴무","0",H7="권장조퇴","0.5",H7="예비군","1",H7="민방위","1",H7="지원","1",H7="파견","0")*$AZ7,0)</f>
        <v>123698.33333333333</v>
      </c>
      <c r="I65" s="464" cm="1">
        <f t="array" ref="I65">IFERROR(_xlfn.IFS(I7="-","0",I7="근무","1",I7="휴무","1",I7="월차","1", I7="반차","1", I7="무단결근","0",I7="무단조퇴","0.5",I7="권장휴무","0",I7="권장조퇴","0.5",I7="예비군","1",I7="민방위","1",I7="지원","1",I7="파견","0")*$AZ7,0)</f>
        <v>123698.33333333333</v>
      </c>
      <c r="J65" s="464" cm="1">
        <f t="array" ref="J65">IFERROR(_xlfn.IFS(J7="-","0",J7="근무","1",J7="휴무","1",J7="월차","1", J7="반차","1", J7="무단결근","0",J7="무단조퇴","0.5",J7="권장휴무","0",J7="권장조퇴","0.5",J7="예비군","1",J7="민방위","1",J7="지원","1",J7="파견","0")*$AZ7,0)</f>
        <v>123698.33333333333</v>
      </c>
      <c r="K65" s="464" cm="1">
        <f t="array" ref="K65">IFERROR(_xlfn.IFS(K7="-","0",K7="근무","1",K7="휴무","1",K7="월차","1", K7="반차","1", K7="무단결근","0",K7="무단조퇴","0.5",K7="권장휴무","0",K7="권장조퇴","0.5",K7="예비군","1",K7="민방위","1",K7="지원","1",K7="파견","0")*$AZ7,0)</f>
        <v>123698.33333333333</v>
      </c>
      <c r="L65" s="464" cm="1">
        <f t="array" ref="L65">IFERROR(_xlfn.IFS(L7="-","0",L7="근무","1",L7="휴무","1",L7="월차","1", L7="반차","1", L7="무단결근","0",L7="무단조퇴","0.5",L7="권장휴무","0",L7="권장조퇴","0.5",L7="예비군","1",L7="민방위","1",L7="지원","1",L7="파견","0")*$AZ7,0)</f>
        <v>123698.33333333333</v>
      </c>
      <c r="M65" s="464" cm="1">
        <f t="array" ref="M65">IFERROR(_xlfn.IFS(M7="-","0",M7="근무","1",M7="휴무","1",M7="월차","1", M7="반차","1", M7="무단결근","0",M7="무단조퇴","0.5",M7="권장휴무","0",M7="권장조퇴","0.5",M7="예비군","1",M7="민방위","1",M7="지원","1",M7="파견","0")*$AZ7,0)</f>
        <v>123698.33333333333</v>
      </c>
      <c r="N65" s="464" cm="1">
        <f t="array" ref="N65">IFERROR(_xlfn.IFS(N7="-","0",N7="근무","1",N7="휴무","1",N7="월차","1", N7="반차","1", N7="무단결근","0",N7="무단조퇴","0.5",N7="권장휴무","0",N7="권장조퇴","0.5",N7="예비군","1",N7="민방위","1",N7="지원","1",N7="파견","0")*$AZ7,0)</f>
        <v>123698.33333333333</v>
      </c>
      <c r="O65" s="464" cm="1">
        <f t="array" ref="O65">IFERROR(_xlfn.IFS(O7="-","0",O7="근무","1",O7="휴무","1",O7="월차","1", O7="반차","1", O7="무단결근","0",O7="무단조퇴","0.5",O7="권장휴무","0",O7="권장조퇴","0.5",O7="예비군","1",O7="민방위","1",O7="지원","1",O7="파견","0")*$AZ7,0)</f>
        <v>123698.33333333333</v>
      </c>
      <c r="P65" s="464" cm="1">
        <f t="array" ref="P65">IFERROR(_xlfn.IFS(P7="-","0",P7="근무","1",P7="휴무","1",P7="월차","1", P7="반차","1", P7="무단결근","0",P7="무단조퇴","0.5",P7="권장휴무","0",P7="권장조퇴","0.5",P7="예비군","1",P7="민방위","1",P7="지원","1",P7="파견","0")*$AZ7,0)</f>
        <v>123698.33333333333</v>
      </c>
      <c r="Q65" s="464" cm="1">
        <f t="array" ref="Q65">IFERROR(_xlfn.IFS(Q7="-","0",Q7="근무","1",Q7="휴무","1",Q7="월차","1", Q7="반차","1", Q7="무단결근","0",Q7="무단조퇴","0.5",Q7="권장휴무","0",Q7="권장조퇴","0.5",Q7="예비군","1",Q7="민방위","1",Q7="지원","1",Q7="파견","0")*$AZ7,0)</f>
        <v>123698.33333333333</v>
      </c>
      <c r="R65" s="464" cm="1">
        <f t="array" ref="R65">IFERROR(_xlfn.IFS(R7="-","0",R7="근무","1",R7="휴무","1",R7="월차","1", R7="반차","1", R7="무단결근","0",R7="무단조퇴","0.5",R7="권장휴무","0",R7="권장조퇴","0.5",R7="예비군","1",R7="민방위","1",R7="지원","1",R7="파견","0")*$AZ7,0)</f>
        <v>123698.33333333333</v>
      </c>
      <c r="S65" s="464" cm="1">
        <f t="array" ref="S65">IFERROR(_xlfn.IFS(S7="-","0",S7="근무","1",S7="휴무","1",S7="월차","1", S7="반차","1", S7="무단결근","0",S7="무단조퇴","0.5",S7="권장휴무","0",S7="권장조퇴","0.5",S7="예비군","1",S7="민방위","1",S7="지원","1",S7="파견","0")*$AZ7,0)</f>
        <v>123698.33333333333</v>
      </c>
      <c r="T65" s="464" cm="1">
        <f t="array" ref="T65">IFERROR(_xlfn.IFS(T7="-","0",T7="근무","1",T7="휴무","1",T7="월차","1", T7="반차","1", T7="무단결근","0",T7="무단조퇴","0.5",T7="권장휴무","0",T7="권장조퇴","0.5",T7="예비군","1",T7="민방위","1",T7="지원","1",T7="파견","0")*$AZ7,0)</f>
        <v>123698.33333333333</v>
      </c>
      <c r="U65" s="464" cm="1">
        <f t="array" ref="U65">IFERROR(_xlfn.IFS(U7="-","0",U7="근무","1",U7="휴무","1",U7="월차","1", U7="반차","1", U7="무단결근","0",U7="무단조퇴","0.5",U7="권장휴무","0",U7="권장조퇴","0.5",U7="예비군","1",U7="민방위","1",U7="지원","1",U7="파견","0")*$AZ7,0)</f>
        <v>123698.33333333333</v>
      </c>
      <c r="V65" s="464" cm="1">
        <f t="array" ref="V65">IFERROR(_xlfn.IFS(V7="-","0",V7="근무","1",V7="휴무","1",V7="월차","1", V7="반차","1", V7="무단결근","0",V7="무단조퇴","0.5",V7="권장휴무","0",V7="권장조퇴","0.5",V7="예비군","1",V7="민방위","1",V7="지원","1",V7="파견","0")*$AZ7,0)</f>
        <v>123698.33333333333</v>
      </c>
      <c r="W65" s="464" cm="1">
        <f t="array" ref="W65">IFERROR(_xlfn.IFS(W7="-","0",W7="근무","1",W7="휴무","1",W7="월차","1", W7="반차","1", W7="무단결근","0",W7="무단조퇴","0.5",W7="권장휴무","0",W7="권장조퇴","0.5",W7="예비군","1",W7="민방위","1",W7="지원","1",W7="파견","0")*$AZ7,0)</f>
        <v>123698.33333333333</v>
      </c>
      <c r="X65" s="464" cm="1">
        <f t="array" ref="X65">IFERROR(_xlfn.IFS(X7="-","0",X7="근무","1",X7="휴무","1",X7="월차","1", X7="반차","1", X7="무단결근","0",X7="무단조퇴","0.5",X7="권장휴무","0",X7="권장조퇴","0.5",X7="예비군","1",X7="민방위","1",X7="지원","1",X7="파견","0")*$AZ7,0)</f>
        <v>123698.33333333333</v>
      </c>
      <c r="Y65" s="464" cm="1">
        <f t="array" ref="Y65">IFERROR(_xlfn.IFS(Y7="-","0",Y7="근무","1",Y7="휴무","1",Y7="월차","1", Y7="반차","1", Y7="무단결근","0",Y7="무단조퇴","0.5",Y7="권장휴무","0",Y7="권장조퇴","0.5",Y7="예비군","1",Y7="민방위","1",Y7="지원","1",Y7="파견","0")*$AZ7,0)</f>
        <v>123698.33333333333</v>
      </c>
      <c r="Z65" s="464" cm="1">
        <f t="array" ref="Z65">IFERROR(_xlfn.IFS(Z7="-","0",Z7="근무","1",Z7="휴무","1",Z7="월차","1", Z7="반차","1", Z7="무단결근","0",Z7="무단조퇴","0.5",Z7="권장휴무","0",Z7="권장조퇴","0.5",Z7="예비군","1",Z7="민방위","1",Z7="지원","1",Z7="파견","0")*$AZ7,0)</f>
        <v>123698.33333333333</v>
      </c>
      <c r="AA65" s="464" cm="1">
        <f t="array" ref="AA65">IFERROR(_xlfn.IFS(AA7="-","0",AA7="근무","1",AA7="휴무","1",AA7="월차","1", AA7="반차","1", AA7="무단결근","0",AA7="무단조퇴","0.5",AA7="권장휴무","0",AA7="권장조퇴","0.5",AA7="예비군","1",AA7="민방위","1",AA7="지원","1",AA7="파견","0")*$AZ7,0)</f>
        <v>123698.33333333333</v>
      </c>
      <c r="AB65" s="464" cm="1">
        <f t="array" ref="AB65">IFERROR(_xlfn.IFS(AB7="-","0",AB7="근무","1",AB7="휴무","1",AB7="월차","1", AB7="반차","1", AB7="무단결근","0",AB7="무단조퇴","0.5",AB7="권장휴무","0",AB7="권장조퇴","0.5",AB7="예비군","1",AB7="민방위","1",AB7="지원","1",AB7="파견","0")*$AZ7,0)</f>
        <v>123698.33333333333</v>
      </c>
      <c r="AC65" s="464" cm="1">
        <f t="array" ref="AC65">IFERROR(_xlfn.IFS(AC7="-","0",AC7="근무","1",AC7="휴무","1",AC7="월차","1", AC7="반차","1", AC7="무단결근","0",AC7="무단조퇴","0.5",AC7="권장휴무","0",AC7="권장조퇴","0.5",AC7="예비군","1",AC7="민방위","1",AC7="지원","1",AC7="파견","0")*$AZ7,0)</f>
        <v>123698.33333333333</v>
      </c>
      <c r="AD65" s="464" cm="1">
        <f t="array" ref="AD65">IFERROR(_xlfn.IFS(AD7="-","0",AD7="근무","1",AD7="휴무","1",AD7="월차","1", AD7="반차","1", AD7="무단결근","0",AD7="무단조퇴","0.5",AD7="권장휴무","0",AD7="권장조퇴","0.5",AD7="예비군","1",AD7="민방위","1",AD7="지원","1",AD7="파견","0")*$AZ7,0)</f>
        <v>123698.33333333333</v>
      </c>
      <c r="AE65" s="464" cm="1">
        <f t="array" ref="AE65">IFERROR(_xlfn.IFS(AE7="-","0",AE7="근무","1",AE7="휴무","1",AE7="월차","1", AE7="반차","1", AE7="무단결근","0",AE7="무단조퇴","0.5",AE7="권장휴무","0",AE7="권장조퇴","0.5",AE7="예비군","1",AE7="민방위","1",AE7="지원","1",AE7="파견","0")*$AZ7,0)</f>
        <v>123698.33333333333</v>
      </c>
      <c r="AF65" s="464" cm="1">
        <f t="array" ref="AF65">IFERROR(_xlfn.IFS(AF7="-","0",AF7="근무","1",AF7="휴무","1",AF7="월차","1", AF7="반차","1", AF7="무단결근","0",AF7="무단조퇴","0.5",AF7="권장휴무","0",AF7="권장조퇴","0.5",AF7="예비군","1",AF7="민방위","1",AF7="지원","1",AF7="파견","0")*$AZ7,0)</f>
        <v>123698.33333333333</v>
      </c>
      <c r="AG65" s="464" cm="1">
        <f t="array" ref="AG65">IFERROR(_xlfn.IFS(AG7="-","0",AG7="근무","1",AG7="휴무","1",AG7="월차","1", AG7="반차","1", AG7="무단결근","0",AG7="무단조퇴","0.5",AG7="권장휴무","0",AG7="권장조퇴","0.5",AG7="예비군","1",AG7="민방위","1",AG7="지원","1",AG7="파견","0")*$AZ7,0)</f>
        <v>0</v>
      </c>
      <c r="AH65" s="464" cm="1">
        <f t="array" ref="AH65">IFERROR(_xlfn.IFS(AH7="-","0",AH7="근무","1",AH7="휴무","1",AH7="월차","1", AH7="반차","1", AH7="무단결근","0",AH7="무단조퇴","0.5",AH7="권장휴무","0",AH7="권장조퇴","0.5",AH7="예비군","1",AH7="민방위","1",AH7="지원","1",AH7="파견","0")*$AZ7,0)</f>
        <v>0</v>
      </c>
      <c r="AI65" s="464" cm="1">
        <f t="array" ref="AI65">IFERROR(_xlfn.IFS(AI7="-","0",AI7="근무","1",AI7="휴무","1",AI7="월차","1", AI7="반차","1", AI7="무단결근","0",AI7="무단조퇴","0.5",AI7="권장휴무","0",AI7="권장조퇴","0.5",AI7="예비군","1",AI7="민방위","1",AI7="지원","1",AI7="파견","0")*$AZ7,0)</f>
        <v>0</v>
      </c>
      <c r="AJ65" s="464" cm="1">
        <f t="array" ref="AJ65">IFERROR(_xlfn.IFS(AJ7="-","0",AJ7="근무","1",AJ7="휴무","1",AJ7="월차","1", AJ7="반차","1", AJ7="무단결근","0",AJ7="무단조퇴","0.5",AJ7="권장휴무","0",AJ7="권장조퇴","0.5",AJ7="예비군","1",AJ7="민방위","1",AJ7="지원","1",AJ7="파견","0")*$AZ7,0)</f>
        <v>0</v>
      </c>
      <c r="AK65" s="464" cm="1">
        <f t="array" ref="AK65">IFERROR(_xlfn.IFS(AK7="-","0",AK7="근무","1",AK7="휴무","1",AK7="월차","1", AK7="반차","1", AK7="무단결근","0",AK7="무단조퇴","0.5",AK7="권장휴무","0",AK7="권장조퇴","0.5",AK7="예비군","1",AK7="민방위","1",AK7="지원","1",AK7="파견","0")*$AZ7,0)</f>
        <v>0</v>
      </c>
    </row>
    <row r="66" spans="2:37" s="6" customFormat="1" ht="21.95" hidden="1" customHeight="1" x14ac:dyDescent="0.25">
      <c r="B66" s="42" t="str">
        <f t="shared" si="28"/>
        <v>이건호</v>
      </c>
      <c r="C66" s="22" t="str">
        <f t="shared" si="28"/>
        <v>선택</v>
      </c>
      <c r="D66" s="22" t="str">
        <f t="shared" si="28"/>
        <v>홀</v>
      </c>
      <c r="E66" s="21">
        <f t="shared" si="28"/>
        <v>46113</v>
      </c>
      <c r="F66" s="21">
        <f t="shared" si="28"/>
        <v>0</v>
      </c>
      <c r="G66" s="463" cm="1">
        <f t="array" ref="G66">IFERROR(_xlfn.IFS(G8="-","0",G8="근무","1",G8="휴무","1",G8="월차","1", G8="반차","1", G8="무단결근","0",G8="무단조퇴","0.5",G8="권장휴무","0",G8="권장조퇴","0.5",G8="예비군","1",G8="민방위","1",G8="지원","1",G8="파견","0")*$AZ8,0)</f>
        <v>123698.33333333333</v>
      </c>
      <c r="H66" s="464" cm="1">
        <f t="array" ref="H66">IFERROR(_xlfn.IFS(H8="-","0",H8="근무","1",H8="휴무","1",H8="월차","1", H8="반차","1", H8="무단결근","0",H8="무단조퇴","0.5",H8="권장휴무","0",H8="권장조퇴","0.5",H8="예비군","1",H8="민방위","1",H8="지원","1",H8="파견","0")*$AZ8,0)</f>
        <v>123698.33333333333</v>
      </c>
      <c r="I66" s="464" cm="1">
        <f t="array" ref="I66">IFERROR(_xlfn.IFS(I8="-","0",I8="근무","1",I8="휴무","1",I8="월차","1", I8="반차","1", I8="무단결근","0",I8="무단조퇴","0.5",I8="권장휴무","0",I8="권장조퇴","0.5",I8="예비군","1",I8="민방위","1",I8="지원","1",I8="파견","0")*$AZ8,0)</f>
        <v>123698.33333333333</v>
      </c>
      <c r="J66" s="464" cm="1">
        <f t="array" ref="J66">IFERROR(_xlfn.IFS(J8="-","0",J8="근무","1",J8="휴무","1",J8="월차","1", J8="반차","1", J8="무단결근","0",J8="무단조퇴","0.5",J8="권장휴무","0",J8="권장조퇴","0.5",J8="예비군","1",J8="민방위","1",J8="지원","1",J8="파견","0")*$AZ8,0)</f>
        <v>123698.33333333333</v>
      </c>
      <c r="K66" s="464" cm="1">
        <f t="array" ref="K66">IFERROR(_xlfn.IFS(K8="-","0",K8="근무","1",K8="휴무","1",K8="월차","1", K8="반차","1", K8="무단결근","0",K8="무단조퇴","0.5",K8="권장휴무","0",K8="권장조퇴","0.5",K8="예비군","1",K8="민방위","1",K8="지원","1",K8="파견","0")*$AZ8,0)</f>
        <v>123698.33333333333</v>
      </c>
      <c r="L66" s="464" cm="1">
        <f t="array" ref="L66">IFERROR(_xlfn.IFS(L8="-","0",L8="근무","1",L8="휴무","1",L8="월차","1", L8="반차","1", L8="무단결근","0",L8="무단조퇴","0.5",L8="권장휴무","0",L8="권장조퇴","0.5",L8="예비군","1",L8="민방위","1",L8="지원","1",L8="파견","0")*$AZ8,0)</f>
        <v>123698.33333333333</v>
      </c>
      <c r="M66" s="464" cm="1">
        <f t="array" ref="M66">IFERROR(_xlfn.IFS(M8="-","0",M8="근무","1",M8="휴무","1",M8="월차","1", M8="반차","1", M8="무단결근","0",M8="무단조퇴","0.5",M8="권장휴무","0",M8="권장조퇴","0.5",M8="예비군","1",M8="민방위","1",M8="지원","1",M8="파견","0")*$AZ8,0)</f>
        <v>123698.33333333333</v>
      </c>
      <c r="N66" s="464" cm="1">
        <f t="array" ref="N66">IFERROR(_xlfn.IFS(N8="-","0",N8="근무","1",N8="휴무","1",N8="월차","1", N8="반차","1", N8="무단결근","0",N8="무단조퇴","0.5",N8="권장휴무","0",N8="권장조퇴","0.5",N8="예비군","1",N8="민방위","1",N8="지원","1",N8="파견","0")*$AZ8,0)</f>
        <v>123698.33333333333</v>
      </c>
      <c r="O66" s="464" cm="1">
        <f t="array" ref="O66">IFERROR(_xlfn.IFS(O8="-","0",O8="근무","1",O8="휴무","1",O8="월차","1", O8="반차","1", O8="무단결근","0",O8="무단조퇴","0.5",O8="권장휴무","0",O8="권장조퇴","0.5",O8="예비군","1",O8="민방위","1",O8="지원","1",O8="파견","0")*$AZ8,0)</f>
        <v>123698.33333333333</v>
      </c>
      <c r="P66" s="464" cm="1">
        <f t="array" ref="P66">IFERROR(_xlfn.IFS(P8="-","0",P8="근무","1",P8="휴무","1",P8="월차","1", P8="반차","1", P8="무단결근","0",P8="무단조퇴","0.5",P8="권장휴무","0",P8="권장조퇴","0.5",P8="예비군","1",P8="민방위","1",P8="지원","1",P8="파견","0")*$AZ8,0)</f>
        <v>123698.33333333333</v>
      </c>
      <c r="Q66" s="464" cm="1">
        <f t="array" ref="Q66">IFERROR(_xlfn.IFS(Q8="-","0",Q8="근무","1",Q8="휴무","1",Q8="월차","1", Q8="반차","1", Q8="무단결근","0",Q8="무단조퇴","0.5",Q8="권장휴무","0",Q8="권장조퇴","0.5",Q8="예비군","1",Q8="민방위","1",Q8="지원","1",Q8="파견","0")*$AZ8,0)</f>
        <v>123698.33333333333</v>
      </c>
      <c r="R66" s="464" cm="1">
        <f t="array" ref="R66">IFERROR(_xlfn.IFS(R8="-","0",R8="근무","1",R8="휴무","1",R8="월차","1", R8="반차","1", R8="무단결근","0",R8="무단조퇴","0.5",R8="권장휴무","0",R8="권장조퇴","0.5",R8="예비군","1",R8="민방위","1",R8="지원","1",R8="파견","0")*$AZ8,0)</f>
        <v>123698.33333333333</v>
      </c>
      <c r="S66" s="464" cm="1">
        <f t="array" ref="S66">IFERROR(_xlfn.IFS(S8="-","0",S8="근무","1",S8="휴무","1",S8="월차","1", S8="반차","1", S8="무단결근","0",S8="무단조퇴","0.5",S8="권장휴무","0",S8="권장조퇴","0.5",S8="예비군","1",S8="민방위","1",S8="지원","1",S8="파견","0")*$AZ8,0)</f>
        <v>123698.33333333333</v>
      </c>
      <c r="T66" s="464" cm="1">
        <f t="array" ref="T66">IFERROR(_xlfn.IFS(T8="-","0",T8="근무","1",T8="휴무","1",T8="월차","1", T8="반차","1", T8="무단결근","0",T8="무단조퇴","0.5",T8="권장휴무","0",T8="권장조퇴","0.5",T8="예비군","1",T8="민방위","1",T8="지원","1",T8="파견","0")*$AZ8,0)</f>
        <v>123698.33333333333</v>
      </c>
      <c r="U66" s="464" cm="1">
        <f t="array" ref="U66">IFERROR(_xlfn.IFS(U8="-","0",U8="근무","1",U8="휴무","1",U8="월차","1", U8="반차","1", U8="무단결근","0",U8="무단조퇴","0.5",U8="권장휴무","0",U8="권장조퇴","0.5",U8="예비군","1",U8="민방위","1",U8="지원","1",U8="파견","0")*$AZ8,0)</f>
        <v>123698.33333333333</v>
      </c>
      <c r="V66" s="464" cm="1">
        <f t="array" ref="V66">IFERROR(_xlfn.IFS(V8="-","0",V8="근무","1",V8="휴무","1",V8="월차","1", V8="반차","1", V8="무단결근","0",V8="무단조퇴","0.5",V8="권장휴무","0",V8="권장조퇴","0.5",V8="예비군","1",V8="민방위","1",V8="지원","1",V8="파견","0")*$AZ8,0)</f>
        <v>123698.33333333333</v>
      </c>
      <c r="W66" s="464" cm="1">
        <f t="array" ref="W66">IFERROR(_xlfn.IFS(W8="-","0",W8="근무","1",W8="휴무","1",W8="월차","1", W8="반차","1", W8="무단결근","0",W8="무단조퇴","0.5",W8="권장휴무","0",W8="권장조퇴","0.5",W8="예비군","1",W8="민방위","1",W8="지원","1",W8="파견","0")*$AZ8,0)</f>
        <v>123698.33333333333</v>
      </c>
      <c r="X66" s="464" cm="1">
        <f t="array" ref="X66">IFERROR(_xlfn.IFS(X8="-","0",X8="근무","1",X8="휴무","1",X8="월차","1", X8="반차","1", X8="무단결근","0",X8="무단조퇴","0.5",X8="권장휴무","0",X8="권장조퇴","0.5",X8="예비군","1",X8="민방위","1",X8="지원","1",X8="파견","0")*$AZ8,0)</f>
        <v>123698.33333333333</v>
      </c>
      <c r="Y66" s="464" cm="1">
        <f t="array" ref="Y66">IFERROR(_xlfn.IFS(Y8="-","0",Y8="근무","1",Y8="휴무","1",Y8="월차","1", Y8="반차","1", Y8="무단결근","0",Y8="무단조퇴","0.5",Y8="권장휴무","0",Y8="권장조퇴","0.5",Y8="예비군","1",Y8="민방위","1",Y8="지원","1",Y8="파견","0")*$AZ8,0)</f>
        <v>123698.33333333333</v>
      </c>
      <c r="Z66" s="464" cm="1">
        <f t="array" ref="Z66">IFERROR(_xlfn.IFS(Z8="-","0",Z8="근무","1",Z8="휴무","1",Z8="월차","1", Z8="반차","1", Z8="무단결근","0",Z8="무단조퇴","0.5",Z8="권장휴무","0",Z8="권장조퇴","0.5",Z8="예비군","1",Z8="민방위","1",Z8="지원","1",Z8="파견","0")*$AZ8,0)</f>
        <v>123698.33333333333</v>
      </c>
      <c r="AA66" s="464" cm="1">
        <f t="array" ref="AA66">IFERROR(_xlfn.IFS(AA8="-","0",AA8="근무","1",AA8="휴무","1",AA8="월차","1", AA8="반차","1", AA8="무단결근","0",AA8="무단조퇴","0.5",AA8="권장휴무","0",AA8="권장조퇴","0.5",AA8="예비군","1",AA8="민방위","1",AA8="지원","1",AA8="파견","0")*$AZ8,0)</f>
        <v>123698.33333333333</v>
      </c>
      <c r="AB66" s="464" cm="1">
        <f t="array" ref="AB66">IFERROR(_xlfn.IFS(AB8="-","0",AB8="근무","1",AB8="휴무","1",AB8="월차","1", AB8="반차","1", AB8="무단결근","0",AB8="무단조퇴","0.5",AB8="권장휴무","0",AB8="권장조퇴","0.5",AB8="예비군","1",AB8="민방위","1",AB8="지원","1",AB8="파견","0")*$AZ8,0)</f>
        <v>123698.33333333333</v>
      </c>
      <c r="AC66" s="464" cm="1">
        <f t="array" ref="AC66">IFERROR(_xlfn.IFS(AC8="-","0",AC8="근무","1",AC8="휴무","1",AC8="월차","1", AC8="반차","1", AC8="무단결근","0",AC8="무단조퇴","0.5",AC8="권장휴무","0",AC8="권장조퇴","0.5",AC8="예비군","1",AC8="민방위","1",AC8="지원","1",AC8="파견","0")*$AZ8,0)</f>
        <v>123698.33333333333</v>
      </c>
      <c r="AD66" s="464" cm="1">
        <f t="array" ref="AD66">IFERROR(_xlfn.IFS(AD8="-","0",AD8="근무","1",AD8="휴무","1",AD8="월차","1", AD8="반차","1", AD8="무단결근","0",AD8="무단조퇴","0.5",AD8="권장휴무","0",AD8="권장조퇴","0.5",AD8="예비군","1",AD8="민방위","1",AD8="지원","1",AD8="파견","0")*$AZ8,0)</f>
        <v>123698.33333333333</v>
      </c>
      <c r="AE66" s="464" cm="1">
        <f t="array" ref="AE66">IFERROR(_xlfn.IFS(AE8="-","0",AE8="근무","1",AE8="휴무","1",AE8="월차","1", AE8="반차","1", AE8="무단결근","0",AE8="무단조퇴","0.5",AE8="권장휴무","0",AE8="권장조퇴","0.5",AE8="예비군","1",AE8="민방위","1",AE8="지원","1",AE8="파견","0")*$AZ8,0)</f>
        <v>123698.33333333333</v>
      </c>
      <c r="AF66" s="464" cm="1">
        <f t="array" ref="AF66">IFERROR(_xlfn.IFS(AF8="-","0",AF8="근무","1",AF8="휴무","1",AF8="월차","1", AF8="반차","1", AF8="무단결근","0",AF8="무단조퇴","0.5",AF8="권장휴무","0",AF8="권장조퇴","0.5",AF8="예비군","1",AF8="민방위","1",AF8="지원","1",AF8="파견","0")*$AZ8,0)</f>
        <v>123698.33333333333</v>
      </c>
      <c r="AG66" s="464" cm="1">
        <f t="array" ref="AG66">IFERROR(_xlfn.IFS(AG8="-","0",AG8="근무","1",AG8="휴무","1",AG8="월차","1", AG8="반차","1", AG8="무단결근","0",AG8="무단조퇴","0.5",AG8="권장휴무","0",AG8="권장조퇴","0.5",AG8="예비군","1",AG8="민방위","1",AG8="지원","1",AG8="파견","0")*$AZ8,0)</f>
        <v>0</v>
      </c>
      <c r="AH66" s="464" cm="1">
        <f t="array" ref="AH66">IFERROR(_xlfn.IFS(AH8="-","0",AH8="근무","1",AH8="휴무","1",AH8="월차","1", AH8="반차","1", AH8="무단결근","0",AH8="무단조퇴","0.5",AH8="권장휴무","0",AH8="권장조퇴","0.5",AH8="예비군","1",AH8="민방위","1",AH8="지원","1",AH8="파견","0")*$AZ8,0)</f>
        <v>0</v>
      </c>
      <c r="AI66" s="464" cm="1">
        <f t="array" ref="AI66">IFERROR(_xlfn.IFS(AI8="-","0",AI8="근무","1",AI8="휴무","1",AI8="월차","1", AI8="반차","1", AI8="무단결근","0",AI8="무단조퇴","0.5",AI8="권장휴무","0",AI8="권장조퇴","0.5",AI8="예비군","1",AI8="민방위","1",AI8="지원","1",AI8="파견","0")*$AZ8,0)</f>
        <v>0</v>
      </c>
      <c r="AJ66" s="464" cm="1">
        <f t="array" ref="AJ66">IFERROR(_xlfn.IFS(AJ8="-","0",AJ8="근무","1",AJ8="휴무","1",AJ8="월차","1", AJ8="반차","1", AJ8="무단결근","0",AJ8="무단조퇴","0.5",AJ8="권장휴무","0",AJ8="권장조퇴","0.5",AJ8="예비군","1",AJ8="민방위","1",AJ8="지원","1",AJ8="파견","0")*$AZ8,0)</f>
        <v>0</v>
      </c>
      <c r="AK66" s="464" cm="1">
        <f t="array" ref="AK66">IFERROR(_xlfn.IFS(AK8="-","0",AK8="근무","1",AK8="휴무","1",AK8="월차","1", AK8="반차","1", AK8="무단결근","0",AK8="무단조퇴","0.5",AK8="권장휴무","0",AK8="권장조퇴","0.5",AK8="예비군","1",AK8="민방위","1",AK8="지원","1",AK8="파견","0")*$AZ8,0)</f>
        <v>0</v>
      </c>
    </row>
    <row r="67" spans="2:37" s="6" customFormat="1" ht="21.95" hidden="1" customHeight="1" x14ac:dyDescent="0.25">
      <c r="B67" s="42">
        <f t="shared" si="28"/>
        <v>0</v>
      </c>
      <c r="C67" s="22" t="str">
        <f t="shared" si="28"/>
        <v>선택</v>
      </c>
      <c r="D67" s="22">
        <f t="shared" si="28"/>
        <v>0</v>
      </c>
      <c r="E67" s="21">
        <f t="shared" si="28"/>
        <v>0</v>
      </c>
      <c r="F67" s="21">
        <f t="shared" si="28"/>
        <v>0</v>
      </c>
      <c r="G67" s="463" cm="1">
        <f t="array" ref="G67">IFERROR(_xlfn.IFS(G9="-","0",G9="근무","1",G9="휴무","1",G9="월차","1", G9="반차","1", G9="무단결근","0",G9="무단조퇴","0.5",G9="권장휴무","0",G9="권장조퇴","0.5",G9="예비군","1",G9="민방위","1",G9="지원","1",G9="파견","0")*$AZ9,0)</f>
        <v>0</v>
      </c>
      <c r="H67" s="464" cm="1">
        <f t="array" ref="H67">IFERROR(_xlfn.IFS(H9="-","0",H9="근무","1",H9="휴무","1",H9="월차","1", H9="반차","1", H9="무단결근","0",H9="무단조퇴","0.5",H9="권장휴무","0",H9="권장조퇴","0.5",H9="예비군","1",H9="민방위","1",H9="지원","1",H9="파견","0")*$AZ9,0)</f>
        <v>0</v>
      </c>
      <c r="I67" s="464" cm="1">
        <f t="array" ref="I67">IFERROR(_xlfn.IFS(I9="-","0",I9="근무","1",I9="휴무","1",I9="월차","1", I9="반차","1", I9="무단결근","0",I9="무단조퇴","0.5",I9="권장휴무","0",I9="권장조퇴","0.5",I9="예비군","1",I9="민방위","1",I9="지원","1",I9="파견","0")*$AZ9,0)</f>
        <v>0</v>
      </c>
      <c r="J67" s="464" cm="1">
        <f t="array" ref="J67">IFERROR(_xlfn.IFS(J9="-","0",J9="근무","1",J9="휴무","1",J9="월차","1", J9="반차","1", J9="무단결근","0",J9="무단조퇴","0.5",J9="권장휴무","0",J9="권장조퇴","0.5",J9="예비군","1",J9="민방위","1",J9="지원","1",J9="파견","0")*$AZ9,0)</f>
        <v>0</v>
      </c>
      <c r="K67" s="464" cm="1">
        <f t="array" ref="K67">IFERROR(_xlfn.IFS(K9="-","0",K9="근무","1",K9="휴무","1",K9="월차","1", K9="반차","1", K9="무단결근","0",K9="무단조퇴","0.5",K9="권장휴무","0",K9="권장조퇴","0.5",K9="예비군","1",K9="민방위","1",K9="지원","1",K9="파견","0")*$AZ9,0)</f>
        <v>0</v>
      </c>
      <c r="L67" s="464" cm="1">
        <f t="array" ref="L67">IFERROR(_xlfn.IFS(L9="-","0",L9="근무","1",L9="휴무","1",L9="월차","1", L9="반차","1", L9="무단결근","0",L9="무단조퇴","0.5",L9="권장휴무","0",L9="권장조퇴","0.5",L9="예비군","1",L9="민방위","1",L9="지원","1",L9="파견","0")*$AZ9,0)</f>
        <v>0</v>
      </c>
      <c r="M67" s="464" cm="1">
        <f t="array" ref="M67">IFERROR(_xlfn.IFS(M9="-","0",M9="근무","1",M9="휴무","1",M9="월차","1", M9="반차","1", M9="무단결근","0",M9="무단조퇴","0.5",M9="권장휴무","0",M9="권장조퇴","0.5",M9="예비군","1",M9="민방위","1",M9="지원","1",M9="파견","0")*$AZ9,0)</f>
        <v>0</v>
      </c>
      <c r="N67" s="464" cm="1">
        <f t="array" ref="N67">IFERROR(_xlfn.IFS(N9="-","0",N9="근무","1",N9="휴무","1",N9="월차","1", N9="반차","1", N9="무단결근","0",N9="무단조퇴","0.5",N9="권장휴무","0",N9="권장조퇴","0.5",N9="예비군","1",N9="민방위","1",N9="지원","1",N9="파견","0")*$AZ9,0)</f>
        <v>0</v>
      </c>
      <c r="O67" s="464" cm="1">
        <f t="array" ref="O67">IFERROR(_xlfn.IFS(O9="-","0",O9="근무","1",O9="휴무","1",O9="월차","1", O9="반차","1", O9="무단결근","0",O9="무단조퇴","0.5",O9="권장휴무","0",O9="권장조퇴","0.5",O9="예비군","1",O9="민방위","1",O9="지원","1",O9="파견","0")*$AZ9,0)</f>
        <v>0</v>
      </c>
      <c r="P67" s="464" cm="1">
        <f t="array" ref="P67">IFERROR(_xlfn.IFS(P9="-","0",P9="근무","1",P9="휴무","1",P9="월차","1", P9="반차","1", P9="무단결근","0",P9="무단조퇴","0.5",P9="권장휴무","0",P9="권장조퇴","0.5",P9="예비군","1",P9="민방위","1",P9="지원","1",P9="파견","0")*$AZ9,0)</f>
        <v>0</v>
      </c>
      <c r="Q67" s="464" cm="1">
        <f t="array" ref="Q67">IFERROR(_xlfn.IFS(Q9="-","0",Q9="근무","1",Q9="휴무","1",Q9="월차","1", Q9="반차","1", Q9="무단결근","0",Q9="무단조퇴","0.5",Q9="권장휴무","0",Q9="권장조퇴","0.5",Q9="예비군","1",Q9="민방위","1",Q9="지원","1",Q9="파견","0")*$AZ9,0)</f>
        <v>0</v>
      </c>
      <c r="R67" s="464" cm="1">
        <f t="array" ref="R67">IFERROR(_xlfn.IFS(R9="-","0",R9="근무","1",R9="휴무","1",R9="월차","1", R9="반차","1", R9="무단결근","0",R9="무단조퇴","0.5",R9="권장휴무","0",R9="권장조퇴","0.5",R9="예비군","1",R9="민방위","1",R9="지원","1",R9="파견","0")*$AZ9,0)</f>
        <v>0</v>
      </c>
      <c r="S67" s="464" cm="1">
        <f t="array" ref="S67">IFERROR(_xlfn.IFS(S9="-","0",S9="근무","1",S9="휴무","1",S9="월차","1", S9="반차","1", S9="무단결근","0",S9="무단조퇴","0.5",S9="권장휴무","0",S9="권장조퇴","0.5",S9="예비군","1",S9="민방위","1",S9="지원","1",S9="파견","0")*$AZ9,0)</f>
        <v>0</v>
      </c>
      <c r="T67" s="464" cm="1">
        <f t="array" ref="T67">IFERROR(_xlfn.IFS(T9="-","0",T9="근무","1",T9="휴무","1",T9="월차","1", T9="반차","1", T9="무단결근","0",T9="무단조퇴","0.5",T9="권장휴무","0",T9="권장조퇴","0.5",T9="예비군","1",T9="민방위","1",T9="지원","1",T9="파견","0")*$AZ9,0)</f>
        <v>0</v>
      </c>
      <c r="U67" s="464" cm="1">
        <f t="array" ref="U67">IFERROR(_xlfn.IFS(U9="-","0",U9="근무","1",U9="휴무","1",U9="월차","1", U9="반차","1", U9="무단결근","0",U9="무단조퇴","0.5",U9="권장휴무","0",U9="권장조퇴","0.5",U9="예비군","1",U9="민방위","1",U9="지원","1",U9="파견","0")*$AZ9,0)</f>
        <v>0</v>
      </c>
      <c r="V67" s="464" cm="1">
        <f t="array" ref="V67">IFERROR(_xlfn.IFS(V9="-","0",V9="근무","1",V9="휴무","1",V9="월차","1", V9="반차","1", V9="무단결근","0",V9="무단조퇴","0.5",V9="권장휴무","0",V9="권장조퇴","0.5",V9="예비군","1",V9="민방위","1",V9="지원","1",V9="파견","0")*$AZ9,0)</f>
        <v>0</v>
      </c>
      <c r="W67" s="464" cm="1">
        <f t="array" ref="W67">IFERROR(_xlfn.IFS(W9="-","0",W9="근무","1",W9="휴무","1",W9="월차","1", W9="반차","1", W9="무단결근","0",W9="무단조퇴","0.5",W9="권장휴무","0",W9="권장조퇴","0.5",W9="예비군","1",W9="민방위","1",W9="지원","1",W9="파견","0")*$AZ9,0)</f>
        <v>0</v>
      </c>
      <c r="X67" s="464" cm="1">
        <f t="array" ref="X67">IFERROR(_xlfn.IFS(X9="-","0",X9="근무","1",X9="휴무","1",X9="월차","1", X9="반차","1", X9="무단결근","0",X9="무단조퇴","0.5",X9="권장휴무","0",X9="권장조퇴","0.5",X9="예비군","1",X9="민방위","1",X9="지원","1",X9="파견","0")*$AZ9,0)</f>
        <v>0</v>
      </c>
      <c r="Y67" s="464" cm="1">
        <f t="array" ref="Y67">IFERROR(_xlfn.IFS(Y9="-","0",Y9="근무","1",Y9="휴무","1",Y9="월차","1", Y9="반차","1", Y9="무단결근","0",Y9="무단조퇴","0.5",Y9="권장휴무","0",Y9="권장조퇴","0.5",Y9="예비군","1",Y9="민방위","1",Y9="지원","1",Y9="파견","0")*$AZ9,0)</f>
        <v>0</v>
      </c>
      <c r="Z67" s="464" cm="1">
        <f t="array" ref="Z67">IFERROR(_xlfn.IFS(Z9="-","0",Z9="근무","1",Z9="휴무","1",Z9="월차","1", Z9="반차","1", Z9="무단결근","0",Z9="무단조퇴","0.5",Z9="권장휴무","0",Z9="권장조퇴","0.5",Z9="예비군","1",Z9="민방위","1",Z9="지원","1",Z9="파견","0")*$AZ9,0)</f>
        <v>0</v>
      </c>
      <c r="AA67" s="464" cm="1">
        <f t="array" ref="AA67">IFERROR(_xlfn.IFS(AA9="-","0",AA9="근무","1",AA9="휴무","1",AA9="월차","1", AA9="반차","1", AA9="무단결근","0",AA9="무단조퇴","0.5",AA9="권장휴무","0",AA9="권장조퇴","0.5",AA9="예비군","1",AA9="민방위","1",AA9="지원","1",AA9="파견","0")*$AZ9,0)</f>
        <v>0</v>
      </c>
      <c r="AB67" s="464" cm="1">
        <f t="array" ref="AB67">IFERROR(_xlfn.IFS(AB9="-","0",AB9="근무","1",AB9="휴무","1",AB9="월차","1", AB9="반차","1", AB9="무단결근","0",AB9="무단조퇴","0.5",AB9="권장휴무","0",AB9="권장조퇴","0.5",AB9="예비군","1",AB9="민방위","1",AB9="지원","1",AB9="파견","0")*$AZ9,0)</f>
        <v>0</v>
      </c>
      <c r="AC67" s="464" cm="1">
        <f t="array" ref="AC67">IFERROR(_xlfn.IFS(AC9="-","0",AC9="근무","1",AC9="휴무","1",AC9="월차","1", AC9="반차","1", AC9="무단결근","0",AC9="무단조퇴","0.5",AC9="권장휴무","0",AC9="권장조퇴","0.5",AC9="예비군","1",AC9="민방위","1",AC9="지원","1",AC9="파견","0")*$AZ9,0)</f>
        <v>0</v>
      </c>
      <c r="AD67" s="464" cm="1">
        <f t="array" ref="AD67">IFERROR(_xlfn.IFS(AD9="-","0",AD9="근무","1",AD9="휴무","1",AD9="월차","1", AD9="반차","1", AD9="무단결근","0",AD9="무단조퇴","0.5",AD9="권장휴무","0",AD9="권장조퇴","0.5",AD9="예비군","1",AD9="민방위","1",AD9="지원","1",AD9="파견","0")*$AZ9,0)</f>
        <v>0</v>
      </c>
      <c r="AE67" s="464" cm="1">
        <f t="array" ref="AE67">IFERROR(_xlfn.IFS(AE9="-","0",AE9="근무","1",AE9="휴무","1",AE9="월차","1", AE9="반차","1", AE9="무단결근","0",AE9="무단조퇴","0.5",AE9="권장휴무","0",AE9="권장조퇴","0.5",AE9="예비군","1",AE9="민방위","1",AE9="지원","1",AE9="파견","0")*$AZ9,0)</f>
        <v>0</v>
      </c>
      <c r="AF67" s="464" cm="1">
        <f t="array" ref="AF67">IFERROR(_xlfn.IFS(AF9="-","0",AF9="근무","1",AF9="휴무","1",AF9="월차","1", AF9="반차","1", AF9="무단결근","0",AF9="무단조퇴","0.5",AF9="권장휴무","0",AF9="권장조퇴","0.5",AF9="예비군","1",AF9="민방위","1",AF9="지원","1",AF9="파견","0")*$AZ9,0)</f>
        <v>0</v>
      </c>
      <c r="AG67" s="464" cm="1">
        <f t="array" ref="AG67">IFERROR(_xlfn.IFS(AG9="-","0",AG9="근무","1",AG9="휴무","1",AG9="월차","1", AG9="반차","1", AG9="무단결근","0",AG9="무단조퇴","0.5",AG9="권장휴무","0",AG9="권장조퇴","0.5",AG9="예비군","1",AG9="민방위","1",AG9="지원","1",AG9="파견","0")*$AZ9,0)</f>
        <v>0</v>
      </c>
      <c r="AH67" s="464" cm="1">
        <f t="array" ref="AH67">IFERROR(_xlfn.IFS(AH9="-","0",AH9="근무","1",AH9="휴무","1",AH9="월차","1", AH9="반차","1", AH9="무단결근","0",AH9="무단조퇴","0.5",AH9="권장휴무","0",AH9="권장조퇴","0.5",AH9="예비군","1",AH9="민방위","1",AH9="지원","1",AH9="파견","0")*$AZ9,0)</f>
        <v>0</v>
      </c>
      <c r="AI67" s="464" cm="1">
        <f t="array" ref="AI67">IFERROR(_xlfn.IFS(AI9="-","0",AI9="근무","1",AI9="휴무","1",AI9="월차","1", AI9="반차","1", AI9="무단결근","0",AI9="무단조퇴","0.5",AI9="권장휴무","0",AI9="권장조퇴","0.5",AI9="예비군","1",AI9="민방위","1",AI9="지원","1",AI9="파견","0")*$AZ9,0)</f>
        <v>0</v>
      </c>
      <c r="AJ67" s="464" cm="1">
        <f t="array" ref="AJ67">IFERROR(_xlfn.IFS(AJ9="-","0",AJ9="근무","1",AJ9="휴무","1",AJ9="월차","1", AJ9="반차","1", AJ9="무단결근","0",AJ9="무단조퇴","0.5",AJ9="권장휴무","0",AJ9="권장조퇴","0.5",AJ9="예비군","1",AJ9="민방위","1",AJ9="지원","1",AJ9="파견","0")*$AZ9,0)</f>
        <v>0</v>
      </c>
      <c r="AK67" s="464" cm="1">
        <f t="array" ref="AK67">IFERROR(_xlfn.IFS(AK9="-","0",AK9="근무","1",AK9="휴무","1",AK9="월차","1", AK9="반차","1", AK9="무단결근","0",AK9="무단조퇴","0.5",AK9="권장휴무","0",AK9="권장조퇴","0.5",AK9="예비군","1",AK9="민방위","1",AK9="지원","1",AK9="파견","0")*$AZ9,0)</f>
        <v>0</v>
      </c>
    </row>
    <row r="68" spans="2:37" s="6" customFormat="1" ht="21.95" hidden="1" customHeight="1" x14ac:dyDescent="0.25">
      <c r="B68" s="42">
        <f t="shared" si="28"/>
        <v>0</v>
      </c>
      <c r="C68" s="22" t="str">
        <f t="shared" si="28"/>
        <v>선택</v>
      </c>
      <c r="D68" s="22">
        <f t="shared" si="28"/>
        <v>0</v>
      </c>
      <c r="E68" s="21">
        <f t="shared" si="28"/>
        <v>0</v>
      </c>
      <c r="F68" s="21">
        <f t="shared" si="28"/>
        <v>0</v>
      </c>
      <c r="G68" s="463" cm="1">
        <f t="array" ref="G68">IFERROR(_xlfn.IFS(G10="-","0",G10="근무","1",G10="휴무","1",G10="월차","1", G10="반차","1", G10="무단결근","0",G10="무단조퇴","0.5",G10="권장휴무","0",G10="권장조퇴","0.5",G10="예비군","1",G10="민방위","1",G10="지원","1",G10="파견","0")*$AZ10,0)</f>
        <v>0</v>
      </c>
      <c r="H68" s="464" cm="1">
        <f t="array" ref="H68">IFERROR(_xlfn.IFS(H10="-","0",H10="근무","1",H10="휴무","1",H10="월차","1", H10="반차","1", H10="무단결근","0",H10="무단조퇴","0.5",H10="권장휴무","0",H10="권장조퇴","0.5",H10="예비군","1",H10="민방위","1",H10="지원","1",H10="파견","0")*$AZ10,0)</f>
        <v>0</v>
      </c>
      <c r="I68" s="464" cm="1">
        <f t="array" ref="I68">IFERROR(_xlfn.IFS(I10="-","0",I10="근무","1",I10="휴무","1",I10="월차","1", I10="반차","1", I10="무단결근","0",I10="무단조퇴","0.5",I10="권장휴무","0",I10="권장조퇴","0.5",I10="예비군","1",I10="민방위","1",I10="지원","1",I10="파견","0")*$AZ10,0)</f>
        <v>0</v>
      </c>
      <c r="J68" s="464" cm="1">
        <f t="array" ref="J68">IFERROR(_xlfn.IFS(J10="-","0",J10="근무","1",J10="휴무","1",J10="월차","1", J10="반차","1", J10="무단결근","0",J10="무단조퇴","0.5",J10="권장휴무","0",J10="권장조퇴","0.5",J10="예비군","1",J10="민방위","1",J10="지원","1",J10="파견","0")*$AZ10,0)</f>
        <v>0</v>
      </c>
      <c r="K68" s="464" cm="1">
        <f t="array" ref="K68">IFERROR(_xlfn.IFS(K10="-","0",K10="근무","1",K10="휴무","1",K10="월차","1", K10="반차","1", K10="무단결근","0",K10="무단조퇴","0.5",K10="권장휴무","0",K10="권장조퇴","0.5",K10="예비군","1",K10="민방위","1",K10="지원","1",K10="파견","0")*$AZ10,0)</f>
        <v>0</v>
      </c>
      <c r="L68" s="464" cm="1">
        <f t="array" ref="L68">IFERROR(_xlfn.IFS(L10="-","0",L10="근무","1",L10="휴무","1",L10="월차","1", L10="반차","1", L10="무단결근","0",L10="무단조퇴","0.5",L10="권장휴무","0",L10="권장조퇴","0.5",L10="예비군","1",L10="민방위","1",L10="지원","1",L10="파견","0")*$AZ10,0)</f>
        <v>0</v>
      </c>
      <c r="M68" s="464" cm="1">
        <f t="array" ref="M68">IFERROR(_xlfn.IFS(M10="-","0",M10="근무","1",M10="휴무","1",M10="월차","1", M10="반차","1", M10="무단결근","0",M10="무단조퇴","0.5",M10="권장휴무","0",M10="권장조퇴","0.5",M10="예비군","1",M10="민방위","1",M10="지원","1",M10="파견","0")*$AZ10,0)</f>
        <v>0</v>
      </c>
      <c r="N68" s="464" cm="1">
        <f t="array" ref="N68">IFERROR(_xlfn.IFS(N10="-","0",N10="근무","1",N10="휴무","1",N10="월차","1", N10="반차","1", N10="무단결근","0",N10="무단조퇴","0.5",N10="권장휴무","0",N10="권장조퇴","0.5",N10="예비군","1",N10="민방위","1",N10="지원","1",N10="파견","0")*$AZ10,0)</f>
        <v>0</v>
      </c>
      <c r="O68" s="464" cm="1">
        <f t="array" ref="O68">IFERROR(_xlfn.IFS(O10="-","0",O10="근무","1",O10="휴무","1",O10="월차","1", O10="반차","1", O10="무단결근","0",O10="무단조퇴","0.5",O10="권장휴무","0",O10="권장조퇴","0.5",O10="예비군","1",O10="민방위","1",O10="지원","1",O10="파견","0")*$AZ10,0)</f>
        <v>0</v>
      </c>
      <c r="P68" s="464" cm="1">
        <f t="array" ref="P68">IFERROR(_xlfn.IFS(P10="-","0",P10="근무","1",P10="휴무","1",P10="월차","1", P10="반차","1", P10="무단결근","0",P10="무단조퇴","0.5",P10="권장휴무","0",P10="권장조퇴","0.5",P10="예비군","1",P10="민방위","1",P10="지원","1",P10="파견","0")*$AZ10,0)</f>
        <v>0</v>
      </c>
      <c r="Q68" s="464" cm="1">
        <f t="array" ref="Q68">IFERROR(_xlfn.IFS(Q10="-","0",Q10="근무","1",Q10="휴무","1",Q10="월차","1", Q10="반차","1", Q10="무단결근","0",Q10="무단조퇴","0.5",Q10="권장휴무","0",Q10="권장조퇴","0.5",Q10="예비군","1",Q10="민방위","1",Q10="지원","1",Q10="파견","0")*$AZ10,0)</f>
        <v>0</v>
      </c>
      <c r="R68" s="464" cm="1">
        <f t="array" ref="R68">IFERROR(_xlfn.IFS(R10="-","0",R10="근무","1",R10="휴무","1",R10="월차","1", R10="반차","1", R10="무단결근","0",R10="무단조퇴","0.5",R10="권장휴무","0",R10="권장조퇴","0.5",R10="예비군","1",R10="민방위","1",R10="지원","1",R10="파견","0")*$AZ10,0)</f>
        <v>0</v>
      </c>
      <c r="S68" s="464" cm="1">
        <f t="array" ref="S68">IFERROR(_xlfn.IFS(S10="-","0",S10="근무","1",S10="휴무","1",S10="월차","1", S10="반차","1", S10="무단결근","0",S10="무단조퇴","0.5",S10="권장휴무","0",S10="권장조퇴","0.5",S10="예비군","1",S10="민방위","1",S10="지원","1",S10="파견","0")*$AZ10,0)</f>
        <v>0</v>
      </c>
      <c r="T68" s="464" cm="1">
        <f t="array" ref="T68">IFERROR(_xlfn.IFS(T10="-","0",T10="근무","1",T10="휴무","1",T10="월차","1", T10="반차","1", T10="무단결근","0",T10="무단조퇴","0.5",T10="권장휴무","0",T10="권장조퇴","0.5",T10="예비군","1",T10="민방위","1",T10="지원","1",T10="파견","0")*$AZ10,0)</f>
        <v>0</v>
      </c>
      <c r="U68" s="464" cm="1">
        <f t="array" ref="U68">IFERROR(_xlfn.IFS(U10="-","0",U10="근무","1",U10="휴무","1",U10="월차","1", U10="반차","1", U10="무단결근","0",U10="무단조퇴","0.5",U10="권장휴무","0",U10="권장조퇴","0.5",U10="예비군","1",U10="민방위","1",U10="지원","1",U10="파견","0")*$AZ10,0)</f>
        <v>0</v>
      </c>
      <c r="V68" s="464" cm="1">
        <f t="array" ref="V68">IFERROR(_xlfn.IFS(V10="-","0",V10="근무","1",V10="휴무","1",V10="월차","1", V10="반차","1", V10="무단결근","0",V10="무단조퇴","0.5",V10="권장휴무","0",V10="권장조퇴","0.5",V10="예비군","1",V10="민방위","1",V10="지원","1",V10="파견","0")*$AZ10,0)</f>
        <v>0</v>
      </c>
      <c r="W68" s="464" cm="1">
        <f t="array" ref="W68">IFERROR(_xlfn.IFS(W10="-","0",W10="근무","1",W10="휴무","1",W10="월차","1", W10="반차","1", W10="무단결근","0",W10="무단조퇴","0.5",W10="권장휴무","0",W10="권장조퇴","0.5",W10="예비군","1",W10="민방위","1",W10="지원","1",W10="파견","0")*$AZ10,0)</f>
        <v>0</v>
      </c>
      <c r="X68" s="464" cm="1">
        <f t="array" ref="X68">IFERROR(_xlfn.IFS(X10="-","0",X10="근무","1",X10="휴무","1",X10="월차","1", X10="반차","1", X10="무단결근","0",X10="무단조퇴","0.5",X10="권장휴무","0",X10="권장조퇴","0.5",X10="예비군","1",X10="민방위","1",X10="지원","1",X10="파견","0")*$AZ10,0)</f>
        <v>0</v>
      </c>
      <c r="Y68" s="464" cm="1">
        <f t="array" ref="Y68">IFERROR(_xlfn.IFS(Y10="-","0",Y10="근무","1",Y10="휴무","1",Y10="월차","1", Y10="반차","1", Y10="무단결근","0",Y10="무단조퇴","0.5",Y10="권장휴무","0",Y10="권장조퇴","0.5",Y10="예비군","1",Y10="민방위","1",Y10="지원","1",Y10="파견","0")*$AZ10,0)</f>
        <v>0</v>
      </c>
      <c r="Z68" s="464" cm="1">
        <f t="array" ref="Z68">IFERROR(_xlfn.IFS(Z10="-","0",Z10="근무","1",Z10="휴무","1",Z10="월차","1", Z10="반차","1", Z10="무단결근","0",Z10="무단조퇴","0.5",Z10="권장휴무","0",Z10="권장조퇴","0.5",Z10="예비군","1",Z10="민방위","1",Z10="지원","1",Z10="파견","0")*$AZ10,0)</f>
        <v>0</v>
      </c>
      <c r="AA68" s="464" cm="1">
        <f t="array" ref="AA68">IFERROR(_xlfn.IFS(AA10="-","0",AA10="근무","1",AA10="휴무","1",AA10="월차","1", AA10="반차","1", AA10="무단결근","0",AA10="무단조퇴","0.5",AA10="권장휴무","0",AA10="권장조퇴","0.5",AA10="예비군","1",AA10="민방위","1",AA10="지원","1",AA10="파견","0")*$AZ10,0)</f>
        <v>0</v>
      </c>
      <c r="AB68" s="464" cm="1">
        <f t="array" ref="AB68">IFERROR(_xlfn.IFS(AB10="-","0",AB10="근무","1",AB10="휴무","1",AB10="월차","1", AB10="반차","1", AB10="무단결근","0",AB10="무단조퇴","0.5",AB10="권장휴무","0",AB10="권장조퇴","0.5",AB10="예비군","1",AB10="민방위","1",AB10="지원","1",AB10="파견","0")*$AZ10,0)</f>
        <v>0</v>
      </c>
      <c r="AC68" s="464" cm="1">
        <f t="array" ref="AC68">IFERROR(_xlfn.IFS(AC10="-","0",AC10="근무","1",AC10="휴무","1",AC10="월차","1", AC10="반차","1", AC10="무단결근","0",AC10="무단조퇴","0.5",AC10="권장휴무","0",AC10="권장조퇴","0.5",AC10="예비군","1",AC10="민방위","1",AC10="지원","1",AC10="파견","0")*$AZ10,0)</f>
        <v>0</v>
      </c>
      <c r="AD68" s="464" cm="1">
        <f t="array" ref="AD68">IFERROR(_xlfn.IFS(AD10="-","0",AD10="근무","1",AD10="휴무","1",AD10="월차","1", AD10="반차","1", AD10="무단결근","0",AD10="무단조퇴","0.5",AD10="권장휴무","0",AD10="권장조퇴","0.5",AD10="예비군","1",AD10="민방위","1",AD10="지원","1",AD10="파견","0")*$AZ10,0)</f>
        <v>0</v>
      </c>
      <c r="AE68" s="464" cm="1">
        <f t="array" ref="AE68">IFERROR(_xlfn.IFS(AE10="-","0",AE10="근무","1",AE10="휴무","1",AE10="월차","1", AE10="반차","1", AE10="무단결근","0",AE10="무단조퇴","0.5",AE10="권장휴무","0",AE10="권장조퇴","0.5",AE10="예비군","1",AE10="민방위","1",AE10="지원","1",AE10="파견","0")*$AZ10,0)</f>
        <v>0</v>
      </c>
      <c r="AF68" s="464" cm="1">
        <f t="array" ref="AF68">IFERROR(_xlfn.IFS(AF10="-","0",AF10="근무","1",AF10="휴무","1",AF10="월차","1", AF10="반차","1", AF10="무단결근","0",AF10="무단조퇴","0.5",AF10="권장휴무","0",AF10="권장조퇴","0.5",AF10="예비군","1",AF10="민방위","1",AF10="지원","1",AF10="파견","0")*$AZ10,0)</f>
        <v>0</v>
      </c>
      <c r="AG68" s="464" cm="1">
        <f t="array" ref="AG68">IFERROR(_xlfn.IFS(AG10="-","0",AG10="근무","1",AG10="휴무","1",AG10="월차","1", AG10="반차","1", AG10="무단결근","0",AG10="무단조퇴","0.5",AG10="권장휴무","0",AG10="권장조퇴","0.5",AG10="예비군","1",AG10="민방위","1",AG10="지원","1",AG10="파견","0")*$AZ10,0)</f>
        <v>0</v>
      </c>
      <c r="AH68" s="464" cm="1">
        <f t="array" ref="AH68">IFERROR(_xlfn.IFS(AH10="-","0",AH10="근무","1",AH10="휴무","1",AH10="월차","1", AH10="반차","1", AH10="무단결근","0",AH10="무단조퇴","0.5",AH10="권장휴무","0",AH10="권장조퇴","0.5",AH10="예비군","1",AH10="민방위","1",AH10="지원","1",AH10="파견","0")*$AZ10,0)</f>
        <v>0</v>
      </c>
      <c r="AI68" s="464" cm="1">
        <f t="array" ref="AI68">IFERROR(_xlfn.IFS(AI10="-","0",AI10="근무","1",AI10="휴무","1",AI10="월차","1", AI10="반차","1", AI10="무단결근","0",AI10="무단조퇴","0.5",AI10="권장휴무","0",AI10="권장조퇴","0.5",AI10="예비군","1",AI10="민방위","1",AI10="지원","1",AI10="파견","0")*$AZ10,0)</f>
        <v>0</v>
      </c>
      <c r="AJ68" s="464" cm="1">
        <f t="array" ref="AJ68">IFERROR(_xlfn.IFS(AJ10="-","0",AJ10="근무","1",AJ10="휴무","1",AJ10="월차","1", AJ10="반차","1", AJ10="무단결근","0",AJ10="무단조퇴","0.5",AJ10="권장휴무","0",AJ10="권장조퇴","0.5",AJ10="예비군","1",AJ10="민방위","1",AJ10="지원","1",AJ10="파견","0")*$AZ10,0)</f>
        <v>0</v>
      </c>
      <c r="AK68" s="464" cm="1">
        <f t="array" ref="AK68">IFERROR(_xlfn.IFS(AK10="-","0",AK10="근무","1",AK10="휴무","1",AK10="월차","1", AK10="반차","1", AK10="무단결근","0",AK10="무단조퇴","0.5",AK10="권장휴무","0",AK10="권장조퇴","0.5",AK10="예비군","1",AK10="민방위","1",AK10="지원","1",AK10="파견","0")*$AZ10,0)</f>
        <v>0</v>
      </c>
    </row>
    <row r="69" spans="2:37" s="6" customFormat="1" ht="21.95" hidden="1" customHeight="1" x14ac:dyDescent="0.25">
      <c r="B69" s="42">
        <f t="shared" si="28"/>
        <v>0</v>
      </c>
      <c r="C69" s="22" t="str">
        <f t="shared" si="28"/>
        <v>선택</v>
      </c>
      <c r="D69" s="22">
        <f t="shared" si="28"/>
        <v>0</v>
      </c>
      <c r="E69" s="21">
        <f t="shared" si="28"/>
        <v>0</v>
      </c>
      <c r="F69" s="21">
        <f t="shared" si="28"/>
        <v>0</v>
      </c>
      <c r="G69" s="463" cm="1">
        <f t="array" ref="G69">IFERROR(_xlfn.IFS(G11="-","0",G11="근무","1",G11="휴무","1",G11="월차","1", G11="반차","1", G11="무단결근","0",G11="무단조퇴","0.5",G11="권장휴무","0",G11="권장조퇴","0.5",G11="예비군","1",G11="민방위","1",G11="지원","1",G11="파견","0")*$AZ11,0)</f>
        <v>0</v>
      </c>
      <c r="H69" s="464" cm="1">
        <f t="array" ref="H69">IFERROR(_xlfn.IFS(H11="-","0",H11="근무","1",H11="휴무","1",H11="월차","1", H11="반차","1", H11="무단결근","0",H11="무단조퇴","0.5",H11="권장휴무","0",H11="권장조퇴","0.5",H11="예비군","1",H11="민방위","1",H11="지원","1",H11="파견","0")*$AZ11,0)</f>
        <v>0</v>
      </c>
      <c r="I69" s="464" cm="1">
        <f t="array" ref="I69">IFERROR(_xlfn.IFS(I11="-","0",I11="근무","1",I11="휴무","1",I11="월차","1", I11="반차","1", I11="무단결근","0",I11="무단조퇴","0.5",I11="권장휴무","0",I11="권장조퇴","0.5",I11="예비군","1",I11="민방위","1",I11="지원","1",I11="파견","0")*$AZ11,0)</f>
        <v>0</v>
      </c>
      <c r="J69" s="464" cm="1">
        <f t="array" ref="J69">IFERROR(_xlfn.IFS(J11="-","0",J11="근무","1",J11="휴무","1",J11="월차","1", J11="반차","1", J11="무단결근","0",J11="무단조퇴","0.5",J11="권장휴무","0",J11="권장조퇴","0.5",J11="예비군","1",J11="민방위","1",J11="지원","1",J11="파견","0")*$AZ11,0)</f>
        <v>0</v>
      </c>
      <c r="K69" s="464" cm="1">
        <f t="array" ref="K69">IFERROR(_xlfn.IFS(K11="-","0",K11="근무","1",K11="휴무","1",K11="월차","1", K11="반차","1", K11="무단결근","0",K11="무단조퇴","0.5",K11="권장휴무","0",K11="권장조퇴","0.5",K11="예비군","1",K11="민방위","1",K11="지원","1",K11="파견","0")*$AZ11,0)</f>
        <v>0</v>
      </c>
      <c r="L69" s="464" cm="1">
        <f t="array" ref="L69">IFERROR(_xlfn.IFS(L11="-","0",L11="근무","1",L11="휴무","1",L11="월차","1", L11="반차","1", L11="무단결근","0",L11="무단조퇴","0.5",L11="권장휴무","0",L11="권장조퇴","0.5",L11="예비군","1",L11="민방위","1",L11="지원","1",L11="파견","0")*$AZ11,0)</f>
        <v>0</v>
      </c>
      <c r="M69" s="464" cm="1">
        <f t="array" ref="M69">IFERROR(_xlfn.IFS(M11="-","0",M11="근무","1",M11="휴무","1",M11="월차","1", M11="반차","1", M11="무단결근","0",M11="무단조퇴","0.5",M11="권장휴무","0",M11="권장조퇴","0.5",M11="예비군","1",M11="민방위","1",M11="지원","1",M11="파견","0")*$AZ11,0)</f>
        <v>0</v>
      </c>
      <c r="N69" s="464" cm="1">
        <f t="array" ref="N69">IFERROR(_xlfn.IFS(N11="-","0",N11="근무","1",N11="휴무","1",N11="월차","1", N11="반차","1", N11="무단결근","0",N11="무단조퇴","0.5",N11="권장휴무","0",N11="권장조퇴","0.5",N11="예비군","1",N11="민방위","1",N11="지원","1",N11="파견","0")*$AZ11,0)</f>
        <v>0</v>
      </c>
      <c r="O69" s="464" cm="1">
        <f t="array" ref="O69">IFERROR(_xlfn.IFS(O11="-","0",O11="근무","1",O11="휴무","1",O11="월차","1", O11="반차","1", O11="무단결근","0",O11="무단조퇴","0.5",O11="권장휴무","0",O11="권장조퇴","0.5",O11="예비군","1",O11="민방위","1",O11="지원","1",O11="파견","0")*$AZ11,0)</f>
        <v>0</v>
      </c>
      <c r="P69" s="464" cm="1">
        <f t="array" ref="P69">IFERROR(_xlfn.IFS(P11="-","0",P11="근무","1",P11="휴무","1",P11="월차","1", P11="반차","1", P11="무단결근","0",P11="무단조퇴","0.5",P11="권장휴무","0",P11="권장조퇴","0.5",P11="예비군","1",P11="민방위","1",P11="지원","1",P11="파견","0")*$AZ11,0)</f>
        <v>0</v>
      </c>
      <c r="Q69" s="464" cm="1">
        <f t="array" ref="Q69">IFERROR(_xlfn.IFS(Q11="-","0",Q11="근무","1",Q11="휴무","1",Q11="월차","1", Q11="반차","1", Q11="무단결근","0",Q11="무단조퇴","0.5",Q11="권장휴무","0",Q11="권장조퇴","0.5",Q11="예비군","1",Q11="민방위","1",Q11="지원","1",Q11="파견","0")*$AZ11,0)</f>
        <v>0</v>
      </c>
      <c r="R69" s="464" cm="1">
        <f t="array" ref="R69">IFERROR(_xlfn.IFS(R11="-","0",R11="근무","1",R11="휴무","1",R11="월차","1", R11="반차","1", R11="무단결근","0",R11="무단조퇴","0.5",R11="권장휴무","0",R11="권장조퇴","0.5",R11="예비군","1",R11="민방위","1",R11="지원","1",R11="파견","0")*$AZ11,0)</f>
        <v>0</v>
      </c>
      <c r="S69" s="464" cm="1">
        <f t="array" ref="S69">IFERROR(_xlfn.IFS(S11="-","0",S11="근무","1",S11="휴무","1",S11="월차","1", S11="반차","1", S11="무단결근","0",S11="무단조퇴","0.5",S11="권장휴무","0",S11="권장조퇴","0.5",S11="예비군","1",S11="민방위","1",S11="지원","1",S11="파견","0")*$AZ11,0)</f>
        <v>0</v>
      </c>
      <c r="T69" s="464" cm="1">
        <f t="array" ref="T69">IFERROR(_xlfn.IFS(T11="-","0",T11="근무","1",T11="휴무","1",T11="월차","1", T11="반차","1", T11="무단결근","0",T11="무단조퇴","0.5",T11="권장휴무","0",T11="권장조퇴","0.5",T11="예비군","1",T11="민방위","1",T11="지원","1",T11="파견","0")*$AZ11,0)</f>
        <v>0</v>
      </c>
      <c r="U69" s="464" cm="1">
        <f t="array" ref="U69">IFERROR(_xlfn.IFS(U11="-","0",U11="근무","1",U11="휴무","1",U11="월차","1", U11="반차","1", U11="무단결근","0",U11="무단조퇴","0.5",U11="권장휴무","0",U11="권장조퇴","0.5",U11="예비군","1",U11="민방위","1",U11="지원","1",U11="파견","0")*$AZ11,0)</f>
        <v>0</v>
      </c>
      <c r="V69" s="464" cm="1">
        <f t="array" ref="V69">IFERROR(_xlfn.IFS(V11="-","0",V11="근무","1",V11="휴무","1",V11="월차","1", V11="반차","1", V11="무단결근","0",V11="무단조퇴","0.5",V11="권장휴무","0",V11="권장조퇴","0.5",V11="예비군","1",V11="민방위","1",V11="지원","1",V11="파견","0")*$AZ11,0)</f>
        <v>0</v>
      </c>
      <c r="W69" s="464" cm="1">
        <f t="array" ref="W69">IFERROR(_xlfn.IFS(W11="-","0",W11="근무","1",W11="휴무","1",W11="월차","1", W11="반차","1", W11="무단결근","0",W11="무단조퇴","0.5",W11="권장휴무","0",W11="권장조퇴","0.5",W11="예비군","1",W11="민방위","1",W11="지원","1",W11="파견","0")*$AZ11,0)</f>
        <v>0</v>
      </c>
      <c r="X69" s="464" cm="1">
        <f t="array" ref="X69">IFERROR(_xlfn.IFS(X11="-","0",X11="근무","1",X11="휴무","1",X11="월차","1", X11="반차","1", X11="무단결근","0",X11="무단조퇴","0.5",X11="권장휴무","0",X11="권장조퇴","0.5",X11="예비군","1",X11="민방위","1",X11="지원","1",X11="파견","0")*$AZ11,0)</f>
        <v>0</v>
      </c>
      <c r="Y69" s="464" cm="1">
        <f t="array" ref="Y69">IFERROR(_xlfn.IFS(Y11="-","0",Y11="근무","1",Y11="휴무","1",Y11="월차","1", Y11="반차","1", Y11="무단결근","0",Y11="무단조퇴","0.5",Y11="권장휴무","0",Y11="권장조퇴","0.5",Y11="예비군","1",Y11="민방위","1",Y11="지원","1",Y11="파견","0")*$AZ11,0)</f>
        <v>0</v>
      </c>
      <c r="Z69" s="464" cm="1">
        <f t="array" ref="Z69">IFERROR(_xlfn.IFS(Z11="-","0",Z11="근무","1",Z11="휴무","1",Z11="월차","1", Z11="반차","1", Z11="무단결근","0",Z11="무단조퇴","0.5",Z11="권장휴무","0",Z11="권장조퇴","0.5",Z11="예비군","1",Z11="민방위","1",Z11="지원","1",Z11="파견","0")*$AZ11,0)</f>
        <v>0</v>
      </c>
      <c r="AA69" s="464" cm="1">
        <f t="array" ref="AA69">IFERROR(_xlfn.IFS(AA11="-","0",AA11="근무","1",AA11="휴무","1",AA11="월차","1", AA11="반차","1", AA11="무단결근","0",AA11="무단조퇴","0.5",AA11="권장휴무","0",AA11="권장조퇴","0.5",AA11="예비군","1",AA11="민방위","1",AA11="지원","1",AA11="파견","0")*$AZ11,0)</f>
        <v>0</v>
      </c>
      <c r="AB69" s="464" cm="1">
        <f t="array" ref="AB69">IFERROR(_xlfn.IFS(AB11="-","0",AB11="근무","1",AB11="휴무","1",AB11="월차","1", AB11="반차","1", AB11="무단결근","0",AB11="무단조퇴","0.5",AB11="권장휴무","0",AB11="권장조퇴","0.5",AB11="예비군","1",AB11="민방위","1",AB11="지원","1",AB11="파견","0")*$AZ11,0)</f>
        <v>0</v>
      </c>
      <c r="AC69" s="464" cm="1">
        <f t="array" ref="AC69">IFERROR(_xlfn.IFS(AC11="-","0",AC11="근무","1",AC11="휴무","1",AC11="월차","1", AC11="반차","1", AC11="무단결근","0",AC11="무단조퇴","0.5",AC11="권장휴무","0",AC11="권장조퇴","0.5",AC11="예비군","1",AC11="민방위","1",AC11="지원","1",AC11="파견","0")*$AZ11,0)</f>
        <v>0</v>
      </c>
      <c r="AD69" s="464" cm="1">
        <f t="array" ref="AD69">IFERROR(_xlfn.IFS(AD11="-","0",AD11="근무","1",AD11="휴무","1",AD11="월차","1", AD11="반차","1", AD11="무단결근","0",AD11="무단조퇴","0.5",AD11="권장휴무","0",AD11="권장조퇴","0.5",AD11="예비군","1",AD11="민방위","1",AD11="지원","1",AD11="파견","0")*$AZ11,0)</f>
        <v>0</v>
      </c>
      <c r="AE69" s="464" cm="1">
        <f t="array" ref="AE69">IFERROR(_xlfn.IFS(AE11="-","0",AE11="근무","1",AE11="휴무","1",AE11="월차","1", AE11="반차","1", AE11="무단결근","0",AE11="무단조퇴","0.5",AE11="권장휴무","0",AE11="권장조퇴","0.5",AE11="예비군","1",AE11="민방위","1",AE11="지원","1",AE11="파견","0")*$AZ11,0)</f>
        <v>0</v>
      </c>
      <c r="AF69" s="464" cm="1">
        <f t="array" ref="AF69">IFERROR(_xlfn.IFS(AF11="-","0",AF11="근무","1",AF11="휴무","1",AF11="월차","1", AF11="반차","1", AF11="무단결근","0",AF11="무단조퇴","0.5",AF11="권장휴무","0",AF11="권장조퇴","0.5",AF11="예비군","1",AF11="민방위","1",AF11="지원","1",AF11="파견","0")*$AZ11,0)</f>
        <v>0</v>
      </c>
      <c r="AG69" s="464" cm="1">
        <f t="array" ref="AG69">IFERROR(_xlfn.IFS(AG11="-","0",AG11="근무","1",AG11="휴무","1",AG11="월차","1", AG11="반차","1", AG11="무단결근","0",AG11="무단조퇴","0.5",AG11="권장휴무","0",AG11="권장조퇴","0.5",AG11="예비군","1",AG11="민방위","1",AG11="지원","1",AG11="파견","0")*$AZ11,0)</f>
        <v>0</v>
      </c>
      <c r="AH69" s="464" cm="1">
        <f t="array" ref="AH69">IFERROR(_xlfn.IFS(AH11="-","0",AH11="근무","1",AH11="휴무","1",AH11="월차","1", AH11="반차","1", AH11="무단결근","0",AH11="무단조퇴","0.5",AH11="권장휴무","0",AH11="권장조퇴","0.5",AH11="예비군","1",AH11="민방위","1",AH11="지원","1",AH11="파견","0")*$AZ11,0)</f>
        <v>0</v>
      </c>
      <c r="AI69" s="464" cm="1">
        <f t="array" ref="AI69">IFERROR(_xlfn.IFS(AI11="-","0",AI11="근무","1",AI11="휴무","1",AI11="월차","1", AI11="반차","1", AI11="무단결근","0",AI11="무단조퇴","0.5",AI11="권장휴무","0",AI11="권장조퇴","0.5",AI11="예비군","1",AI11="민방위","1",AI11="지원","1",AI11="파견","0")*$AZ11,0)</f>
        <v>0</v>
      </c>
      <c r="AJ69" s="464" cm="1">
        <f t="array" ref="AJ69">IFERROR(_xlfn.IFS(AJ11="-","0",AJ11="근무","1",AJ11="휴무","1",AJ11="월차","1", AJ11="반차","1", AJ11="무단결근","0",AJ11="무단조퇴","0.5",AJ11="권장휴무","0",AJ11="권장조퇴","0.5",AJ11="예비군","1",AJ11="민방위","1",AJ11="지원","1",AJ11="파견","0")*$AZ11,0)</f>
        <v>0</v>
      </c>
      <c r="AK69" s="464" cm="1">
        <f t="array" ref="AK69">IFERROR(_xlfn.IFS(AK11="-","0",AK11="근무","1",AK11="휴무","1",AK11="월차","1", AK11="반차","1", AK11="무단결근","0",AK11="무단조퇴","0.5",AK11="권장휴무","0",AK11="권장조퇴","0.5",AK11="예비군","1",AK11="민방위","1",AK11="지원","1",AK11="파견","0")*$AZ11,0)</f>
        <v>0</v>
      </c>
    </row>
    <row r="70" spans="2:37" s="6" customFormat="1" ht="21.95" hidden="1" customHeight="1" x14ac:dyDescent="0.25">
      <c r="B70" s="42">
        <f t="shared" ref="B70:F83" si="29">B12</f>
        <v>0</v>
      </c>
      <c r="C70" s="22" t="str">
        <f t="shared" si="29"/>
        <v>선택</v>
      </c>
      <c r="D70" s="22">
        <f t="shared" si="29"/>
        <v>0</v>
      </c>
      <c r="E70" s="21">
        <f t="shared" si="29"/>
        <v>0</v>
      </c>
      <c r="F70" s="21">
        <f t="shared" si="29"/>
        <v>0</v>
      </c>
      <c r="G70" s="463" cm="1">
        <f t="array" ref="G70">IFERROR(_xlfn.IFS(G12="-","0",G12="근무","1",G12="휴무","1",G12="월차","1", G12="반차","1", G12="무단결근","0",G12="무단조퇴","0.5",G12="권장휴무","0",G12="권장조퇴","0.5",G12="예비군","1",G12="민방위","1",G12="지원","1",G12="파견","0")*$AZ12,0)</f>
        <v>0</v>
      </c>
      <c r="H70" s="464" cm="1">
        <f t="array" ref="H70">IFERROR(_xlfn.IFS(H12="-","0",H12="근무","1",H12="휴무","1",H12="월차","1", H12="반차","1", H12="무단결근","0",H12="무단조퇴","0.5",H12="권장휴무","0",H12="권장조퇴","0.5",H12="예비군","1",H12="민방위","1",H12="지원","1",H12="파견","0")*$AZ12,0)</f>
        <v>0</v>
      </c>
      <c r="I70" s="464" cm="1">
        <f t="array" ref="I70">IFERROR(_xlfn.IFS(I12="-","0",I12="근무","1",I12="휴무","1",I12="월차","1", I12="반차","1", I12="무단결근","0",I12="무단조퇴","0.5",I12="권장휴무","0",I12="권장조퇴","0.5",I12="예비군","1",I12="민방위","1",I12="지원","1",I12="파견","0")*$AZ12,0)</f>
        <v>0</v>
      </c>
      <c r="J70" s="464" cm="1">
        <f t="array" ref="J70">IFERROR(_xlfn.IFS(J12="-","0",J12="근무","1",J12="휴무","1",J12="월차","1", J12="반차","1", J12="무단결근","0",J12="무단조퇴","0.5",J12="권장휴무","0",J12="권장조퇴","0.5",J12="예비군","1",J12="민방위","1",J12="지원","1",J12="파견","0")*$AZ12,0)</f>
        <v>0</v>
      </c>
      <c r="K70" s="464" cm="1">
        <f t="array" ref="K70">IFERROR(_xlfn.IFS(K12="-","0",K12="근무","1",K12="휴무","1",K12="월차","1", K12="반차","1", K12="무단결근","0",K12="무단조퇴","0.5",K12="권장휴무","0",K12="권장조퇴","0.5",K12="예비군","1",K12="민방위","1",K12="지원","1",K12="파견","0")*$AZ12,0)</f>
        <v>0</v>
      </c>
      <c r="L70" s="464" cm="1">
        <f t="array" ref="L70">IFERROR(_xlfn.IFS(L12="-","0",L12="근무","1",L12="휴무","1",L12="월차","1", L12="반차","1", L12="무단결근","0",L12="무단조퇴","0.5",L12="권장휴무","0",L12="권장조퇴","0.5",L12="예비군","1",L12="민방위","1",L12="지원","1",L12="파견","0")*$AZ12,0)</f>
        <v>0</v>
      </c>
      <c r="M70" s="464" cm="1">
        <f t="array" ref="M70">IFERROR(_xlfn.IFS(M12="-","0",M12="근무","1",M12="휴무","1",M12="월차","1", M12="반차","1", M12="무단결근","0",M12="무단조퇴","0.5",M12="권장휴무","0",M12="권장조퇴","0.5",M12="예비군","1",M12="민방위","1",M12="지원","1",M12="파견","0")*$AZ12,0)</f>
        <v>0</v>
      </c>
      <c r="N70" s="464" cm="1">
        <f t="array" ref="N70">IFERROR(_xlfn.IFS(N12="-","0",N12="근무","1",N12="휴무","1",N12="월차","1", N12="반차","1", N12="무단결근","0",N12="무단조퇴","0.5",N12="권장휴무","0",N12="권장조퇴","0.5",N12="예비군","1",N12="민방위","1",N12="지원","1",N12="파견","0")*$AZ12,0)</f>
        <v>0</v>
      </c>
      <c r="O70" s="464" cm="1">
        <f t="array" ref="O70">IFERROR(_xlfn.IFS(O12="-","0",O12="근무","1",O12="휴무","1",O12="월차","1", O12="반차","1", O12="무단결근","0",O12="무단조퇴","0.5",O12="권장휴무","0",O12="권장조퇴","0.5",O12="예비군","1",O12="민방위","1",O12="지원","1",O12="파견","0")*$AZ12,0)</f>
        <v>0</v>
      </c>
      <c r="P70" s="464" cm="1">
        <f t="array" ref="P70">IFERROR(_xlfn.IFS(P12="-","0",P12="근무","1",P12="휴무","1",P12="월차","1", P12="반차","1", P12="무단결근","0",P12="무단조퇴","0.5",P12="권장휴무","0",P12="권장조퇴","0.5",P12="예비군","1",P12="민방위","1",P12="지원","1",P12="파견","0")*$AZ12,0)</f>
        <v>0</v>
      </c>
      <c r="Q70" s="464" cm="1">
        <f t="array" ref="Q70">IFERROR(_xlfn.IFS(Q12="-","0",Q12="근무","1",Q12="휴무","1",Q12="월차","1", Q12="반차","1", Q12="무단결근","0",Q12="무단조퇴","0.5",Q12="권장휴무","0",Q12="권장조퇴","0.5",Q12="예비군","1",Q12="민방위","1",Q12="지원","1",Q12="파견","0")*$AZ12,0)</f>
        <v>0</v>
      </c>
      <c r="R70" s="464" cm="1">
        <f t="array" ref="R70">IFERROR(_xlfn.IFS(R12="-","0",R12="근무","1",R12="휴무","1",R12="월차","1", R12="반차","1", R12="무단결근","0",R12="무단조퇴","0.5",R12="권장휴무","0",R12="권장조퇴","0.5",R12="예비군","1",R12="민방위","1",R12="지원","1",R12="파견","0")*$AZ12,0)</f>
        <v>0</v>
      </c>
      <c r="S70" s="464" cm="1">
        <f t="array" ref="S70">IFERROR(_xlfn.IFS(S12="-","0",S12="근무","1",S12="휴무","1",S12="월차","1", S12="반차","1", S12="무단결근","0",S12="무단조퇴","0.5",S12="권장휴무","0",S12="권장조퇴","0.5",S12="예비군","1",S12="민방위","1",S12="지원","1",S12="파견","0")*$AZ12,0)</f>
        <v>0</v>
      </c>
      <c r="T70" s="464" cm="1">
        <f t="array" ref="T70">IFERROR(_xlfn.IFS(T12="-","0",T12="근무","1",T12="휴무","1",T12="월차","1", T12="반차","1", T12="무단결근","0",T12="무단조퇴","0.5",T12="권장휴무","0",T12="권장조퇴","0.5",T12="예비군","1",T12="민방위","1",T12="지원","1",T12="파견","0")*$AZ12,0)</f>
        <v>0</v>
      </c>
      <c r="U70" s="464" cm="1">
        <f t="array" ref="U70">IFERROR(_xlfn.IFS(U12="-","0",U12="근무","1",U12="휴무","1",U12="월차","1", U12="반차","1", U12="무단결근","0",U12="무단조퇴","0.5",U12="권장휴무","0",U12="권장조퇴","0.5",U12="예비군","1",U12="민방위","1",U12="지원","1",U12="파견","0")*$AZ12,0)</f>
        <v>0</v>
      </c>
      <c r="V70" s="464" cm="1">
        <f t="array" ref="V70">IFERROR(_xlfn.IFS(V12="-","0",V12="근무","1",V12="휴무","1",V12="월차","1", V12="반차","1", V12="무단결근","0",V12="무단조퇴","0.5",V12="권장휴무","0",V12="권장조퇴","0.5",V12="예비군","1",V12="민방위","1",V12="지원","1",V12="파견","0")*$AZ12,0)</f>
        <v>0</v>
      </c>
      <c r="W70" s="464" cm="1">
        <f t="array" ref="W70">IFERROR(_xlfn.IFS(W12="-","0",W12="근무","1",W12="휴무","1",W12="월차","1", W12="반차","1", W12="무단결근","0",W12="무단조퇴","0.5",W12="권장휴무","0",W12="권장조퇴","0.5",W12="예비군","1",W12="민방위","1",W12="지원","1",W12="파견","0")*$AZ12,0)</f>
        <v>0</v>
      </c>
      <c r="X70" s="464" cm="1">
        <f t="array" ref="X70">IFERROR(_xlfn.IFS(X12="-","0",X12="근무","1",X12="휴무","1",X12="월차","1", X12="반차","1", X12="무단결근","0",X12="무단조퇴","0.5",X12="권장휴무","0",X12="권장조퇴","0.5",X12="예비군","1",X12="민방위","1",X12="지원","1",X12="파견","0")*$AZ12,0)</f>
        <v>0</v>
      </c>
      <c r="Y70" s="464" cm="1">
        <f t="array" ref="Y70">IFERROR(_xlfn.IFS(Y12="-","0",Y12="근무","1",Y12="휴무","1",Y12="월차","1", Y12="반차","1", Y12="무단결근","0",Y12="무단조퇴","0.5",Y12="권장휴무","0",Y12="권장조퇴","0.5",Y12="예비군","1",Y12="민방위","1",Y12="지원","1",Y12="파견","0")*$AZ12,0)</f>
        <v>0</v>
      </c>
      <c r="Z70" s="464" cm="1">
        <f t="array" ref="Z70">IFERROR(_xlfn.IFS(Z12="-","0",Z12="근무","1",Z12="휴무","1",Z12="월차","1", Z12="반차","1", Z12="무단결근","0",Z12="무단조퇴","0.5",Z12="권장휴무","0",Z12="권장조퇴","0.5",Z12="예비군","1",Z12="민방위","1",Z12="지원","1",Z12="파견","0")*$AZ12,0)</f>
        <v>0</v>
      </c>
      <c r="AA70" s="464" cm="1">
        <f t="array" ref="AA70">IFERROR(_xlfn.IFS(AA12="-","0",AA12="근무","1",AA12="휴무","1",AA12="월차","1", AA12="반차","1", AA12="무단결근","0",AA12="무단조퇴","0.5",AA12="권장휴무","0",AA12="권장조퇴","0.5",AA12="예비군","1",AA12="민방위","1",AA12="지원","1",AA12="파견","0")*$AZ12,0)</f>
        <v>0</v>
      </c>
      <c r="AB70" s="464" cm="1">
        <f t="array" ref="AB70">IFERROR(_xlfn.IFS(AB12="-","0",AB12="근무","1",AB12="휴무","1",AB12="월차","1", AB12="반차","1", AB12="무단결근","0",AB12="무단조퇴","0.5",AB12="권장휴무","0",AB12="권장조퇴","0.5",AB12="예비군","1",AB12="민방위","1",AB12="지원","1",AB12="파견","0")*$AZ12,0)</f>
        <v>0</v>
      </c>
      <c r="AC70" s="464" cm="1">
        <f t="array" ref="AC70">IFERROR(_xlfn.IFS(AC12="-","0",AC12="근무","1",AC12="휴무","1",AC12="월차","1", AC12="반차","1", AC12="무단결근","0",AC12="무단조퇴","0.5",AC12="권장휴무","0",AC12="권장조퇴","0.5",AC12="예비군","1",AC12="민방위","1",AC12="지원","1",AC12="파견","0")*$AZ12,0)</f>
        <v>0</v>
      </c>
      <c r="AD70" s="464" cm="1">
        <f t="array" ref="AD70">IFERROR(_xlfn.IFS(AD12="-","0",AD12="근무","1",AD12="휴무","1",AD12="월차","1", AD12="반차","1", AD12="무단결근","0",AD12="무단조퇴","0.5",AD12="권장휴무","0",AD12="권장조퇴","0.5",AD12="예비군","1",AD12="민방위","1",AD12="지원","1",AD12="파견","0")*$AZ12,0)</f>
        <v>0</v>
      </c>
      <c r="AE70" s="464" cm="1">
        <f t="array" ref="AE70">IFERROR(_xlfn.IFS(AE12="-","0",AE12="근무","1",AE12="휴무","1",AE12="월차","1", AE12="반차","1", AE12="무단결근","0",AE12="무단조퇴","0.5",AE12="권장휴무","0",AE12="권장조퇴","0.5",AE12="예비군","1",AE12="민방위","1",AE12="지원","1",AE12="파견","0")*$AZ12,0)</f>
        <v>0</v>
      </c>
      <c r="AF70" s="464" cm="1">
        <f t="array" ref="AF70">IFERROR(_xlfn.IFS(AF12="-","0",AF12="근무","1",AF12="휴무","1",AF12="월차","1", AF12="반차","1", AF12="무단결근","0",AF12="무단조퇴","0.5",AF12="권장휴무","0",AF12="권장조퇴","0.5",AF12="예비군","1",AF12="민방위","1",AF12="지원","1",AF12="파견","0")*$AZ12,0)</f>
        <v>0</v>
      </c>
      <c r="AG70" s="464" cm="1">
        <f t="array" ref="AG70">IFERROR(_xlfn.IFS(AG12="-","0",AG12="근무","1",AG12="휴무","1",AG12="월차","1", AG12="반차","1", AG12="무단결근","0",AG12="무단조퇴","0.5",AG12="권장휴무","0",AG12="권장조퇴","0.5",AG12="예비군","1",AG12="민방위","1",AG12="지원","1",AG12="파견","0")*$AZ12,0)</f>
        <v>0</v>
      </c>
      <c r="AH70" s="464" cm="1">
        <f t="array" ref="AH70">IFERROR(_xlfn.IFS(AH12="-","0",AH12="근무","1",AH12="휴무","1",AH12="월차","1", AH12="반차","1", AH12="무단결근","0",AH12="무단조퇴","0.5",AH12="권장휴무","0",AH12="권장조퇴","0.5",AH12="예비군","1",AH12="민방위","1",AH12="지원","1",AH12="파견","0")*$AZ12,0)</f>
        <v>0</v>
      </c>
      <c r="AI70" s="464" cm="1">
        <f t="array" ref="AI70">IFERROR(_xlfn.IFS(AI12="-","0",AI12="근무","1",AI12="휴무","1",AI12="월차","1", AI12="반차","1", AI12="무단결근","0",AI12="무단조퇴","0.5",AI12="권장휴무","0",AI12="권장조퇴","0.5",AI12="예비군","1",AI12="민방위","1",AI12="지원","1",AI12="파견","0")*$AZ12,0)</f>
        <v>0</v>
      </c>
      <c r="AJ70" s="464" cm="1">
        <f t="array" ref="AJ70">IFERROR(_xlfn.IFS(AJ12="-","0",AJ12="근무","1",AJ12="휴무","1",AJ12="월차","1", AJ12="반차","1", AJ12="무단결근","0",AJ12="무단조퇴","0.5",AJ12="권장휴무","0",AJ12="권장조퇴","0.5",AJ12="예비군","1",AJ12="민방위","1",AJ12="지원","1",AJ12="파견","0")*$AZ12,0)</f>
        <v>0</v>
      </c>
      <c r="AK70" s="464" cm="1">
        <f t="array" ref="AK70">IFERROR(_xlfn.IFS(AK12="-","0",AK12="근무","1",AK12="휴무","1",AK12="월차","1", AK12="반차","1", AK12="무단결근","0",AK12="무단조퇴","0.5",AK12="권장휴무","0",AK12="권장조퇴","0.5",AK12="예비군","1",AK12="민방위","1",AK12="지원","1",AK12="파견","0")*$AZ12,0)</f>
        <v>0</v>
      </c>
    </row>
    <row r="71" spans="2:37" s="6" customFormat="1" ht="21.95" hidden="1" customHeight="1" x14ac:dyDescent="0.25">
      <c r="B71" s="42">
        <f t="shared" si="29"/>
        <v>0</v>
      </c>
      <c r="C71" s="22" t="str">
        <f t="shared" si="29"/>
        <v>선택</v>
      </c>
      <c r="D71" s="22">
        <f t="shared" si="29"/>
        <v>0</v>
      </c>
      <c r="E71" s="21">
        <f t="shared" si="29"/>
        <v>0</v>
      </c>
      <c r="F71" s="21">
        <f t="shared" si="29"/>
        <v>0</v>
      </c>
      <c r="G71" s="463" cm="1">
        <f t="array" ref="G71">IFERROR(_xlfn.IFS(G13="-","0",G13="근무","1",G13="휴무","1",G13="월차","1", G13="반차","1", G13="무단결근","0",G13="무단조퇴","0.5",G13="권장휴무","0",G13="권장조퇴","0.5",G13="예비군","1",G13="민방위","1",G13="지원","1",G13="파견","0")*$AZ13,0)</f>
        <v>0</v>
      </c>
      <c r="H71" s="464" cm="1">
        <f t="array" ref="H71">IFERROR(_xlfn.IFS(H13="-","0",H13="근무","1",H13="휴무","1",H13="월차","1", H13="반차","1", H13="무단결근","0",H13="무단조퇴","0.5",H13="권장휴무","0",H13="권장조퇴","0.5",H13="예비군","1",H13="민방위","1",H13="지원","1",H13="파견","0")*$AZ13,0)</f>
        <v>0</v>
      </c>
      <c r="I71" s="464" cm="1">
        <f t="array" ref="I71">IFERROR(_xlfn.IFS(I13="-","0",I13="근무","1",I13="휴무","1",I13="월차","1", I13="반차","1", I13="무단결근","0",I13="무단조퇴","0.5",I13="권장휴무","0",I13="권장조퇴","0.5",I13="예비군","1",I13="민방위","1",I13="지원","1",I13="파견","0")*$AZ13,0)</f>
        <v>0</v>
      </c>
      <c r="J71" s="464" cm="1">
        <f t="array" ref="J71">IFERROR(_xlfn.IFS(J13="-","0",J13="근무","1",J13="휴무","1",J13="월차","1", J13="반차","1", J13="무단결근","0",J13="무단조퇴","0.5",J13="권장휴무","0",J13="권장조퇴","0.5",J13="예비군","1",J13="민방위","1",J13="지원","1",J13="파견","0")*$AZ13,0)</f>
        <v>0</v>
      </c>
      <c r="K71" s="464" cm="1">
        <f t="array" ref="K71">IFERROR(_xlfn.IFS(K13="-","0",K13="근무","1",K13="휴무","1",K13="월차","1", K13="반차","1", K13="무단결근","0",K13="무단조퇴","0.5",K13="권장휴무","0",K13="권장조퇴","0.5",K13="예비군","1",K13="민방위","1",K13="지원","1",K13="파견","0")*$AZ13,0)</f>
        <v>0</v>
      </c>
      <c r="L71" s="464" cm="1">
        <f t="array" ref="L71">IFERROR(_xlfn.IFS(L13="-","0",L13="근무","1",L13="휴무","1",L13="월차","1", L13="반차","1", L13="무단결근","0",L13="무단조퇴","0.5",L13="권장휴무","0",L13="권장조퇴","0.5",L13="예비군","1",L13="민방위","1",L13="지원","1",L13="파견","0")*$AZ13,0)</f>
        <v>0</v>
      </c>
      <c r="M71" s="464" cm="1">
        <f t="array" ref="M71">IFERROR(_xlfn.IFS(M13="-","0",M13="근무","1",M13="휴무","1",M13="월차","1", M13="반차","1", M13="무단결근","0",M13="무단조퇴","0.5",M13="권장휴무","0",M13="권장조퇴","0.5",M13="예비군","1",M13="민방위","1",M13="지원","1",M13="파견","0")*$AZ13,0)</f>
        <v>0</v>
      </c>
      <c r="N71" s="464" cm="1">
        <f t="array" ref="N71">IFERROR(_xlfn.IFS(N13="-","0",N13="근무","1",N13="휴무","1",N13="월차","1", N13="반차","1", N13="무단결근","0",N13="무단조퇴","0.5",N13="권장휴무","0",N13="권장조퇴","0.5",N13="예비군","1",N13="민방위","1",N13="지원","1",N13="파견","0")*$AZ13,0)</f>
        <v>0</v>
      </c>
      <c r="O71" s="464" cm="1">
        <f t="array" ref="O71">IFERROR(_xlfn.IFS(O13="-","0",O13="근무","1",O13="휴무","1",O13="월차","1", O13="반차","1", O13="무단결근","0",O13="무단조퇴","0.5",O13="권장휴무","0",O13="권장조퇴","0.5",O13="예비군","1",O13="민방위","1",O13="지원","1",O13="파견","0")*$AZ13,0)</f>
        <v>0</v>
      </c>
      <c r="P71" s="464" cm="1">
        <f t="array" ref="P71">IFERROR(_xlfn.IFS(P13="-","0",P13="근무","1",P13="휴무","1",P13="월차","1", P13="반차","1", P13="무단결근","0",P13="무단조퇴","0.5",P13="권장휴무","0",P13="권장조퇴","0.5",P13="예비군","1",P13="민방위","1",P13="지원","1",P13="파견","0")*$AZ13,0)</f>
        <v>0</v>
      </c>
      <c r="Q71" s="464" cm="1">
        <f t="array" ref="Q71">IFERROR(_xlfn.IFS(Q13="-","0",Q13="근무","1",Q13="휴무","1",Q13="월차","1", Q13="반차","1", Q13="무단결근","0",Q13="무단조퇴","0.5",Q13="권장휴무","0",Q13="권장조퇴","0.5",Q13="예비군","1",Q13="민방위","1",Q13="지원","1",Q13="파견","0")*$AZ13,0)</f>
        <v>0</v>
      </c>
      <c r="R71" s="464" cm="1">
        <f t="array" ref="R71">IFERROR(_xlfn.IFS(R13="-","0",R13="근무","1",R13="휴무","1",R13="월차","1", R13="반차","1", R13="무단결근","0",R13="무단조퇴","0.5",R13="권장휴무","0",R13="권장조퇴","0.5",R13="예비군","1",R13="민방위","1",R13="지원","1",R13="파견","0")*$AZ13,0)</f>
        <v>0</v>
      </c>
      <c r="S71" s="464" cm="1">
        <f t="array" ref="S71">IFERROR(_xlfn.IFS(S13="-","0",S13="근무","1",S13="휴무","1",S13="월차","1", S13="반차","1", S13="무단결근","0",S13="무단조퇴","0.5",S13="권장휴무","0",S13="권장조퇴","0.5",S13="예비군","1",S13="민방위","1",S13="지원","1",S13="파견","0")*$AZ13,0)</f>
        <v>0</v>
      </c>
      <c r="T71" s="464" cm="1">
        <f t="array" ref="T71">IFERROR(_xlfn.IFS(T13="-","0",T13="근무","1",T13="휴무","1",T13="월차","1", T13="반차","1", T13="무단결근","0",T13="무단조퇴","0.5",T13="권장휴무","0",T13="권장조퇴","0.5",T13="예비군","1",T13="민방위","1",T13="지원","1",T13="파견","0")*$AZ13,0)</f>
        <v>0</v>
      </c>
      <c r="U71" s="464" cm="1">
        <f t="array" ref="U71">IFERROR(_xlfn.IFS(U13="-","0",U13="근무","1",U13="휴무","1",U13="월차","1", U13="반차","1", U13="무단결근","0",U13="무단조퇴","0.5",U13="권장휴무","0",U13="권장조퇴","0.5",U13="예비군","1",U13="민방위","1",U13="지원","1",U13="파견","0")*$AZ13,0)</f>
        <v>0</v>
      </c>
      <c r="V71" s="464" cm="1">
        <f t="array" ref="V71">IFERROR(_xlfn.IFS(V13="-","0",V13="근무","1",V13="휴무","1",V13="월차","1", V13="반차","1", V13="무단결근","0",V13="무단조퇴","0.5",V13="권장휴무","0",V13="권장조퇴","0.5",V13="예비군","1",V13="민방위","1",V13="지원","1",V13="파견","0")*$AZ13,0)</f>
        <v>0</v>
      </c>
      <c r="W71" s="464" cm="1">
        <f t="array" ref="W71">IFERROR(_xlfn.IFS(W13="-","0",W13="근무","1",W13="휴무","1",W13="월차","1", W13="반차","1", W13="무단결근","0",W13="무단조퇴","0.5",W13="권장휴무","0",W13="권장조퇴","0.5",W13="예비군","1",W13="민방위","1",W13="지원","1",W13="파견","0")*$AZ13,0)</f>
        <v>0</v>
      </c>
      <c r="X71" s="464" cm="1">
        <f t="array" ref="X71">IFERROR(_xlfn.IFS(X13="-","0",X13="근무","1",X13="휴무","1",X13="월차","1", X13="반차","1", X13="무단결근","0",X13="무단조퇴","0.5",X13="권장휴무","0",X13="권장조퇴","0.5",X13="예비군","1",X13="민방위","1",X13="지원","1",X13="파견","0")*$AZ13,0)</f>
        <v>0</v>
      </c>
      <c r="Y71" s="464" cm="1">
        <f t="array" ref="Y71">IFERROR(_xlfn.IFS(Y13="-","0",Y13="근무","1",Y13="휴무","1",Y13="월차","1", Y13="반차","1", Y13="무단결근","0",Y13="무단조퇴","0.5",Y13="권장휴무","0",Y13="권장조퇴","0.5",Y13="예비군","1",Y13="민방위","1",Y13="지원","1",Y13="파견","0")*$AZ13,0)</f>
        <v>0</v>
      </c>
      <c r="Z71" s="464" cm="1">
        <f t="array" ref="Z71">IFERROR(_xlfn.IFS(Z13="-","0",Z13="근무","1",Z13="휴무","1",Z13="월차","1", Z13="반차","1", Z13="무단결근","0",Z13="무단조퇴","0.5",Z13="권장휴무","0",Z13="권장조퇴","0.5",Z13="예비군","1",Z13="민방위","1",Z13="지원","1",Z13="파견","0")*$AZ13,0)</f>
        <v>0</v>
      </c>
      <c r="AA71" s="464" cm="1">
        <f t="array" ref="AA71">IFERROR(_xlfn.IFS(AA13="-","0",AA13="근무","1",AA13="휴무","1",AA13="월차","1", AA13="반차","1", AA13="무단결근","0",AA13="무단조퇴","0.5",AA13="권장휴무","0",AA13="권장조퇴","0.5",AA13="예비군","1",AA13="민방위","1",AA13="지원","1",AA13="파견","0")*$AZ13,0)</f>
        <v>0</v>
      </c>
      <c r="AB71" s="464" cm="1">
        <f t="array" ref="AB71">IFERROR(_xlfn.IFS(AB13="-","0",AB13="근무","1",AB13="휴무","1",AB13="월차","1", AB13="반차","1", AB13="무단결근","0",AB13="무단조퇴","0.5",AB13="권장휴무","0",AB13="권장조퇴","0.5",AB13="예비군","1",AB13="민방위","1",AB13="지원","1",AB13="파견","0")*$AZ13,0)</f>
        <v>0</v>
      </c>
      <c r="AC71" s="464" cm="1">
        <f t="array" ref="AC71">IFERROR(_xlfn.IFS(AC13="-","0",AC13="근무","1",AC13="휴무","1",AC13="월차","1", AC13="반차","1", AC13="무단결근","0",AC13="무단조퇴","0.5",AC13="권장휴무","0",AC13="권장조퇴","0.5",AC13="예비군","1",AC13="민방위","1",AC13="지원","1",AC13="파견","0")*$AZ13,0)</f>
        <v>0</v>
      </c>
      <c r="AD71" s="464" cm="1">
        <f t="array" ref="AD71">IFERROR(_xlfn.IFS(AD13="-","0",AD13="근무","1",AD13="휴무","1",AD13="월차","1", AD13="반차","1", AD13="무단결근","0",AD13="무단조퇴","0.5",AD13="권장휴무","0",AD13="권장조퇴","0.5",AD13="예비군","1",AD13="민방위","1",AD13="지원","1",AD13="파견","0")*$AZ13,0)</f>
        <v>0</v>
      </c>
      <c r="AE71" s="464" cm="1">
        <f t="array" ref="AE71">IFERROR(_xlfn.IFS(AE13="-","0",AE13="근무","1",AE13="휴무","1",AE13="월차","1", AE13="반차","1", AE13="무단결근","0",AE13="무단조퇴","0.5",AE13="권장휴무","0",AE13="권장조퇴","0.5",AE13="예비군","1",AE13="민방위","1",AE13="지원","1",AE13="파견","0")*$AZ13,0)</f>
        <v>0</v>
      </c>
      <c r="AF71" s="464" cm="1">
        <f t="array" ref="AF71">IFERROR(_xlfn.IFS(AF13="-","0",AF13="근무","1",AF13="휴무","1",AF13="월차","1", AF13="반차","1", AF13="무단결근","0",AF13="무단조퇴","0.5",AF13="권장휴무","0",AF13="권장조퇴","0.5",AF13="예비군","1",AF13="민방위","1",AF13="지원","1",AF13="파견","0")*$AZ13,0)</f>
        <v>0</v>
      </c>
      <c r="AG71" s="464" cm="1">
        <f t="array" ref="AG71">IFERROR(_xlfn.IFS(AG13="-","0",AG13="근무","1",AG13="휴무","1",AG13="월차","1", AG13="반차","1", AG13="무단결근","0",AG13="무단조퇴","0.5",AG13="권장휴무","0",AG13="권장조퇴","0.5",AG13="예비군","1",AG13="민방위","1",AG13="지원","1",AG13="파견","0")*$AZ13,0)</f>
        <v>0</v>
      </c>
      <c r="AH71" s="464" cm="1">
        <f t="array" ref="AH71">IFERROR(_xlfn.IFS(AH13="-","0",AH13="근무","1",AH13="휴무","1",AH13="월차","1", AH13="반차","1", AH13="무단결근","0",AH13="무단조퇴","0.5",AH13="권장휴무","0",AH13="권장조퇴","0.5",AH13="예비군","1",AH13="민방위","1",AH13="지원","1",AH13="파견","0")*$AZ13,0)</f>
        <v>0</v>
      </c>
      <c r="AI71" s="464" cm="1">
        <f t="array" ref="AI71">IFERROR(_xlfn.IFS(AI13="-","0",AI13="근무","1",AI13="휴무","1",AI13="월차","1", AI13="반차","1", AI13="무단결근","0",AI13="무단조퇴","0.5",AI13="권장휴무","0",AI13="권장조퇴","0.5",AI13="예비군","1",AI13="민방위","1",AI13="지원","1",AI13="파견","0")*$AZ13,0)</f>
        <v>0</v>
      </c>
      <c r="AJ71" s="464" cm="1">
        <f t="array" ref="AJ71">IFERROR(_xlfn.IFS(AJ13="-","0",AJ13="근무","1",AJ13="휴무","1",AJ13="월차","1", AJ13="반차","1", AJ13="무단결근","0",AJ13="무단조퇴","0.5",AJ13="권장휴무","0",AJ13="권장조퇴","0.5",AJ13="예비군","1",AJ13="민방위","1",AJ13="지원","1",AJ13="파견","0")*$AZ13,0)</f>
        <v>0</v>
      </c>
      <c r="AK71" s="464" cm="1">
        <f t="array" ref="AK71">IFERROR(_xlfn.IFS(AK13="-","0",AK13="근무","1",AK13="휴무","1",AK13="월차","1", AK13="반차","1", AK13="무단결근","0",AK13="무단조퇴","0.5",AK13="권장휴무","0",AK13="권장조퇴","0.5",AK13="예비군","1",AK13="민방위","1",AK13="지원","1",AK13="파견","0")*$AZ13,0)</f>
        <v>0</v>
      </c>
    </row>
    <row r="72" spans="2:37" s="6" customFormat="1" ht="21.95" hidden="1" customHeight="1" x14ac:dyDescent="0.25">
      <c r="B72" s="42">
        <f t="shared" si="29"/>
        <v>0</v>
      </c>
      <c r="C72" s="22" t="str">
        <f t="shared" si="29"/>
        <v>선택</v>
      </c>
      <c r="D72" s="22">
        <f t="shared" si="29"/>
        <v>0</v>
      </c>
      <c r="E72" s="21">
        <f t="shared" si="29"/>
        <v>0</v>
      </c>
      <c r="F72" s="21">
        <f t="shared" si="29"/>
        <v>0</v>
      </c>
      <c r="G72" s="463" cm="1">
        <f t="array" ref="G72">IFERROR(_xlfn.IFS(G14="-","0",G14="근무","1",G14="휴무","1",G14="월차","1", G14="반차","1", G14="무단결근","0",G14="무단조퇴","0.5",G14="권장휴무","0",G14="권장조퇴","0.5",G14="예비군","1",G14="민방위","1",G14="지원","1",G14="파견","0")*$AZ14,0)</f>
        <v>0</v>
      </c>
      <c r="H72" s="464" cm="1">
        <f t="array" ref="H72">IFERROR(_xlfn.IFS(H14="-","0",H14="근무","1",H14="휴무","1",H14="월차","1", H14="반차","1", H14="무단결근","0",H14="무단조퇴","0.5",H14="권장휴무","0",H14="권장조퇴","0.5",H14="예비군","1",H14="민방위","1",H14="지원","1",H14="파견","0")*$AZ14,0)</f>
        <v>0</v>
      </c>
      <c r="I72" s="464" cm="1">
        <f t="array" ref="I72">IFERROR(_xlfn.IFS(I14="-","0",I14="근무","1",I14="휴무","1",I14="월차","1", I14="반차","1", I14="무단결근","0",I14="무단조퇴","0.5",I14="권장휴무","0",I14="권장조퇴","0.5",I14="예비군","1",I14="민방위","1",I14="지원","1",I14="파견","0")*$AZ14,0)</f>
        <v>0</v>
      </c>
      <c r="J72" s="464" cm="1">
        <f t="array" ref="J72">IFERROR(_xlfn.IFS(J14="-","0",J14="근무","1",J14="휴무","1",J14="월차","1", J14="반차","1", J14="무단결근","0",J14="무단조퇴","0.5",J14="권장휴무","0",J14="권장조퇴","0.5",J14="예비군","1",J14="민방위","1",J14="지원","1",J14="파견","0")*$AZ14,0)</f>
        <v>0</v>
      </c>
      <c r="K72" s="464" cm="1">
        <f t="array" ref="K72">IFERROR(_xlfn.IFS(K14="-","0",K14="근무","1",K14="휴무","1",K14="월차","1", K14="반차","1", K14="무단결근","0",K14="무단조퇴","0.5",K14="권장휴무","0",K14="권장조퇴","0.5",K14="예비군","1",K14="민방위","1",K14="지원","1",K14="파견","0")*$AZ14,0)</f>
        <v>0</v>
      </c>
      <c r="L72" s="464" cm="1">
        <f t="array" ref="L72">IFERROR(_xlfn.IFS(L14="-","0",L14="근무","1",L14="휴무","1",L14="월차","1", L14="반차","1", L14="무단결근","0",L14="무단조퇴","0.5",L14="권장휴무","0",L14="권장조퇴","0.5",L14="예비군","1",L14="민방위","1",L14="지원","1",L14="파견","0")*$AZ14,0)</f>
        <v>0</v>
      </c>
      <c r="M72" s="464" cm="1">
        <f t="array" ref="M72">IFERROR(_xlfn.IFS(M14="-","0",M14="근무","1",M14="휴무","1",M14="월차","1", M14="반차","1", M14="무단결근","0",M14="무단조퇴","0.5",M14="권장휴무","0",M14="권장조퇴","0.5",M14="예비군","1",M14="민방위","1",M14="지원","1",M14="파견","0")*$AZ14,0)</f>
        <v>0</v>
      </c>
      <c r="N72" s="464" cm="1">
        <f t="array" ref="N72">IFERROR(_xlfn.IFS(N14="-","0",N14="근무","1",N14="휴무","1",N14="월차","1", N14="반차","1", N14="무단결근","0",N14="무단조퇴","0.5",N14="권장휴무","0",N14="권장조퇴","0.5",N14="예비군","1",N14="민방위","1",N14="지원","1",N14="파견","0")*$AZ14,0)</f>
        <v>0</v>
      </c>
      <c r="O72" s="464" cm="1">
        <f t="array" ref="O72">IFERROR(_xlfn.IFS(O14="-","0",O14="근무","1",O14="휴무","1",O14="월차","1", O14="반차","1", O14="무단결근","0",O14="무단조퇴","0.5",O14="권장휴무","0",O14="권장조퇴","0.5",O14="예비군","1",O14="민방위","1",O14="지원","1",O14="파견","0")*$AZ14,0)</f>
        <v>0</v>
      </c>
      <c r="P72" s="464" cm="1">
        <f t="array" ref="P72">IFERROR(_xlfn.IFS(P14="-","0",P14="근무","1",P14="휴무","1",P14="월차","1", P14="반차","1", P14="무단결근","0",P14="무단조퇴","0.5",P14="권장휴무","0",P14="권장조퇴","0.5",P14="예비군","1",P14="민방위","1",P14="지원","1",P14="파견","0")*$AZ14,0)</f>
        <v>0</v>
      </c>
      <c r="Q72" s="464" cm="1">
        <f t="array" ref="Q72">IFERROR(_xlfn.IFS(Q14="-","0",Q14="근무","1",Q14="휴무","1",Q14="월차","1", Q14="반차","1", Q14="무단결근","0",Q14="무단조퇴","0.5",Q14="권장휴무","0",Q14="권장조퇴","0.5",Q14="예비군","1",Q14="민방위","1",Q14="지원","1",Q14="파견","0")*$AZ14,0)</f>
        <v>0</v>
      </c>
      <c r="R72" s="464" cm="1">
        <f t="array" ref="R72">IFERROR(_xlfn.IFS(R14="-","0",R14="근무","1",R14="휴무","1",R14="월차","1", R14="반차","1", R14="무단결근","0",R14="무단조퇴","0.5",R14="권장휴무","0",R14="권장조퇴","0.5",R14="예비군","1",R14="민방위","1",R14="지원","1",R14="파견","0")*$AZ14,0)</f>
        <v>0</v>
      </c>
      <c r="S72" s="464" cm="1">
        <f t="array" ref="S72">IFERROR(_xlfn.IFS(S14="-","0",S14="근무","1",S14="휴무","1",S14="월차","1", S14="반차","1", S14="무단결근","0",S14="무단조퇴","0.5",S14="권장휴무","0",S14="권장조퇴","0.5",S14="예비군","1",S14="민방위","1",S14="지원","1",S14="파견","0")*$AZ14,0)</f>
        <v>0</v>
      </c>
      <c r="T72" s="464" cm="1">
        <f t="array" ref="T72">IFERROR(_xlfn.IFS(T14="-","0",T14="근무","1",T14="휴무","1",T14="월차","1", T14="반차","1", T14="무단결근","0",T14="무단조퇴","0.5",T14="권장휴무","0",T14="권장조퇴","0.5",T14="예비군","1",T14="민방위","1",T14="지원","1",T14="파견","0")*$AZ14,0)</f>
        <v>0</v>
      </c>
      <c r="U72" s="464" cm="1">
        <f t="array" ref="U72">IFERROR(_xlfn.IFS(U14="-","0",U14="근무","1",U14="휴무","1",U14="월차","1", U14="반차","1", U14="무단결근","0",U14="무단조퇴","0.5",U14="권장휴무","0",U14="권장조퇴","0.5",U14="예비군","1",U14="민방위","1",U14="지원","1",U14="파견","0")*$AZ14,0)</f>
        <v>0</v>
      </c>
      <c r="V72" s="464" cm="1">
        <f t="array" ref="V72">IFERROR(_xlfn.IFS(V14="-","0",V14="근무","1",V14="휴무","1",V14="월차","1", V14="반차","1", V14="무단결근","0",V14="무단조퇴","0.5",V14="권장휴무","0",V14="권장조퇴","0.5",V14="예비군","1",V14="민방위","1",V14="지원","1",V14="파견","0")*$AZ14,0)</f>
        <v>0</v>
      </c>
      <c r="W72" s="464" cm="1">
        <f t="array" ref="W72">IFERROR(_xlfn.IFS(W14="-","0",W14="근무","1",W14="휴무","1",W14="월차","1", W14="반차","1", W14="무단결근","0",W14="무단조퇴","0.5",W14="권장휴무","0",W14="권장조퇴","0.5",W14="예비군","1",W14="민방위","1",W14="지원","1",W14="파견","0")*$AZ14,0)</f>
        <v>0</v>
      </c>
      <c r="X72" s="464" cm="1">
        <f t="array" ref="X72">IFERROR(_xlfn.IFS(X14="-","0",X14="근무","1",X14="휴무","1",X14="월차","1", X14="반차","1", X14="무단결근","0",X14="무단조퇴","0.5",X14="권장휴무","0",X14="권장조퇴","0.5",X14="예비군","1",X14="민방위","1",X14="지원","1",X14="파견","0")*$AZ14,0)</f>
        <v>0</v>
      </c>
      <c r="Y72" s="464" cm="1">
        <f t="array" ref="Y72">IFERROR(_xlfn.IFS(Y14="-","0",Y14="근무","1",Y14="휴무","1",Y14="월차","1", Y14="반차","1", Y14="무단결근","0",Y14="무단조퇴","0.5",Y14="권장휴무","0",Y14="권장조퇴","0.5",Y14="예비군","1",Y14="민방위","1",Y14="지원","1",Y14="파견","0")*$AZ14,0)</f>
        <v>0</v>
      </c>
      <c r="Z72" s="464" cm="1">
        <f t="array" ref="Z72">IFERROR(_xlfn.IFS(Z14="-","0",Z14="근무","1",Z14="휴무","1",Z14="월차","1", Z14="반차","1", Z14="무단결근","0",Z14="무단조퇴","0.5",Z14="권장휴무","0",Z14="권장조퇴","0.5",Z14="예비군","1",Z14="민방위","1",Z14="지원","1",Z14="파견","0")*$AZ14,0)</f>
        <v>0</v>
      </c>
      <c r="AA72" s="464" cm="1">
        <f t="array" ref="AA72">IFERROR(_xlfn.IFS(AA14="-","0",AA14="근무","1",AA14="휴무","1",AA14="월차","1", AA14="반차","1", AA14="무단결근","0",AA14="무단조퇴","0.5",AA14="권장휴무","0",AA14="권장조퇴","0.5",AA14="예비군","1",AA14="민방위","1",AA14="지원","1",AA14="파견","0")*$AZ14,0)</f>
        <v>0</v>
      </c>
      <c r="AB72" s="464" cm="1">
        <f t="array" ref="AB72">IFERROR(_xlfn.IFS(AB14="-","0",AB14="근무","1",AB14="휴무","1",AB14="월차","1", AB14="반차","1", AB14="무단결근","0",AB14="무단조퇴","0.5",AB14="권장휴무","0",AB14="권장조퇴","0.5",AB14="예비군","1",AB14="민방위","1",AB14="지원","1",AB14="파견","0")*$AZ14,0)</f>
        <v>0</v>
      </c>
      <c r="AC72" s="464" cm="1">
        <f t="array" ref="AC72">IFERROR(_xlfn.IFS(AC14="-","0",AC14="근무","1",AC14="휴무","1",AC14="월차","1", AC14="반차","1", AC14="무단결근","0",AC14="무단조퇴","0.5",AC14="권장휴무","0",AC14="권장조퇴","0.5",AC14="예비군","1",AC14="민방위","1",AC14="지원","1",AC14="파견","0")*$AZ14,0)</f>
        <v>0</v>
      </c>
      <c r="AD72" s="464" cm="1">
        <f t="array" ref="AD72">IFERROR(_xlfn.IFS(AD14="-","0",AD14="근무","1",AD14="휴무","1",AD14="월차","1", AD14="반차","1", AD14="무단결근","0",AD14="무단조퇴","0.5",AD14="권장휴무","0",AD14="권장조퇴","0.5",AD14="예비군","1",AD14="민방위","1",AD14="지원","1",AD14="파견","0")*$AZ14,0)</f>
        <v>0</v>
      </c>
      <c r="AE72" s="464" cm="1">
        <f t="array" ref="AE72">IFERROR(_xlfn.IFS(AE14="-","0",AE14="근무","1",AE14="휴무","1",AE14="월차","1", AE14="반차","1", AE14="무단결근","0",AE14="무단조퇴","0.5",AE14="권장휴무","0",AE14="권장조퇴","0.5",AE14="예비군","1",AE14="민방위","1",AE14="지원","1",AE14="파견","0")*$AZ14,0)</f>
        <v>0</v>
      </c>
      <c r="AF72" s="464" cm="1">
        <f t="array" ref="AF72">IFERROR(_xlfn.IFS(AF14="-","0",AF14="근무","1",AF14="휴무","1",AF14="월차","1", AF14="반차","1", AF14="무단결근","0",AF14="무단조퇴","0.5",AF14="권장휴무","0",AF14="권장조퇴","0.5",AF14="예비군","1",AF14="민방위","1",AF14="지원","1",AF14="파견","0")*$AZ14,0)</f>
        <v>0</v>
      </c>
      <c r="AG72" s="464" cm="1">
        <f t="array" ref="AG72">IFERROR(_xlfn.IFS(AG14="-","0",AG14="근무","1",AG14="휴무","1",AG14="월차","1", AG14="반차","1", AG14="무단결근","0",AG14="무단조퇴","0.5",AG14="권장휴무","0",AG14="권장조퇴","0.5",AG14="예비군","1",AG14="민방위","1",AG14="지원","1",AG14="파견","0")*$AZ14,0)</f>
        <v>0</v>
      </c>
      <c r="AH72" s="464" cm="1">
        <f t="array" ref="AH72">IFERROR(_xlfn.IFS(AH14="-","0",AH14="근무","1",AH14="휴무","1",AH14="월차","1", AH14="반차","1", AH14="무단결근","0",AH14="무단조퇴","0.5",AH14="권장휴무","0",AH14="권장조퇴","0.5",AH14="예비군","1",AH14="민방위","1",AH14="지원","1",AH14="파견","0")*$AZ14,0)</f>
        <v>0</v>
      </c>
      <c r="AI72" s="464" cm="1">
        <f t="array" ref="AI72">IFERROR(_xlfn.IFS(AI14="-","0",AI14="근무","1",AI14="휴무","1",AI14="월차","1", AI14="반차","1", AI14="무단결근","0",AI14="무단조퇴","0.5",AI14="권장휴무","0",AI14="권장조퇴","0.5",AI14="예비군","1",AI14="민방위","1",AI14="지원","1",AI14="파견","0")*$AZ14,0)</f>
        <v>0</v>
      </c>
      <c r="AJ72" s="464" cm="1">
        <f t="array" ref="AJ72">IFERROR(_xlfn.IFS(AJ14="-","0",AJ14="근무","1",AJ14="휴무","1",AJ14="월차","1", AJ14="반차","1", AJ14="무단결근","0",AJ14="무단조퇴","0.5",AJ14="권장휴무","0",AJ14="권장조퇴","0.5",AJ14="예비군","1",AJ14="민방위","1",AJ14="지원","1",AJ14="파견","0")*$AZ14,0)</f>
        <v>0</v>
      </c>
      <c r="AK72" s="464" cm="1">
        <f t="array" ref="AK72">IFERROR(_xlfn.IFS(AK14="-","0",AK14="근무","1",AK14="휴무","1",AK14="월차","1", AK14="반차","1", AK14="무단결근","0",AK14="무단조퇴","0.5",AK14="권장휴무","0",AK14="권장조퇴","0.5",AK14="예비군","1",AK14="민방위","1",AK14="지원","1",AK14="파견","0")*$AZ14,0)</f>
        <v>0</v>
      </c>
    </row>
    <row r="73" spans="2:37" s="6" customFormat="1" ht="21.95" hidden="1" customHeight="1" x14ac:dyDescent="0.25">
      <c r="B73" s="42">
        <f t="shared" si="29"/>
        <v>0</v>
      </c>
      <c r="C73" s="22" t="str">
        <f t="shared" si="29"/>
        <v>선택</v>
      </c>
      <c r="D73" s="22">
        <f t="shared" si="29"/>
        <v>0</v>
      </c>
      <c r="E73" s="21">
        <f t="shared" si="29"/>
        <v>0</v>
      </c>
      <c r="F73" s="21">
        <f t="shared" si="29"/>
        <v>0</v>
      </c>
      <c r="G73" s="463" cm="1">
        <f t="array" ref="G73">IFERROR(_xlfn.IFS(G15="-","0",G15="근무","1",G15="휴무","1",G15="월차","1", G15="반차","1", G15="무단결근","0",G15="무단조퇴","0.5",G15="권장휴무","0",G15="권장조퇴","0.5",G15="예비군","1",G15="민방위","1",G15="지원","1",G15="파견","0")*$AZ15,0)</f>
        <v>0</v>
      </c>
      <c r="H73" s="464" cm="1">
        <f t="array" ref="H73">IFERROR(_xlfn.IFS(H15="-","0",H15="근무","1",H15="휴무","1",H15="월차","1", H15="반차","1", H15="무단결근","0",H15="무단조퇴","0.5",H15="권장휴무","0",H15="권장조퇴","0.5",H15="예비군","1",H15="민방위","1",H15="지원","1",H15="파견","0")*$AZ15,0)</f>
        <v>0</v>
      </c>
      <c r="I73" s="464" cm="1">
        <f t="array" ref="I73">IFERROR(_xlfn.IFS(I15="-","0",I15="근무","1",I15="휴무","1",I15="월차","1", I15="반차","1", I15="무단결근","0",I15="무단조퇴","0.5",I15="권장휴무","0",I15="권장조퇴","0.5",I15="예비군","1",I15="민방위","1",I15="지원","1",I15="파견","0")*$AZ15,0)</f>
        <v>0</v>
      </c>
      <c r="J73" s="464" cm="1">
        <f t="array" ref="J73">IFERROR(_xlfn.IFS(J15="-","0",J15="근무","1",J15="휴무","1",J15="월차","1", J15="반차","1", J15="무단결근","0",J15="무단조퇴","0.5",J15="권장휴무","0",J15="권장조퇴","0.5",J15="예비군","1",J15="민방위","1",J15="지원","1",J15="파견","0")*$AZ15,0)</f>
        <v>0</v>
      </c>
      <c r="K73" s="464" cm="1">
        <f t="array" ref="K73">IFERROR(_xlfn.IFS(K15="-","0",K15="근무","1",K15="휴무","1",K15="월차","1", K15="반차","1", K15="무단결근","0",K15="무단조퇴","0.5",K15="권장휴무","0",K15="권장조퇴","0.5",K15="예비군","1",K15="민방위","1",K15="지원","1",K15="파견","0")*$AZ15,0)</f>
        <v>0</v>
      </c>
      <c r="L73" s="464" cm="1">
        <f t="array" ref="L73">IFERROR(_xlfn.IFS(L15="-","0",L15="근무","1",L15="휴무","1",L15="월차","1", L15="반차","1", L15="무단결근","0",L15="무단조퇴","0.5",L15="권장휴무","0",L15="권장조퇴","0.5",L15="예비군","1",L15="민방위","1",L15="지원","1",L15="파견","0")*$AZ15,0)</f>
        <v>0</v>
      </c>
      <c r="M73" s="464" cm="1">
        <f t="array" ref="M73">IFERROR(_xlfn.IFS(M15="-","0",M15="근무","1",M15="휴무","1",M15="월차","1", M15="반차","1", M15="무단결근","0",M15="무단조퇴","0.5",M15="권장휴무","0",M15="권장조퇴","0.5",M15="예비군","1",M15="민방위","1",M15="지원","1",M15="파견","0")*$AZ15,0)</f>
        <v>0</v>
      </c>
      <c r="N73" s="464" cm="1">
        <f t="array" ref="N73">IFERROR(_xlfn.IFS(N15="-","0",N15="근무","1",N15="휴무","1",N15="월차","1", N15="반차","1", N15="무단결근","0",N15="무단조퇴","0.5",N15="권장휴무","0",N15="권장조퇴","0.5",N15="예비군","1",N15="민방위","1",N15="지원","1",N15="파견","0")*$AZ15,0)</f>
        <v>0</v>
      </c>
      <c r="O73" s="464" cm="1">
        <f t="array" ref="O73">IFERROR(_xlfn.IFS(O15="-","0",O15="근무","1",O15="휴무","1",O15="월차","1", O15="반차","1", O15="무단결근","0",O15="무단조퇴","0.5",O15="권장휴무","0",O15="권장조퇴","0.5",O15="예비군","1",O15="민방위","1",O15="지원","1",O15="파견","0")*$AZ15,0)</f>
        <v>0</v>
      </c>
      <c r="P73" s="464" cm="1">
        <f t="array" ref="P73">IFERROR(_xlfn.IFS(P15="-","0",P15="근무","1",P15="휴무","1",P15="월차","1", P15="반차","1", P15="무단결근","0",P15="무단조퇴","0.5",P15="권장휴무","0",P15="권장조퇴","0.5",P15="예비군","1",P15="민방위","1",P15="지원","1",P15="파견","0")*$AZ15,0)</f>
        <v>0</v>
      </c>
      <c r="Q73" s="464" cm="1">
        <f t="array" ref="Q73">IFERROR(_xlfn.IFS(Q15="-","0",Q15="근무","1",Q15="휴무","1",Q15="월차","1", Q15="반차","1", Q15="무단결근","0",Q15="무단조퇴","0.5",Q15="권장휴무","0",Q15="권장조퇴","0.5",Q15="예비군","1",Q15="민방위","1",Q15="지원","1",Q15="파견","0")*$AZ15,0)</f>
        <v>0</v>
      </c>
      <c r="R73" s="464" cm="1">
        <f t="array" ref="R73">IFERROR(_xlfn.IFS(R15="-","0",R15="근무","1",R15="휴무","1",R15="월차","1", R15="반차","1", R15="무단결근","0",R15="무단조퇴","0.5",R15="권장휴무","0",R15="권장조퇴","0.5",R15="예비군","1",R15="민방위","1",R15="지원","1",R15="파견","0")*$AZ15,0)</f>
        <v>0</v>
      </c>
      <c r="S73" s="464" cm="1">
        <f t="array" ref="S73">IFERROR(_xlfn.IFS(S15="-","0",S15="근무","1",S15="휴무","1",S15="월차","1", S15="반차","1", S15="무단결근","0",S15="무단조퇴","0.5",S15="권장휴무","0",S15="권장조퇴","0.5",S15="예비군","1",S15="민방위","1",S15="지원","1",S15="파견","0")*$AZ15,0)</f>
        <v>0</v>
      </c>
      <c r="T73" s="464" cm="1">
        <f t="array" ref="T73">IFERROR(_xlfn.IFS(T15="-","0",T15="근무","1",T15="휴무","1",T15="월차","1", T15="반차","1", T15="무단결근","0",T15="무단조퇴","0.5",T15="권장휴무","0",T15="권장조퇴","0.5",T15="예비군","1",T15="민방위","1",T15="지원","1",T15="파견","0")*$AZ15,0)</f>
        <v>0</v>
      </c>
      <c r="U73" s="464" cm="1">
        <f t="array" ref="U73">IFERROR(_xlfn.IFS(U15="-","0",U15="근무","1",U15="휴무","1",U15="월차","1", U15="반차","1", U15="무단결근","0",U15="무단조퇴","0.5",U15="권장휴무","0",U15="권장조퇴","0.5",U15="예비군","1",U15="민방위","1",U15="지원","1",U15="파견","0")*$AZ15,0)</f>
        <v>0</v>
      </c>
      <c r="V73" s="464" cm="1">
        <f t="array" ref="V73">IFERROR(_xlfn.IFS(V15="-","0",V15="근무","1",V15="휴무","1",V15="월차","1", V15="반차","1", V15="무단결근","0",V15="무단조퇴","0.5",V15="권장휴무","0",V15="권장조퇴","0.5",V15="예비군","1",V15="민방위","1",V15="지원","1",V15="파견","0")*$AZ15,0)</f>
        <v>0</v>
      </c>
      <c r="W73" s="464" cm="1">
        <f t="array" ref="W73">IFERROR(_xlfn.IFS(W15="-","0",W15="근무","1",W15="휴무","1",W15="월차","1", W15="반차","1", W15="무단결근","0",W15="무단조퇴","0.5",W15="권장휴무","0",W15="권장조퇴","0.5",W15="예비군","1",W15="민방위","1",W15="지원","1",W15="파견","0")*$AZ15,0)</f>
        <v>0</v>
      </c>
      <c r="X73" s="464" cm="1">
        <f t="array" ref="X73">IFERROR(_xlfn.IFS(X15="-","0",X15="근무","1",X15="휴무","1",X15="월차","1", X15="반차","1", X15="무단결근","0",X15="무단조퇴","0.5",X15="권장휴무","0",X15="권장조퇴","0.5",X15="예비군","1",X15="민방위","1",X15="지원","1",X15="파견","0")*$AZ15,0)</f>
        <v>0</v>
      </c>
      <c r="Y73" s="464" cm="1">
        <f t="array" ref="Y73">IFERROR(_xlfn.IFS(Y15="-","0",Y15="근무","1",Y15="휴무","1",Y15="월차","1", Y15="반차","1", Y15="무단결근","0",Y15="무단조퇴","0.5",Y15="권장휴무","0",Y15="권장조퇴","0.5",Y15="예비군","1",Y15="민방위","1",Y15="지원","1",Y15="파견","0")*$AZ15,0)</f>
        <v>0</v>
      </c>
      <c r="Z73" s="464" cm="1">
        <f t="array" ref="Z73">IFERROR(_xlfn.IFS(Z15="-","0",Z15="근무","1",Z15="휴무","1",Z15="월차","1", Z15="반차","1", Z15="무단결근","0",Z15="무단조퇴","0.5",Z15="권장휴무","0",Z15="권장조퇴","0.5",Z15="예비군","1",Z15="민방위","1",Z15="지원","1",Z15="파견","0")*$AZ15,0)</f>
        <v>0</v>
      </c>
      <c r="AA73" s="464" cm="1">
        <f t="array" ref="AA73">IFERROR(_xlfn.IFS(AA15="-","0",AA15="근무","1",AA15="휴무","1",AA15="월차","1", AA15="반차","1", AA15="무단결근","0",AA15="무단조퇴","0.5",AA15="권장휴무","0",AA15="권장조퇴","0.5",AA15="예비군","1",AA15="민방위","1",AA15="지원","1",AA15="파견","0")*$AZ15,0)</f>
        <v>0</v>
      </c>
      <c r="AB73" s="464" cm="1">
        <f t="array" ref="AB73">IFERROR(_xlfn.IFS(AB15="-","0",AB15="근무","1",AB15="휴무","1",AB15="월차","1", AB15="반차","1", AB15="무단결근","0",AB15="무단조퇴","0.5",AB15="권장휴무","0",AB15="권장조퇴","0.5",AB15="예비군","1",AB15="민방위","1",AB15="지원","1",AB15="파견","0")*$AZ15,0)</f>
        <v>0</v>
      </c>
      <c r="AC73" s="464" cm="1">
        <f t="array" ref="AC73">IFERROR(_xlfn.IFS(AC15="-","0",AC15="근무","1",AC15="휴무","1",AC15="월차","1", AC15="반차","1", AC15="무단결근","0",AC15="무단조퇴","0.5",AC15="권장휴무","0",AC15="권장조퇴","0.5",AC15="예비군","1",AC15="민방위","1",AC15="지원","1",AC15="파견","0")*$AZ15,0)</f>
        <v>0</v>
      </c>
      <c r="AD73" s="464" cm="1">
        <f t="array" ref="AD73">IFERROR(_xlfn.IFS(AD15="-","0",AD15="근무","1",AD15="휴무","1",AD15="월차","1", AD15="반차","1", AD15="무단결근","0",AD15="무단조퇴","0.5",AD15="권장휴무","0",AD15="권장조퇴","0.5",AD15="예비군","1",AD15="민방위","1",AD15="지원","1",AD15="파견","0")*$AZ15,0)</f>
        <v>0</v>
      </c>
      <c r="AE73" s="464" cm="1">
        <f t="array" ref="AE73">IFERROR(_xlfn.IFS(AE15="-","0",AE15="근무","1",AE15="휴무","1",AE15="월차","1", AE15="반차","1", AE15="무단결근","0",AE15="무단조퇴","0.5",AE15="권장휴무","0",AE15="권장조퇴","0.5",AE15="예비군","1",AE15="민방위","1",AE15="지원","1",AE15="파견","0")*$AZ15,0)</f>
        <v>0</v>
      </c>
      <c r="AF73" s="464" cm="1">
        <f t="array" ref="AF73">IFERROR(_xlfn.IFS(AF15="-","0",AF15="근무","1",AF15="휴무","1",AF15="월차","1", AF15="반차","1", AF15="무단결근","0",AF15="무단조퇴","0.5",AF15="권장휴무","0",AF15="권장조퇴","0.5",AF15="예비군","1",AF15="민방위","1",AF15="지원","1",AF15="파견","0")*$AZ15,0)</f>
        <v>0</v>
      </c>
      <c r="AG73" s="464" cm="1">
        <f t="array" ref="AG73">IFERROR(_xlfn.IFS(AG15="-","0",AG15="근무","1",AG15="휴무","1",AG15="월차","1", AG15="반차","1", AG15="무단결근","0",AG15="무단조퇴","0.5",AG15="권장휴무","0",AG15="권장조퇴","0.5",AG15="예비군","1",AG15="민방위","1",AG15="지원","1",AG15="파견","0")*$AZ15,0)</f>
        <v>0</v>
      </c>
      <c r="AH73" s="464" cm="1">
        <f t="array" ref="AH73">IFERROR(_xlfn.IFS(AH15="-","0",AH15="근무","1",AH15="휴무","1",AH15="월차","1", AH15="반차","1", AH15="무단결근","0",AH15="무단조퇴","0.5",AH15="권장휴무","0",AH15="권장조퇴","0.5",AH15="예비군","1",AH15="민방위","1",AH15="지원","1",AH15="파견","0")*$AZ15,0)</f>
        <v>0</v>
      </c>
      <c r="AI73" s="464" cm="1">
        <f t="array" ref="AI73">IFERROR(_xlfn.IFS(AI15="-","0",AI15="근무","1",AI15="휴무","1",AI15="월차","1", AI15="반차","1", AI15="무단결근","0",AI15="무단조퇴","0.5",AI15="권장휴무","0",AI15="권장조퇴","0.5",AI15="예비군","1",AI15="민방위","1",AI15="지원","1",AI15="파견","0")*$AZ15,0)</f>
        <v>0</v>
      </c>
      <c r="AJ73" s="464" cm="1">
        <f t="array" ref="AJ73">IFERROR(_xlfn.IFS(AJ15="-","0",AJ15="근무","1",AJ15="휴무","1",AJ15="월차","1", AJ15="반차","1", AJ15="무단결근","0",AJ15="무단조퇴","0.5",AJ15="권장휴무","0",AJ15="권장조퇴","0.5",AJ15="예비군","1",AJ15="민방위","1",AJ15="지원","1",AJ15="파견","0")*$AZ15,0)</f>
        <v>0</v>
      </c>
      <c r="AK73" s="464" cm="1">
        <f t="array" ref="AK73">IFERROR(_xlfn.IFS(AK15="-","0",AK15="근무","1",AK15="휴무","1",AK15="월차","1", AK15="반차","1", AK15="무단결근","0",AK15="무단조퇴","0.5",AK15="권장휴무","0",AK15="권장조퇴","0.5",AK15="예비군","1",AK15="민방위","1",AK15="지원","1",AK15="파견","0")*$AZ15,0)</f>
        <v>0</v>
      </c>
    </row>
    <row r="74" spans="2:37" s="6" customFormat="1" ht="21.95" hidden="1" customHeight="1" x14ac:dyDescent="0.25">
      <c r="B74" s="42" t="str">
        <f t="shared" si="29"/>
        <v>김지용</v>
      </c>
      <c r="C74" s="22" t="str">
        <f t="shared" si="29"/>
        <v>선택</v>
      </c>
      <c r="D74" s="22">
        <f t="shared" si="29"/>
        <v>0</v>
      </c>
      <c r="E74" s="21">
        <f t="shared" si="29"/>
        <v>46113</v>
      </c>
      <c r="F74" s="21">
        <f t="shared" si="29"/>
        <v>0</v>
      </c>
      <c r="G74" s="463" cm="1">
        <f t="array" ref="G74">IFERROR(_xlfn.IFS(G16="-","0",G16="근무","1",G16="휴무","1",G16="월차","1", G16="반차","1", G16="무단결근","0",G16="무단조퇴","0.5",G16="권장휴무","0",G16="권장조퇴","0.5",G16="예비군","1",G16="민방위","1",G16="지원","1",G16="파견","0")*$AZ16,0)</f>
        <v>133333.33333333334</v>
      </c>
      <c r="H74" s="464" cm="1">
        <f t="array" ref="H74">IFERROR(_xlfn.IFS(H16="-","0",H16="근무","1",H16="휴무","1",H16="월차","1", H16="반차","1", H16="무단결근","0",H16="무단조퇴","0.5",H16="권장휴무","0",H16="권장조퇴","0.5",H16="예비군","1",H16="민방위","1",H16="지원","1",H16="파견","0")*$AZ16,0)</f>
        <v>133333.33333333334</v>
      </c>
      <c r="I74" s="464" cm="1">
        <f t="array" ref="I74">IFERROR(_xlfn.IFS(I16="-","0",I16="근무","1",I16="휴무","1",I16="월차","1", I16="반차","1", I16="무단결근","0",I16="무단조퇴","0.5",I16="권장휴무","0",I16="권장조퇴","0.5",I16="예비군","1",I16="민방위","1",I16="지원","1",I16="파견","0")*$AZ16,0)</f>
        <v>133333.33333333334</v>
      </c>
      <c r="J74" s="464" cm="1">
        <f t="array" ref="J74">IFERROR(_xlfn.IFS(J16="-","0",J16="근무","1",J16="휴무","1",J16="월차","1", J16="반차","1", J16="무단결근","0",J16="무단조퇴","0.5",J16="권장휴무","0",J16="권장조퇴","0.5",J16="예비군","1",J16="민방위","1",J16="지원","1",J16="파견","0")*$AZ16,0)</f>
        <v>133333.33333333334</v>
      </c>
      <c r="K74" s="464" cm="1">
        <f t="array" ref="K74">IFERROR(_xlfn.IFS(K16="-","0",K16="근무","1",K16="휴무","1",K16="월차","1", K16="반차","1", K16="무단결근","0",K16="무단조퇴","0.5",K16="권장휴무","0",K16="권장조퇴","0.5",K16="예비군","1",K16="민방위","1",K16="지원","1",K16="파견","0")*$AZ16,0)</f>
        <v>133333.33333333334</v>
      </c>
      <c r="L74" s="464" cm="1">
        <f t="array" ref="L74">IFERROR(_xlfn.IFS(L16="-","0",L16="근무","1",L16="휴무","1",L16="월차","1", L16="반차","1", L16="무단결근","0",L16="무단조퇴","0.5",L16="권장휴무","0",L16="권장조퇴","0.5",L16="예비군","1",L16="민방위","1",L16="지원","1",L16="파견","0")*$AZ16,0)</f>
        <v>133333.33333333334</v>
      </c>
      <c r="M74" s="464" cm="1">
        <f t="array" ref="M74">IFERROR(_xlfn.IFS(M16="-","0",M16="근무","1",M16="휴무","1",M16="월차","1", M16="반차","1", M16="무단결근","0",M16="무단조퇴","0.5",M16="권장휴무","0",M16="권장조퇴","0.5",M16="예비군","1",M16="민방위","1",M16="지원","1",M16="파견","0")*$AZ16,0)</f>
        <v>133333.33333333334</v>
      </c>
      <c r="N74" s="464" cm="1">
        <f t="array" ref="N74">IFERROR(_xlfn.IFS(N16="-","0",N16="근무","1",N16="휴무","1",N16="월차","1", N16="반차","1", N16="무단결근","0",N16="무단조퇴","0.5",N16="권장휴무","0",N16="권장조퇴","0.5",N16="예비군","1",N16="민방위","1",N16="지원","1",N16="파견","0")*$AZ16,0)</f>
        <v>133333.33333333334</v>
      </c>
      <c r="O74" s="464" cm="1">
        <f t="array" ref="O74">IFERROR(_xlfn.IFS(O16="-","0",O16="근무","1",O16="휴무","1",O16="월차","1", O16="반차","1", O16="무단결근","0",O16="무단조퇴","0.5",O16="권장휴무","0",O16="권장조퇴","0.5",O16="예비군","1",O16="민방위","1",O16="지원","1",O16="파견","0")*$AZ16,0)</f>
        <v>133333.33333333334</v>
      </c>
      <c r="P74" s="464" cm="1">
        <f t="array" ref="P74">IFERROR(_xlfn.IFS(P16="-","0",P16="근무","1",P16="휴무","1",P16="월차","1", P16="반차","1", P16="무단결근","0",P16="무단조퇴","0.5",P16="권장휴무","0",P16="권장조퇴","0.5",P16="예비군","1",P16="민방위","1",P16="지원","1",P16="파견","0")*$AZ16,0)</f>
        <v>133333.33333333334</v>
      </c>
      <c r="Q74" s="464" cm="1">
        <f t="array" ref="Q74">IFERROR(_xlfn.IFS(Q16="-","0",Q16="근무","1",Q16="휴무","1",Q16="월차","1", Q16="반차","1", Q16="무단결근","0",Q16="무단조퇴","0.5",Q16="권장휴무","0",Q16="권장조퇴","0.5",Q16="예비군","1",Q16="민방위","1",Q16="지원","1",Q16="파견","0")*$AZ16,0)</f>
        <v>133333.33333333334</v>
      </c>
      <c r="R74" s="464" cm="1">
        <f t="array" ref="R74">IFERROR(_xlfn.IFS(R16="-","0",R16="근무","1",R16="휴무","1",R16="월차","1", R16="반차","1", R16="무단결근","0",R16="무단조퇴","0.5",R16="권장휴무","0",R16="권장조퇴","0.5",R16="예비군","1",R16="민방위","1",R16="지원","1",R16="파견","0")*$AZ16,0)</f>
        <v>133333.33333333334</v>
      </c>
      <c r="S74" s="464" cm="1">
        <f t="array" ref="S74">IFERROR(_xlfn.IFS(S16="-","0",S16="근무","1",S16="휴무","1",S16="월차","1", S16="반차","1", S16="무단결근","0",S16="무단조퇴","0.5",S16="권장휴무","0",S16="권장조퇴","0.5",S16="예비군","1",S16="민방위","1",S16="지원","1",S16="파견","0")*$AZ16,0)</f>
        <v>133333.33333333334</v>
      </c>
      <c r="T74" s="464" cm="1">
        <f t="array" ref="T74">IFERROR(_xlfn.IFS(T16="-","0",T16="근무","1",T16="휴무","1",T16="월차","1", T16="반차","1", T16="무단결근","0",T16="무단조퇴","0.5",T16="권장휴무","0",T16="권장조퇴","0.5",T16="예비군","1",T16="민방위","1",T16="지원","1",T16="파견","0")*$AZ16,0)</f>
        <v>133333.33333333334</v>
      </c>
      <c r="U74" s="464" cm="1">
        <f t="array" ref="U74">IFERROR(_xlfn.IFS(U16="-","0",U16="근무","1",U16="휴무","1",U16="월차","1", U16="반차","1", U16="무단결근","0",U16="무단조퇴","0.5",U16="권장휴무","0",U16="권장조퇴","0.5",U16="예비군","1",U16="민방위","1",U16="지원","1",U16="파견","0")*$AZ16,0)</f>
        <v>133333.33333333334</v>
      </c>
      <c r="V74" s="464" cm="1">
        <f t="array" ref="V74">IFERROR(_xlfn.IFS(V16="-","0",V16="근무","1",V16="휴무","1",V16="월차","1", V16="반차","1", V16="무단결근","0",V16="무단조퇴","0.5",V16="권장휴무","0",V16="권장조퇴","0.5",V16="예비군","1",V16="민방위","1",V16="지원","1",V16="파견","0")*$AZ16,0)</f>
        <v>133333.33333333334</v>
      </c>
      <c r="W74" s="464" cm="1">
        <f t="array" ref="W74">IFERROR(_xlfn.IFS(W16="-","0",W16="근무","1",W16="휴무","1",W16="월차","1", W16="반차","1", W16="무단결근","0",W16="무단조퇴","0.5",W16="권장휴무","0",W16="권장조퇴","0.5",W16="예비군","1",W16="민방위","1",W16="지원","1",W16="파견","0")*$AZ16,0)</f>
        <v>133333.33333333334</v>
      </c>
      <c r="X74" s="464" cm="1">
        <f t="array" ref="X74">IFERROR(_xlfn.IFS(X16="-","0",X16="근무","1",X16="휴무","1",X16="월차","1", X16="반차","1", X16="무단결근","0",X16="무단조퇴","0.5",X16="권장휴무","0",X16="권장조퇴","0.5",X16="예비군","1",X16="민방위","1",X16="지원","1",X16="파견","0")*$AZ16,0)</f>
        <v>133333.33333333334</v>
      </c>
      <c r="Y74" s="464" cm="1">
        <f t="array" ref="Y74">IFERROR(_xlfn.IFS(Y16="-","0",Y16="근무","1",Y16="휴무","1",Y16="월차","1", Y16="반차","1", Y16="무단결근","0",Y16="무단조퇴","0.5",Y16="권장휴무","0",Y16="권장조퇴","0.5",Y16="예비군","1",Y16="민방위","1",Y16="지원","1",Y16="파견","0")*$AZ16,0)</f>
        <v>133333.33333333334</v>
      </c>
      <c r="Z74" s="464" cm="1">
        <f t="array" ref="Z74">IFERROR(_xlfn.IFS(Z16="-","0",Z16="근무","1",Z16="휴무","1",Z16="월차","1", Z16="반차","1", Z16="무단결근","0",Z16="무단조퇴","0.5",Z16="권장휴무","0",Z16="권장조퇴","0.5",Z16="예비군","1",Z16="민방위","1",Z16="지원","1",Z16="파견","0")*$AZ16,0)</f>
        <v>133333.33333333334</v>
      </c>
      <c r="AA74" s="464" cm="1">
        <f t="array" ref="AA74">IFERROR(_xlfn.IFS(AA16="-","0",AA16="근무","1",AA16="휴무","1",AA16="월차","1", AA16="반차","1", AA16="무단결근","0",AA16="무단조퇴","0.5",AA16="권장휴무","0",AA16="권장조퇴","0.5",AA16="예비군","1",AA16="민방위","1",AA16="지원","1",AA16="파견","0")*$AZ16,0)</f>
        <v>133333.33333333334</v>
      </c>
      <c r="AB74" s="464" cm="1">
        <f t="array" ref="AB74">IFERROR(_xlfn.IFS(AB16="-","0",AB16="근무","1",AB16="휴무","1",AB16="월차","1", AB16="반차","1", AB16="무단결근","0",AB16="무단조퇴","0.5",AB16="권장휴무","0",AB16="권장조퇴","0.5",AB16="예비군","1",AB16="민방위","1",AB16="지원","1",AB16="파견","0")*$AZ16,0)</f>
        <v>133333.33333333334</v>
      </c>
      <c r="AC74" s="464" cm="1">
        <f t="array" ref="AC74">IFERROR(_xlfn.IFS(AC16="-","0",AC16="근무","1",AC16="휴무","1",AC16="월차","1", AC16="반차","1", AC16="무단결근","0",AC16="무단조퇴","0.5",AC16="권장휴무","0",AC16="권장조퇴","0.5",AC16="예비군","1",AC16="민방위","1",AC16="지원","1",AC16="파견","0")*$AZ16,0)</f>
        <v>133333.33333333334</v>
      </c>
      <c r="AD74" s="464" cm="1">
        <f t="array" ref="AD74">IFERROR(_xlfn.IFS(AD16="-","0",AD16="근무","1",AD16="휴무","1",AD16="월차","1", AD16="반차","1", AD16="무단결근","0",AD16="무단조퇴","0.5",AD16="권장휴무","0",AD16="권장조퇴","0.5",AD16="예비군","1",AD16="민방위","1",AD16="지원","1",AD16="파견","0")*$AZ16,0)</f>
        <v>133333.33333333334</v>
      </c>
      <c r="AE74" s="464" cm="1">
        <f t="array" ref="AE74">IFERROR(_xlfn.IFS(AE16="-","0",AE16="근무","1",AE16="휴무","1",AE16="월차","1", AE16="반차","1", AE16="무단결근","0",AE16="무단조퇴","0.5",AE16="권장휴무","0",AE16="권장조퇴","0.5",AE16="예비군","1",AE16="민방위","1",AE16="지원","1",AE16="파견","0")*$AZ16,0)</f>
        <v>133333.33333333334</v>
      </c>
      <c r="AF74" s="464" cm="1">
        <f t="array" ref="AF74">IFERROR(_xlfn.IFS(AF16="-","0",AF16="근무","1",AF16="휴무","1",AF16="월차","1", AF16="반차","1", AF16="무단결근","0",AF16="무단조퇴","0.5",AF16="권장휴무","0",AF16="권장조퇴","0.5",AF16="예비군","1",AF16="민방위","1",AF16="지원","1",AF16="파견","0")*$AZ16,0)</f>
        <v>133333.33333333334</v>
      </c>
      <c r="AG74" s="464" cm="1">
        <f t="array" ref="AG74">IFERROR(_xlfn.IFS(AG16="-","0",AG16="근무","1",AG16="휴무","1",AG16="월차","1", AG16="반차","1", AG16="무단결근","0",AG16="무단조퇴","0.5",AG16="권장휴무","0",AG16="권장조퇴","0.5",AG16="예비군","1",AG16="민방위","1",AG16="지원","1",AG16="파견","0")*$AZ16,0)</f>
        <v>0</v>
      </c>
      <c r="AH74" s="464" cm="1">
        <f t="array" ref="AH74">IFERROR(_xlfn.IFS(AH16="-","0",AH16="근무","1",AH16="휴무","1",AH16="월차","1", AH16="반차","1", AH16="무단결근","0",AH16="무단조퇴","0.5",AH16="권장휴무","0",AH16="권장조퇴","0.5",AH16="예비군","1",AH16="민방위","1",AH16="지원","1",AH16="파견","0")*$AZ16,0)</f>
        <v>0</v>
      </c>
      <c r="AI74" s="464" cm="1">
        <f t="array" ref="AI74">IFERROR(_xlfn.IFS(AI16="-","0",AI16="근무","1",AI16="휴무","1",AI16="월차","1", AI16="반차","1", AI16="무단결근","0",AI16="무단조퇴","0.5",AI16="권장휴무","0",AI16="권장조퇴","0.5",AI16="예비군","1",AI16="민방위","1",AI16="지원","1",AI16="파견","0")*$AZ16,0)</f>
        <v>0</v>
      </c>
      <c r="AJ74" s="464" cm="1">
        <f t="array" ref="AJ74">IFERROR(_xlfn.IFS(AJ16="-","0",AJ16="근무","1",AJ16="휴무","1",AJ16="월차","1", AJ16="반차","1", AJ16="무단결근","0",AJ16="무단조퇴","0.5",AJ16="권장휴무","0",AJ16="권장조퇴","0.5",AJ16="예비군","1",AJ16="민방위","1",AJ16="지원","1",AJ16="파견","0")*$AZ16,0)</f>
        <v>0</v>
      </c>
      <c r="AK74" s="464" cm="1">
        <f t="array" ref="AK74">IFERROR(_xlfn.IFS(AK16="-","0",AK16="근무","1",AK16="휴무","1",AK16="월차","1", AK16="반차","1", AK16="무단결근","0",AK16="무단조퇴","0.5",AK16="권장휴무","0",AK16="권장조퇴","0.5",AK16="예비군","1",AK16="민방위","1",AK16="지원","1",AK16="파견","0")*$AZ16,0)</f>
        <v>0</v>
      </c>
    </row>
    <row r="75" spans="2:37" s="6" customFormat="1" ht="21.95" hidden="1" customHeight="1" x14ac:dyDescent="0.25">
      <c r="B75" s="42" t="str">
        <f t="shared" si="29"/>
        <v>이도형</v>
      </c>
      <c r="C75" s="22" t="str">
        <f t="shared" si="29"/>
        <v>선택</v>
      </c>
      <c r="D75" s="22">
        <f t="shared" si="29"/>
        <v>0</v>
      </c>
      <c r="E75" s="21">
        <f t="shared" si="29"/>
        <v>46125</v>
      </c>
      <c r="F75" s="21">
        <f t="shared" si="29"/>
        <v>0</v>
      </c>
      <c r="G75" s="463" cm="1">
        <f t="array" ref="G75">IFERROR(_xlfn.IFS(G17="-","0",G17="근무","1",G17="휴무","1",G17="월차","1", G17="반차","1", G17="무단결근","0",G17="무단조퇴","0.5",G17="권장휴무","0",G17="권장조퇴","0.5",G17="예비군","1",G17="민방위","1",G17="지원","1",G17="파견","0")*$AZ17,0)</f>
        <v>0</v>
      </c>
      <c r="H75" s="464" cm="1">
        <f t="array" ref="H75">IFERROR(_xlfn.IFS(H17="-","0",H17="근무","1",H17="휴무","1",H17="월차","1", H17="반차","1", H17="무단결근","0",H17="무단조퇴","0.5",H17="권장휴무","0",H17="권장조퇴","0.5",H17="예비군","1",H17="민방위","1",H17="지원","1",H17="파견","0")*$AZ17,0)</f>
        <v>0</v>
      </c>
      <c r="I75" s="464" cm="1">
        <f t="array" ref="I75">IFERROR(_xlfn.IFS(I17="-","0",I17="근무","1",I17="휴무","1",I17="월차","1", I17="반차","1", I17="무단결근","0",I17="무단조퇴","0.5",I17="권장휴무","0",I17="권장조퇴","0.5",I17="예비군","1",I17="민방위","1",I17="지원","1",I17="파견","0")*$AZ17,0)</f>
        <v>0</v>
      </c>
      <c r="J75" s="464" cm="1">
        <f t="array" ref="J75">IFERROR(_xlfn.IFS(J17="-","0",J17="근무","1",J17="휴무","1",J17="월차","1", J17="반차","1", J17="무단결근","0",J17="무단조퇴","0.5",J17="권장휴무","0",J17="권장조퇴","0.5",J17="예비군","1",J17="민방위","1",J17="지원","1",J17="파견","0")*$AZ17,0)</f>
        <v>0</v>
      </c>
      <c r="K75" s="464" cm="1">
        <f t="array" ref="K75">IFERROR(_xlfn.IFS(K17="-","0",K17="근무","1",K17="휴무","1",K17="월차","1", K17="반차","1", K17="무단결근","0",K17="무단조퇴","0.5",K17="권장휴무","0",K17="권장조퇴","0.5",K17="예비군","1",K17="민방위","1",K17="지원","1",K17="파견","0")*$AZ17,0)</f>
        <v>0</v>
      </c>
      <c r="L75" s="464" cm="1">
        <f t="array" ref="L75">IFERROR(_xlfn.IFS(L17="-","0",L17="근무","1",L17="휴무","1",L17="월차","1", L17="반차","1", L17="무단결근","0",L17="무단조퇴","0.5",L17="권장휴무","0",L17="권장조퇴","0.5",L17="예비군","1",L17="민방위","1",L17="지원","1",L17="파견","0")*$AZ17,0)</f>
        <v>0</v>
      </c>
      <c r="M75" s="464" cm="1">
        <f t="array" ref="M75">IFERROR(_xlfn.IFS(M17="-","0",M17="근무","1",M17="휴무","1",M17="월차","1", M17="반차","1", M17="무단결근","0",M17="무단조퇴","0.5",M17="권장휴무","0",M17="권장조퇴","0.5",M17="예비군","1",M17="민방위","1",M17="지원","1",M17="파견","0")*$AZ17,0)</f>
        <v>0</v>
      </c>
      <c r="N75" s="464" cm="1">
        <f t="array" ref="N75">IFERROR(_xlfn.IFS(N17="-","0",N17="근무","1",N17="휴무","1",N17="월차","1", N17="반차","1", N17="무단결근","0",N17="무단조퇴","0.5",N17="권장휴무","0",N17="권장조퇴","0.5",N17="예비군","1",N17="민방위","1",N17="지원","1",N17="파견","0")*$AZ17,0)</f>
        <v>0</v>
      </c>
      <c r="O75" s="464" cm="1">
        <f t="array" ref="O75">IFERROR(_xlfn.IFS(O17="-","0",O17="근무","1",O17="휴무","1",O17="월차","1", O17="반차","1", O17="무단결근","0",O17="무단조퇴","0.5",O17="권장휴무","0",O17="권장조퇴","0.5",O17="예비군","1",O17="민방위","1",O17="지원","1",O17="파견","0")*$AZ17,0)</f>
        <v>0</v>
      </c>
      <c r="P75" s="464" cm="1">
        <f t="array" ref="P75">IFERROR(_xlfn.IFS(P17="-","0",P17="근무","1",P17="휴무","1",P17="월차","1", P17="반차","1", P17="무단결근","0",P17="무단조퇴","0.5",P17="권장휴무","0",P17="권장조퇴","0.5",P17="예비군","1",P17="민방위","1",P17="지원","1",P17="파견","0")*$AZ17,0)</f>
        <v>0</v>
      </c>
      <c r="Q75" s="464" cm="1">
        <f t="array" ref="Q75">IFERROR(_xlfn.IFS(Q17="-","0",Q17="근무","1",Q17="휴무","1",Q17="월차","1", Q17="반차","1", Q17="무단결근","0",Q17="무단조퇴","0.5",Q17="권장휴무","0",Q17="권장조퇴","0.5",Q17="예비군","1",Q17="민방위","1",Q17="지원","1",Q17="파견","0")*$AZ17,0)</f>
        <v>0</v>
      </c>
      <c r="R75" s="464" cm="1">
        <f t="array" ref="R75">IFERROR(_xlfn.IFS(R17="-","0",R17="근무","1",R17="휴무","1",R17="월차","1", R17="반차","1", R17="무단결근","0",R17="무단조퇴","0.5",R17="권장휴무","0",R17="권장조퇴","0.5",R17="예비군","1",R17="민방위","1",R17="지원","1",R17="파견","0")*$AZ17,0)</f>
        <v>0</v>
      </c>
      <c r="S75" s="464" cm="1">
        <f t="array" ref="S75">IFERROR(_xlfn.IFS(S17="-","0",S17="근무","1",S17="휴무","1",S17="월차","1", S17="반차","1", S17="무단결근","0",S17="무단조퇴","0.5",S17="권장휴무","0",S17="권장조퇴","0.5",S17="예비군","1",S17="민방위","1",S17="지원","1",S17="파견","0")*$AZ17,0)</f>
        <v>113333.33333333333</v>
      </c>
      <c r="T75" s="464" cm="1">
        <f t="array" ref="T75">IFERROR(_xlfn.IFS(T17="-","0",T17="근무","1",T17="휴무","1",T17="월차","1", T17="반차","1", T17="무단결근","0",T17="무단조퇴","0.5",T17="권장휴무","0",T17="권장조퇴","0.5",T17="예비군","1",T17="민방위","1",T17="지원","1",T17="파견","0")*$AZ17,0)</f>
        <v>113333.33333333333</v>
      </c>
      <c r="U75" s="464" cm="1">
        <f t="array" ref="U75">IFERROR(_xlfn.IFS(U17="-","0",U17="근무","1",U17="휴무","1",U17="월차","1", U17="반차","1", U17="무단결근","0",U17="무단조퇴","0.5",U17="권장휴무","0",U17="권장조퇴","0.5",U17="예비군","1",U17="민방위","1",U17="지원","1",U17="파견","0")*$AZ17,0)</f>
        <v>113333.33333333333</v>
      </c>
      <c r="V75" s="464" cm="1">
        <f t="array" ref="V75">IFERROR(_xlfn.IFS(V17="-","0",V17="근무","1",V17="휴무","1",V17="월차","1", V17="반차","1", V17="무단결근","0",V17="무단조퇴","0.5",V17="권장휴무","0",V17="권장조퇴","0.5",V17="예비군","1",V17="민방위","1",V17="지원","1",V17="파견","0")*$AZ17,0)</f>
        <v>113333.33333333333</v>
      </c>
      <c r="W75" s="464" cm="1">
        <f t="array" ref="W75">IFERROR(_xlfn.IFS(W17="-","0",W17="근무","1",W17="휴무","1",W17="월차","1", W17="반차","1", W17="무단결근","0",W17="무단조퇴","0.5",W17="권장휴무","0",W17="권장조퇴","0.5",W17="예비군","1",W17="민방위","1",W17="지원","1",W17="파견","0")*$AZ17,0)</f>
        <v>113333.33333333333</v>
      </c>
      <c r="X75" s="464" cm="1">
        <f t="array" ref="X75">IFERROR(_xlfn.IFS(X17="-","0",X17="근무","1",X17="휴무","1",X17="월차","1", X17="반차","1", X17="무단결근","0",X17="무단조퇴","0.5",X17="권장휴무","0",X17="권장조퇴","0.5",X17="예비군","1",X17="민방위","1",X17="지원","1",X17="파견","0")*$AZ17,0)</f>
        <v>113333.33333333333</v>
      </c>
      <c r="Y75" s="464" cm="1">
        <f t="array" ref="Y75">IFERROR(_xlfn.IFS(Y17="-","0",Y17="근무","1",Y17="휴무","1",Y17="월차","1", Y17="반차","1", Y17="무단결근","0",Y17="무단조퇴","0.5",Y17="권장휴무","0",Y17="권장조퇴","0.5",Y17="예비군","1",Y17="민방위","1",Y17="지원","1",Y17="파견","0")*$AZ17,0)</f>
        <v>113333.33333333333</v>
      </c>
      <c r="Z75" s="464" cm="1">
        <f t="array" ref="Z75">IFERROR(_xlfn.IFS(Z17="-","0",Z17="근무","1",Z17="휴무","1",Z17="월차","1", Z17="반차","1", Z17="무단결근","0",Z17="무단조퇴","0.5",Z17="권장휴무","0",Z17="권장조퇴","0.5",Z17="예비군","1",Z17="민방위","1",Z17="지원","1",Z17="파견","0")*$AZ17,0)</f>
        <v>113333.33333333333</v>
      </c>
      <c r="AA75" s="464" cm="1">
        <f t="array" ref="AA75">IFERROR(_xlfn.IFS(AA17="-","0",AA17="근무","1",AA17="휴무","1",AA17="월차","1", AA17="반차","1", AA17="무단결근","0",AA17="무단조퇴","0.5",AA17="권장휴무","0",AA17="권장조퇴","0.5",AA17="예비군","1",AA17="민방위","1",AA17="지원","1",AA17="파견","0")*$AZ17,0)</f>
        <v>113333.33333333333</v>
      </c>
      <c r="AB75" s="464" cm="1">
        <f t="array" ref="AB75">IFERROR(_xlfn.IFS(AB17="-","0",AB17="근무","1",AB17="휴무","1",AB17="월차","1", AB17="반차","1", AB17="무단결근","0",AB17="무단조퇴","0.5",AB17="권장휴무","0",AB17="권장조퇴","0.5",AB17="예비군","1",AB17="민방위","1",AB17="지원","1",AB17="파견","0")*$AZ17,0)</f>
        <v>113333.33333333333</v>
      </c>
      <c r="AC75" s="464" cm="1">
        <f t="array" ref="AC75">IFERROR(_xlfn.IFS(AC17="-","0",AC17="근무","1",AC17="휴무","1",AC17="월차","1", AC17="반차","1", AC17="무단결근","0",AC17="무단조퇴","0.5",AC17="권장휴무","0",AC17="권장조퇴","0.5",AC17="예비군","1",AC17="민방위","1",AC17="지원","1",AC17="파견","0")*$AZ17,0)</f>
        <v>113333.33333333333</v>
      </c>
      <c r="AD75" s="464" cm="1">
        <f t="array" ref="AD75">IFERROR(_xlfn.IFS(AD17="-","0",AD17="근무","1",AD17="휴무","1",AD17="월차","1", AD17="반차","1", AD17="무단결근","0",AD17="무단조퇴","0.5",AD17="권장휴무","0",AD17="권장조퇴","0.5",AD17="예비군","1",AD17="민방위","1",AD17="지원","1",AD17="파견","0")*$AZ17,0)</f>
        <v>113333.33333333333</v>
      </c>
      <c r="AE75" s="464" cm="1">
        <f t="array" ref="AE75">IFERROR(_xlfn.IFS(AE17="-","0",AE17="근무","1",AE17="휴무","1",AE17="월차","1", AE17="반차","1", AE17="무단결근","0",AE17="무단조퇴","0.5",AE17="권장휴무","0",AE17="권장조퇴","0.5",AE17="예비군","1",AE17="민방위","1",AE17="지원","1",AE17="파견","0")*$AZ17,0)</f>
        <v>113333.33333333333</v>
      </c>
      <c r="AF75" s="464" cm="1">
        <f t="array" ref="AF75">IFERROR(_xlfn.IFS(AF17="-","0",AF17="근무","1",AF17="휴무","1",AF17="월차","1", AF17="반차","1", AF17="무단결근","0",AF17="무단조퇴","0.5",AF17="권장휴무","0",AF17="권장조퇴","0.5",AF17="예비군","1",AF17="민방위","1",AF17="지원","1",AF17="파견","0")*$AZ17,0)</f>
        <v>113333.33333333333</v>
      </c>
      <c r="AG75" s="464" cm="1">
        <f t="array" ref="AG75">IFERROR(_xlfn.IFS(AG17="-","0",AG17="근무","1",AG17="휴무","1",AG17="월차","1", AG17="반차","1", AG17="무단결근","0",AG17="무단조퇴","0.5",AG17="권장휴무","0",AG17="권장조퇴","0.5",AG17="예비군","1",AG17="민방위","1",AG17="지원","1",AG17="파견","0")*$AZ17,0)</f>
        <v>0</v>
      </c>
      <c r="AH75" s="464" cm="1">
        <f t="array" ref="AH75">IFERROR(_xlfn.IFS(AH17="-","0",AH17="근무","1",AH17="휴무","1",AH17="월차","1", AH17="반차","1", AH17="무단결근","0",AH17="무단조퇴","0.5",AH17="권장휴무","0",AH17="권장조퇴","0.5",AH17="예비군","1",AH17="민방위","1",AH17="지원","1",AH17="파견","0")*$AZ17,0)</f>
        <v>0</v>
      </c>
      <c r="AI75" s="464" cm="1">
        <f t="array" ref="AI75">IFERROR(_xlfn.IFS(AI17="-","0",AI17="근무","1",AI17="휴무","1",AI17="월차","1", AI17="반차","1", AI17="무단결근","0",AI17="무단조퇴","0.5",AI17="권장휴무","0",AI17="권장조퇴","0.5",AI17="예비군","1",AI17="민방위","1",AI17="지원","1",AI17="파견","0")*$AZ17,0)</f>
        <v>0</v>
      </c>
      <c r="AJ75" s="464" cm="1">
        <f t="array" ref="AJ75">IFERROR(_xlfn.IFS(AJ17="-","0",AJ17="근무","1",AJ17="휴무","1",AJ17="월차","1", AJ17="반차","1", AJ17="무단결근","0",AJ17="무단조퇴","0.5",AJ17="권장휴무","0",AJ17="권장조퇴","0.5",AJ17="예비군","1",AJ17="민방위","1",AJ17="지원","1",AJ17="파견","0")*$AZ17,0)</f>
        <v>0</v>
      </c>
      <c r="AK75" s="464" cm="1">
        <f t="array" ref="AK75">IFERROR(_xlfn.IFS(AK17="-","0",AK17="근무","1",AK17="휴무","1",AK17="월차","1", AK17="반차","1", AK17="무단결근","0",AK17="무단조퇴","0.5",AK17="권장휴무","0",AK17="권장조퇴","0.5",AK17="예비군","1",AK17="민방위","1",AK17="지원","1",AK17="파견","0")*$AZ17,0)</f>
        <v>0</v>
      </c>
    </row>
    <row r="76" spans="2:37" s="6" customFormat="1" ht="21.95" hidden="1" customHeight="1" x14ac:dyDescent="0.25">
      <c r="B76" s="42">
        <f t="shared" si="29"/>
        <v>0</v>
      </c>
      <c r="C76" s="22" t="str">
        <f t="shared" si="29"/>
        <v>선택</v>
      </c>
      <c r="D76" s="22">
        <f t="shared" si="29"/>
        <v>0</v>
      </c>
      <c r="E76" s="21">
        <f t="shared" si="29"/>
        <v>0</v>
      </c>
      <c r="F76" s="21">
        <f t="shared" si="29"/>
        <v>0</v>
      </c>
      <c r="G76" s="463" cm="1">
        <f t="array" ref="G76">IFERROR(_xlfn.IFS(G18="-","0",G18="근무","1",G18="휴무","1",G18="월차","1", G18="반차","1", G18="무단결근","0",G18="무단조퇴","0.5",G18="권장휴무","0",G18="권장조퇴","0.5",G18="예비군","1",G18="민방위","1",G18="지원","1",G18="파견","0")*$AZ18,0)</f>
        <v>0</v>
      </c>
      <c r="H76" s="464" cm="1">
        <f t="array" ref="H76">IFERROR(_xlfn.IFS(H18="-","0",H18="근무","1",H18="휴무","1",H18="월차","1", H18="반차","1", H18="무단결근","0",H18="무단조퇴","0.5",H18="권장휴무","0",H18="권장조퇴","0.5",H18="예비군","1",H18="민방위","1",H18="지원","1",H18="파견","0")*$AZ18,0)</f>
        <v>0</v>
      </c>
      <c r="I76" s="464" cm="1">
        <f t="array" ref="I76">IFERROR(_xlfn.IFS(I18="-","0",I18="근무","1",I18="휴무","1",I18="월차","1", I18="반차","1", I18="무단결근","0",I18="무단조퇴","0.5",I18="권장휴무","0",I18="권장조퇴","0.5",I18="예비군","1",I18="민방위","1",I18="지원","1",I18="파견","0")*$AZ18,0)</f>
        <v>0</v>
      </c>
      <c r="J76" s="464" cm="1">
        <f t="array" ref="J76">IFERROR(_xlfn.IFS(J18="-","0",J18="근무","1",J18="휴무","1",J18="월차","1", J18="반차","1", J18="무단결근","0",J18="무단조퇴","0.5",J18="권장휴무","0",J18="권장조퇴","0.5",J18="예비군","1",J18="민방위","1",J18="지원","1",J18="파견","0")*$AZ18,0)</f>
        <v>0</v>
      </c>
      <c r="K76" s="464" cm="1">
        <f t="array" ref="K76">IFERROR(_xlfn.IFS(K18="-","0",K18="근무","1",K18="휴무","1",K18="월차","1", K18="반차","1", K18="무단결근","0",K18="무단조퇴","0.5",K18="권장휴무","0",K18="권장조퇴","0.5",K18="예비군","1",K18="민방위","1",K18="지원","1",K18="파견","0")*$AZ18,0)</f>
        <v>0</v>
      </c>
      <c r="L76" s="464" cm="1">
        <f t="array" ref="L76">IFERROR(_xlfn.IFS(L18="-","0",L18="근무","1",L18="휴무","1",L18="월차","1", L18="반차","1", L18="무단결근","0",L18="무단조퇴","0.5",L18="권장휴무","0",L18="권장조퇴","0.5",L18="예비군","1",L18="민방위","1",L18="지원","1",L18="파견","0")*$AZ18,0)</f>
        <v>0</v>
      </c>
      <c r="M76" s="464" cm="1">
        <f t="array" ref="M76">IFERROR(_xlfn.IFS(M18="-","0",M18="근무","1",M18="휴무","1",M18="월차","1", M18="반차","1", M18="무단결근","0",M18="무단조퇴","0.5",M18="권장휴무","0",M18="권장조퇴","0.5",M18="예비군","1",M18="민방위","1",M18="지원","1",M18="파견","0")*$AZ18,0)</f>
        <v>0</v>
      </c>
      <c r="N76" s="464" cm="1">
        <f t="array" ref="N76">IFERROR(_xlfn.IFS(N18="-","0",N18="근무","1",N18="휴무","1",N18="월차","1", N18="반차","1", N18="무단결근","0",N18="무단조퇴","0.5",N18="권장휴무","0",N18="권장조퇴","0.5",N18="예비군","1",N18="민방위","1",N18="지원","1",N18="파견","0")*$AZ18,0)</f>
        <v>0</v>
      </c>
      <c r="O76" s="464" cm="1">
        <f t="array" ref="O76">IFERROR(_xlfn.IFS(O18="-","0",O18="근무","1",O18="휴무","1",O18="월차","1", O18="반차","1", O18="무단결근","0",O18="무단조퇴","0.5",O18="권장휴무","0",O18="권장조퇴","0.5",O18="예비군","1",O18="민방위","1",O18="지원","1",O18="파견","0")*$AZ18,0)</f>
        <v>0</v>
      </c>
      <c r="P76" s="464" cm="1">
        <f t="array" ref="P76">IFERROR(_xlfn.IFS(P18="-","0",P18="근무","1",P18="휴무","1",P18="월차","1", P18="반차","1", P18="무단결근","0",P18="무단조퇴","0.5",P18="권장휴무","0",P18="권장조퇴","0.5",P18="예비군","1",P18="민방위","1",P18="지원","1",P18="파견","0")*$AZ18,0)</f>
        <v>0</v>
      </c>
      <c r="Q76" s="464" cm="1">
        <f t="array" ref="Q76">IFERROR(_xlfn.IFS(Q18="-","0",Q18="근무","1",Q18="휴무","1",Q18="월차","1", Q18="반차","1", Q18="무단결근","0",Q18="무단조퇴","0.5",Q18="권장휴무","0",Q18="권장조퇴","0.5",Q18="예비군","1",Q18="민방위","1",Q18="지원","1",Q18="파견","0")*$AZ18,0)</f>
        <v>0</v>
      </c>
      <c r="R76" s="464" cm="1">
        <f t="array" ref="R76">IFERROR(_xlfn.IFS(R18="-","0",R18="근무","1",R18="휴무","1",R18="월차","1", R18="반차","1", R18="무단결근","0",R18="무단조퇴","0.5",R18="권장휴무","0",R18="권장조퇴","0.5",R18="예비군","1",R18="민방위","1",R18="지원","1",R18="파견","0")*$AZ18,0)</f>
        <v>0</v>
      </c>
      <c r="S76" s="464" cm="1">
        <f t="array" ref="S76">IFERROR(_xlfn.IFS(S18="-","0",S18="근무","1",S18="휴무","1",S18="월차","1", S18="반차","1", S18="무단결근","0",S18="무단조퇴","0.5",S18="권장휴무","0",S18="권장조퇴","0.5",S18="예비군","1",S18="민방위","1",S18="지원","1",S18="파견","0")*$AZ18,0)</f>
        <v>0</v>
      </c>
      <c r="T76" s="464" cm="1">
        <f t="array" ref="T76">IFERROR(_xlfn.IFS(T18="-","0",T18="근무","1",T18="휴무","1",T18="월차","1", T18="반차","1", T18="무단결근","0",T18="무단조퇴","0.5",T18="권장휴무","0",T18="권장조퇴","0.5",T18="예비군","1",T18="민방위","1",T18="지원","1",T18="파견","0")*$AZ18,0)</f>
        <v>0</v>
      </c>
      <c r="U76" s="464" cm="1">
        <f t="array" ref="U76">IFERROR(_xlfn.IFS(U18="-","0",U18="근무","1",U18="휴무","1",U18="월차","1", U18="반차","1", U18="무단결근","0",U18="무단조퇴","0.5",U18="권장휴무","0",U18="권장조퇴","0.5",U18="예비군","1",U18="민방위","1",U18="지원","1",U18="파견","0")*$AZ18,0)</f>
        <v>0</v>
      </c>
      <c r="V76" s="464" cm="1">
        <f t="array" ref="V76">IFERROR(_xlfn.IFS(V18="-","0",V18="근무","1",V18="휴무","1",V18="월차","1", V18="반차","1", V18="무단결근","0",V18="무단조퇴","0.5",V18="권장휴무","0",V18="권장조퇴","0.5",V18="예비군","1",V18="민방위","1",V18="지원","1",V18="파견","0")*$AZ18,0)</f>
        <v>0</v>
      </c>
      <c r="W76" s="464" cm="1">
        <f t="array" ref="W76">IFERROR(_xlfn.IFS(W18="-","0",W18="근무","1",W18="휴무","1",W18="월차","1", W18="반차","1", W18="무단결근","0",W18="무단조퇴","0.5",W18="권장휴무","0",W18="권장조퇴","0.5",W18="예비군","1",W18="민방위","1",W18="지원","1",W18="파견","0")*$AZ18,0)</f>
        <v>0</v>
      </c>
      <c r="X76" s="464" cm="1">
        <f t="array" ref="X76">IFERROR(_xlfn.IFS(X18="-","0",X18="근무","1",X18="휴무","1",X18="월차","1", X18="반차","1", X18="무단결근","0",X18="무단조퇴","0.5",X18="권장휴무","0",X18="권장조퇴","0.5",X18="예비군","1",X18="민방위","1",X18="지원","1",X18="파견","0")*$AZ18,0)</f>
        <v>0</v>
      </c>
      <c r="Y76" s="464" cm="1">
        <f t="array" ref="Y76">IFERROR(_xlfn.IFS(Y18="-","0",Y18="근무","1",Y18="휴무","1",Y18="월차","1", Y18="반차","1", Y18="무단결근","0",Y18="무단조퇴","0.5",Y18="권장휴무","0",Y18="권장조퇴","0.5",Y18="예비군","1",Y18="민방위","1",Y18="지원","1",Y18="파견","0")*$AZ18,0)</f>
        <v>0</v>
      </c>
      <c r="Z76" s="464" cm="1">
        <f t="array" ref="Z76">IFERROR(_xlfn.IFS(Z18="-","0",Z18="근무","1",Z18="휴무","1",Z18="월차","1", Z18="반차","1", Z18="무단결근","0",Z18="무단조퇴","0.5",Z18="권장휴무","0",Z18="권장조퇴","0.5",Z18="예비군","1",Z18="민방위","1",Z18="지원","1",Z18="파견","0")*$AZ18,0)</f>
        <v>0</v>
      </c>
      <c r="AA76" s="464" cm="1">
        <f t="array" ref="AA76">IFERROR(_xlfn.IFS(AA18="-","0",AA18="근무","1",AA18="휴무","1",AA18="월차","1", AA18="반차","1", AA18="무단결근","0",AA18="무단조퇴","0.5",AA18="권장휴무","0",AA18="권장조퇴","0.5",AA18="예비군","1",AA18="민방위","1",AA18="지원","1",AA18="파견","0")*$AZ18,0)</f>
        <v>0</v>
      </c>
      <c r="AB76" s="464" cm="1">
        <f t="array" ref="AB76">IFERROR(_xlfn.IFS(AB18="-","0",AB18="근무","1",AB18="휴무","1",AB18="월차","1", AB18="반차","1", AB18="무단결근","0",AB18="무단조퇴","0.5",AB18="권장휴무","0",AB18="권장조퇴","0.5",AB18="예비군","1",AB18="민방위","1",AB18="지원","1",AB18="파견","0")*$AZ18,0)</f>
        <v>0</v>
      </c>
      <c r="AC76" s="464" cm="1">
        <f t="array" ref="AC76">IFERROR(_xlfn.IFS(AC18="-","0",AC18="근무","1",AC18="휴무","1",AC18="월차","1", AC18="반차","1", AC18="무단결근","0",AC18="무단조퇴","0.5",AC18="권장휴무","0",AC18="권장조퇴","0.5",AC18="예비군","1",AC18="민방위","1",AC18="지원","1",AC18="파견","0")*$AZ18,0)</f>
        <v>0</v>
      </c>
      <c r="AD76" s="464" cm="1">
        <f t="array" ref="AD76">IFERROR(_xlfn.IFS(AD18="-","0",AD18="근무","1",AD18="휴무","1",AD18="월차","1", AD18="반차","1", AD18="무단결근","0",AD18="무단조퇴","0.5",AD18="권장휴무","0",AD18="권장조퇴","0.5",AD18="예비군","1",AD18="민방위","1",AD18="지원","1",AD18="파견","0")*$AZ18,0)</f>
        <v>0</v>
      </c>
      <c r="AE76" s="464" cm="1">
        <f t="array" ref="AE76">IFERROR(_xlfn.IFS(AE18="-","0",AE18="근무","1",AE18="휴무","1",AE18="월차","1", AE18="반차","1", AE18="무단결근","0",AE18="무단조퇴","0.5",AE18="권장휴무","0",AE18="권장조퇴","0.5",AE18="예비군","1",AE18="민방위","1",AE18="지원","1",AE18="파견","0")*$AZ18,0)</f>
        <v>0</v>
      </c>
      <c r="AF76" s="464" cm="1">
        <f t="array" ref="AF76">IFERROR(_xlfn.IFS(AF18="-","0",AF18="근무","1",AF18="휴무","1",AF18="월차","1", AF18="반차","1", AF18="무단결근","0",AF18="무단조퇴","0.5",AF18="권장휴무","0",AF18="권장조퇴","0.5",AF18="예비군","1",AF18="민방위","1",AF18="지원","1",AF18="파견","0")*$AZ18,0)</f>
        <v>0</v>
      </c>
      <c r="AG76" s="464" cm="1">
        <f t="array" ref="AG76">IFERROR(_xlfn.IFS(AG18="-","0",AG18="근무","1",AG18="휴무","1",AG18="월차","1", AG18="반차","1", AG18="무단결근","0",AG18="무단조퇴","0.5",AG18="권장휴무","0",AG18="권장조퇴","0.5",AG18="예비군","1",AG18="민방위","1",AG18="지원","1",AG18="파견","0")*$AZ18,0)</f>
        <v>0</v>
      </c>
      <c r="AH76" s="464" cm="1">
        <f t="array" ref="AH76">IFERROR(_xlfn.IFS(AH18="-","0",AH18="근무","1",AH18="휴무","1",AH18="월차","1", AH18="반차","1", AH18="무단결근","0",AH18="무단조퇴","0.5",AH18="권장휴무","0",AH18="권장조퇴","0.5",AH18="예비군","1",AH18="민방위","1",AH18="지원","1",AH18="파견","0")*$AZ18,0)</f>
        <v>0</v>
      </c>
      <c r="AI76" s="464" cm="1">
        <f t="array" ref="AI76">IFERROR(_xlfn.IFS(AI18="-","0",AI18="근무","1",AI18="휴무","1",AI18="월차","1", AI18="반차","1", AI18="무단결근","0",AI18="무단조퇴","0.5",AI18="권장휴무","0",AI18="권장조퇴","0.5",AI18="예비군","1",AI18="민방위","1",AI18="지원","1",AI18="파견","0")*$AZ18,0)</f>
        <v>0</v>
      </c>
      <c r="AJ76" s="464" cm="1">
        <f t="array" ref="AJ76">IFERROR(_xlfn.IFS(AJ18="-","0",AJ18="근무","1",AJ18="휴무","1",AJ18="월차","1", AJ18="반차","1", AJ18="무단결근","0",AJ18="무단조퇴","0.5",AJ18="권장휴무","0",AJ18="권장조퇴","0.5",AJ18="예비군","1",AJ18="민방위","1",AJ18="지원","1",AJ18="파견","0")*$AZ18,0)</f>
        <v>0</v>
      </c>
      <c r="AK76" s="464" cm="1">
        <f t="array" ref="AK76">IFERROR(_xlfn.IFS(AK18="-","0",AK18="근무","1",AK18="휴무","1",AK18="월차","1", AK18="반차","1", AK18="무단결근","0",AK18="무단조퇴","0.5",AK18="권장휴무","0",AK18="권장조퇴","0.5",AK18="예비군","1",AK18="민방위","1",AK18="지원","1",AK18="파견","0")*$AZ18,0)</f>
        <v>0</v>
      </c>
    </row>
    <row r="77" spans="2:37" s="6" customFormat="1" ht="21.95" hidden="1" customHeight="1" x14ac:dyDescent="0.25">
      <c r="B77" s="42">
        <f t="shared" si="29"/>
        <v>0</v>
      </c>
      <c r="C77" s="22" t="str">
        <f t="shared" si="29"/>
        <v>선택</v>
      </c>
      <c r="D77" s="22">
        <f t="shared" si="29"/>
        <v>0</v>
      </c>
      <c r="E77" s="21">
        <f t="shared" si="29"/>
        <v>0</v>
      </c>
      <c r="F77" s="21">
        <f t="shared" si="29"/>
        <v>0</v>
      </c>
      <c r="G77" s="463" cm="1">
        <f t="array" ref="G77">IFERROR(_xlfn.IFS(G19="-","0",G19="근무","1",G19="휴무","1",G19="월차","1", G19="반차","1", G19="무단결근","0",G19="무단조퇴","0.5",G19="권장휴무","0",G19="권장조퇴","0.5",G19="예비군","1",G19="민방위","1",G19="지원","1",G19="파견","0")*$AZ19,0)</f>
        <v>0</v>
      </c>
      <c r="H77" s="464" cm="1">
        <f t="array" ref="H77">IFERROR(_xlfn.IFS(H19="-","0",H19="근무","1",H19="휴무","1",H19="월차","1", H19="반차","1", H19="무단결근","0",H19="무단조퇴","0.5",H19="권장휴무","0",H19="권장조퇴","0.5",H19="예비군","1",H19="민방위","1",H19="지원","1",H19="파견","0")*$AZ19,0)</f>
        <v>0</v>
      </c>
      <c r="I77" s="464" cm="1">
        <f t="array" ref="I77">IFERROR(_xlfn.IFS(I19="-","0",I19="근무","1",I19="휴무","1",I19="월차","1", I19="반차","1", I19="무단결근","0",I19="무단조퇴","0.5",I19="권장휴무","0",I19="권장조퇴","0.5",I19="예비군","1",I19="민방위","1",I19="지원","1",I19="파견","0")*$AZ19,0)</f>
        <v>0</v>
      </c>
      <c r="J77" s="464" cm="1">
        <f t="array" ref="J77">IFERROR(_xlfn.IFS(J19="-","0",J19="근무","1",J19="휴무","1",J19="월차","1", J19="반차","1", J19="무단결근","0",J19="무단조퇴","0.5",J19="권장휴무","0",J19="권장조퇴","0.5",J19="예비군","1",J19="민방위","1",J19="지원","1",J19="파견","0")*$AZ19,0)</f>
        <v>0</v>
      </c>
      <c r="K77" s="464" cm="1">
        <f t="array" ref="K77">IFERROR(_xlfn.IFS(K19="-","0",K19="근무","1",K19="휴무","1",K19="월차","1", K19="반차","1", K19="무단결근","0",K19="무단조퇴","0.5",K19="권장휴무","0",K19="권장조퇴","0.5",K19="예비군","1",K19="민방위","1",K19="지원","1",K19="파견","0")*$AZ19,0)</f>
        <v>0</v>
      </c>
      <c r="L77" s="464" cm="1">
        <f t="array" ref="L77">IFERROR(_xlfn.IFS(L19="-","0",L19="근무","1",L19="휴무","1",L19="월차","1", L19="반차","1", L19="무단결근","0",L19="무단조퇴","0.5",L19="권장휴무","0",L19="권장조퇴","0.5",L19="예비군","1",L19="민방위","1",L19="지원","1",L19="파견","0")*$AZ19,0)</f>
        <v>0</v>
      </c>
      <c r="M77" s="464" cm="1">
        <f t="array" ref="M77">IFERROR(_xlfn.IFS(M19="-","0",M19="근무","1",M19="휴무","1",M19="월차","1", M19="반차","1", M19="무단결근","0",M19="무단조퇴","0.5",M19="권장휴무","0",M19="권장조퇴","0.5",M19="예비군","1",M19="민방위","1",M19="지원","1",M19="파견","0")*$AZ19,0)</f>
        <v>0</v>
      </c>
      <c r="N77" s="464" cm="1">
        <f t="array" ref="N77">IFERROR(_xlfn.IFS(N19="-","0",N19="근무","1",N19="휴무","1",N19="월차","1", N19="반차","1", N19="무단결근","0",N19="무단조퇴","0.5",N19="권장휴무","0",N19="권장조퇴","0.5",N19="예비군","1",N19="민방위","1",N19="지원","1",N19="파견","0")*$AZ19,0)</f>
        <v>0</v>
      </c>
      <c r="O77" s="464" cm="1">
        <f t="array" ref="O77">IFERROR(_xlfn.IFS(O19="-","0",O19="근무","1",O19="휴무","1",O19="월차","1", O19="반차","1", O19="무단결근","0",O19="무단조퇴","0.5",O19="권장휴무","0",O19="권장조퇴","0.5",O19="예비군","1",O19="민방위","1",O19="지원","1",O19="파견","0")*$AZ19,0)</f>
        <v>0</v>
      </c>
      <c r="P77" s="464" cm="1">
        <f t="array" ref="P77">IFERROR(_xlfn.IFS(P19="-","0",P19="근무","1",P19="휴무","1",P19="월차","1", P19="반차","1", P19="무단결근","0",P19="무단조퇴","0.5",P19="권장휴무","0",P19="권장조퇴","0.5",P19="예비군","1",P19="민방위","1",P19="지원","1",P19="파견","0")*$AZ19,0)</f>
        <v>0</v>
      </c>
      <c r="Q77" s="464" cm="1">
        <f t="array" ref="Q77">IFERROR(_xlfn.IFS(Q19="-","0",Q19="근무","1",Q19="휴무","1",Q19="월차","1", Q19="반차","1", Q19="무단결근","0",Q19="무단조퇴","0.5",Q19="권장휴무","0",Q19="권장조퇴","0.5",Q19="예비군","1",Q19="민방위","1",Q19="지원","1",Q19="파견","0")*$AZ19,0)</f>
        <v>0</v>
      </c>
      <c r="R77" s="464" cm="1">
        <f t="array" ref="R77">IFERROR(_xlfn.IFS(R19="-","0",R19="근무","1",R19="휴무","1",R19="월차","1", R19="반차","1", R19="무단결근","0",R19="무단조퇴","0.5",R19="권장휴무","0",R19="권장조퇴","0.5",R19="예비군","1",R19="민방위","1",R19="지원","1",R19="파견","0")*$AZ19,0)</f>
        <v>0</v>
      </c>
      <c r="S77" s="464" cm="1">
        <f t="array" ref="S77">IFERROR(_xlfn.IFS(S19="-","0",S19="근무","1",S19="휴무","1",S19="월차","1", S19="반차","1", S19="무단결근","0",S19="무단조퇴","0.5",S19="권장휴무","0",S19="권장조퇴","0.5",S19="예비군","1",S19="민방위","1",S19="지원","1",S19="파견","0")*$AZ19,0)</f>
        <v>0</v>
      </c>
      <c r="T77" s="464" cm="1">
        <f t="array" ref="T77">IFERROR(_xlfn.IFS(T19="-","0",T19="근무","1",T19="휴무","1",T19="월차","1", T19="반차","1", T19="무단결근","0",T19="무단조퇴","0.5",T19="권장휴무","0",T19="권장조퇴","0.5",T19="예비군","1",T19="민방위","1",T19="지원","1",T19="파견","0")*$AZ19,0)</f>
        <v>0</v>
      </c>
      <c r="U77" s="464" cm="1">
        <f t="array" ref="U77">IFERROR(_xlfn.IFS(U19="-","0",U19="근무","1",U19="휴무","1",U19="월차","1", U19="반차","1", U19="무단결근","0",U19="무단조퇴","0.5",U19="권장휴무","0",U19="권장조퇴","0.5",U19="예비군","1",U19="민방위","1",U19="지원","1",U19="파견","0")*$AZ19,0)</f>
        <v>0</v>
      </c>
      <c r="V77" s="464" cm="1">
        <f t="array" ref="V77">IFERROR(_xlfn.IFS(V19="-","0",V19="근무","1",V19="휴무","1",V19="월차","1", V19="반차","1", V19="무단결근","0",V19="무단조퇴","0.5",V19="권장휴무","0",V19="권장조퇴","0.5",V19="예비군","1",V19="민방위","1",V19="지원","1",V19="파견","0")*$AZ19,0)</f>
        <v>0</v>
      </c>
      <c r="W77" s="464" cm="1">
        <f t="array" ref="W77">IFERROR(_xlfn.IFS(W19="-","0",W19="근무","1",W19="휴무","1",W19="월차","1", W19="반차","1", W19="무단결근","0",W19="무단조퇴","0.5",W19="권장휴무","0",W19="권장조퇴","0.5",W19="예비군","1",W19="민방위","1",W19="지원","1",W19="파견","0")*$AZ19,0)</f>
        <v>0</v>
      </c>
      <c r="X77" s="464" cm="1">
        <f t="array" ref="X77">IFERROR(_xlfn.IFS(X19="-","0",X19="근무","1",X19="휴무","1",X19="월차","1", X19="반차","1", X19="무단결근","0",X19="무단조퇴","0.5",X19="권장휴무","0",X19="권장조퇴","0.5",X19="예비군","1",X19="민방위","1",X19="지원","1",X19="파견","0")*$AZ19,0)</f>
        <v>0</v>
      </c>
      <c r="Y77" s="464" cm="1">
        <f t="array" ref="Y77">IFERROR(_xlfn.IFS(Y19="-","0",Y19="근무","1",Y19="휴무","1",Y19="월차","1", Y19="반차","1", Y19="무단결근","0",Y19="무단조퇴","0.5",Y19="권장휴무","0",Y19="권장조퇴","0.5",Y19="예비군","1",Y19="민방위","1",Y19="지원","1",Y19="파견","0")*$AZ19,0)</f>
        <v>0</v>
      </c>
      <c r="Z77" s="464" cm="1">
        <f t="array" ref="Z77">IFERROR(_xlfn.IFS(Z19="-","0",Z19="근무","1",Z19="휴무","1",Z19="월차","1", Z19="반차","1", Z19="무단결근","0",Z19="무단조퇴","0.5",Z19="권장휴무","0",Z19="권장조퇴","0.5",Z19="예비군","1",Z19="민방위","1",Z19="지원","1",Z19="파견","0")*$AZ19,0)</f>
        <v>0</v>
      </c>
      <c r="AA77" s="464" cm="1">
        <f t="array" ref="AA77">IFERROR(_xlfn.IFS(AA19="-","0",AA19="근무","1",AA19="휴무","1",AA19="월차","1", AA19="반차","1", AA19="무단결근","0",AA19="무단조퇴","0.5",AA19="권장휴무","0",AA19="권장조퇴","0.5",AA19="예비군","1",AA19="민방위","1",AA19="지원","1",AA19="파견","0")*$AZ19,0)</f>
        <v>0</v>
      </c>
      <c r="AB77" s="464" cm="1">
        <f t="array" ref="AB77">IFERROR(_xlfn.IFS(AB19="-","0",AB19="근무","1",AB19="휴무","1",AB19="월차","1", AB19="반차","1", AB19="무단결근","0",AB19="무단조퇴","0.5",AB19="권장휴무","0",AB19="권장조퇴","0.5",AB19="예비군","1",AB19="민방위","1",AB19="지원","1",AB19="파견","0")*$AZ19,0)</f>
        <v>0</v>
      </c>
      <c r="AC77" s="464" cm="1">
        <f t="array" ref="AC77">IFERROR(_xlfn.IFS(AC19="-","0",AC19="근무","1",AC19="휴무","1",AC19="월차","1", AC19="반차","1", AC19="무단결근","0",AC19="무단조퇴","0.5",AC19="권장휴무","0",AC19="권장조퇴","0.5",AC19="예비군","1",AC19="민방위","1",AC19="지원","1",AC19="파견","0")*$AZ19,0)</f>
        <v>0</v>
      </c>
      <c r="AD77" s="464" cm="1">
        <f t="array" ref="AD77">IFERROR(_xlfn.IFS(AD19="-","0",AD19="근무","1",AD19="휴무","1",AD19="월차","1", AD19="반차","1", AD19="무단결근","0",AD19="무단조퇴","0.5",AD19="권장휴무","0",AD19="권장조퇴","0.5",AD19="예비군","1",AD19="민방위","1",AD19="지원","1",AD19="파견","0")*$AZ19,0)</f>
        <v>0</v>
      </c>
      <c r="AE77" s="464" cm="1">
        <f t="array" ref="AE77">IFERROR(_xlfn.IFS(AE19="-","0",AE19="근무","1",AE19="휴무","1",AE19="월차","1", AE19="반차","1", AE19="무단결근","0",AE19="무단조퇴","0.5",AE19="권장휴무","0",AE19="권장조퇴","0.5",AE19="예비군","1",AE19="민방위","1",AE19="지원","1",AE19="파견","0")*$AZ19,0)</f>
        <v>0</v>
      </c>
      <c r="AF77" s="464" cm="1">
        <f t="array" ref="AF77">IFERROR(_xlfn.IFS(AF19="-","0",AF19="근무","1",AF19="휴무","1",AF19="월차","1", AF19="반차","1", AF19="무단결근","0",AF19="무단조퇴","0.5",AF19="권장휴무","0",AF19="권장조퇴","0.5",AF19="예비군","1",AF19="민방위","1",AF19="지원","1",AF19="파견","0")*$AZ19,0)</f>
        <v>0</v>
      </c>
      <c r="AG77" s="464" cm="1">
        <f t="array" ref="AG77">IFERROR(_xlfn.IFS(AG19="-","0",AG19="근무","1",AG19="휴무","1",AG19="월차","1", AG19="반차","1", AG19="무단결근","0",AG19="무단조퇴","0.5",AG19="권장휴무","0",AG19="권장조퇴","0.5",AG19="예비군","1",AG19="민방위","1",AG19="지원","1",AG19="파견","0")*$AZ19,0)</f>
        <v>0</v>
      </c>
      <c r="AH77" s="464" cm="1">
        <f t="array" ref="AH77">IFERROR(_xlfn.IFS(AH19="-","0",AH19="근무","1",AH19="휴무","1",AH19="월차","1", AH19="반차","1", AH19="무단결근","0",AH19="무단조퇴","0.5",AH19="권장휴무","0",AH19="권장조퇴","0.5",AH19="예비군","1",AH19="민방위","1",AH19="지원","1",AH19="파견","0")*$AZ19,0)</f>
        <v>0</v>
      </c>
      <c r="AI77" s="464" cm="1">
        <f t="array" ref="AI77">IFERROR(_xlfn.IFS(AI19="-","0",AI19="근무","1",AI19="휴무","1",AI19="월차","1", AI19="반차","1", AI19="무단결근","0",AI19="무단조퇴","0.5",AI19="권장휴무","0",AI19="권장조퇴","0.5",AI19="예비군","1",AI19="민방위","1",AI19="지원","1",AI19="파견","0")*$AZ19,0)</f>
        <v>0</v>
      </c>
      <c r="AJ77" s="464" cm="1">
        <f t="array" ref="AJ77">IFERROR(_xlfn.IFS(AJ19="-","0",AJ19="근무","1",AJ19="휴무","1",AJ19="월차","1", AJ19="반차","1", AJ19="무단결근","0",AJ19="무단조퇴","0.5",AJ19="권장휴무","0",AJ19="권장조퇴","0.5",AJ19="예비군","1",AJ19="민방위","1",AJ19="지원","1",AJ19="파견","0")*$AZ19,0)</f>
        <v>0</v>
      </c>
      <c r="AK77" s="464" cm="1">
        <f t="array" ref="AK77">IFERROR(_xlfn.IFS(AK19="-","0",AK19="근무","1",AK19="휴무","1",AK19="월차","1", AK19="반차","1", AK19="무단결근","0",AK19="무단조퇴","0.5",AK19="권장휴무","0",AK19="권장조퇴","0.5",AK19="예비군","1",AK19="민방위","1",AK19="지원","1",AK19="파견","0")*$AZ19,0)</f>
        <v>0</v>
      </c>
    </row>
    <row r="78" spans="2:37" s="6" customFormat="1" ht="21.95" hidden="1" customHeight="1" x14ac:dyDescent="0.25">
      <c r="B78" s="42">
        <f t="shared" si="29"/>
        <v>0</v>
      </c>
      <c r="C78" s="22" t="str">
        <f t="shared" si="29"/>
        <v>선택</v>
      </c>
      <c r="D78" s="22">
        <f t="shared" si="29"/>
        <v>0</v>
      </c>
      <c r="E78" s="21">
        <f t="shared" si="29"/>
        <v>0</v>
      </c>
      <c r="F78" s="21">
        <f t="shared" si="29"/>
        <v>0</v>
      </c>
      <c r="G78" s="463" cm="1">
        <f t="array" ref="G78">IFERROR(_xlfn.IFS(G20="-","0",G20="근무","1",G20="휴무","1",G20="월차","1", G20="반차","1", G20="무단결근","0",G20="무단조퇴","0.5",G20="권장휴무","0",G20="권장조퇴","0.5",G20="예비군","1",G20="민방위","1",G20="지원","1",G20="파견","0")*$AZ20,0)</f>
        <v>0</v>
      </c>
      <c r="H78" s="464" cm="1">
        <f t="array" ref="H78">IFERROR(_xlfn.IFS(H20="-","0",H20="근무","1",H20="휴무","1",H20="월차","1", H20="반차","1", H20="무단결근","0",H20="무단조퇴","0.5",H20="권장휴무","0",H20="권장조퇴","0.5",H20="예비군","1",H20="민방위","1",H20="지원","1",H20="파견","0")*$AZ20,0)</f>
        <v>0</v>
      </c>
      <c r="I78" s="464" cm="1">
        <f t="array" ref="I78">IFERROR(_xlfn.IFS(I20="-","0",I20="근무","1",I20="휴무","1",I20="월차","1", I20="반차","1", I20="무단결근","0",I20="무단조퇴","0.5",I20="권장휴무","0",I20="권장조퇴","0.5",I20="예비군","1",I20="민방위","1",I20="지원","1",I20="파견","0")*$AZ20,0)</f>
        <v>0</v>
      </c>
      <c r="J78" s="464" cm="1">
        <f t="array" ref="J78">IFERROR(_xlfn.IFS(J20="-","0",J20="근무","1",J20="휴무","1",J20="월차","1", J20="반차","1", J20="무단결근","0",J20="무단조퇴","0.5",J20="권장휴무","0",J20="권장조퇴","0.5",J20="예비군","1",J20="민방위","1",J20="지원","1",J20="파견","0")*$AZ20,0)</f>
        <v>0</v>
      </c>
      <c r="K78" s="464" cm="1">
        <f t="array" ref="K78">IFERROR(_xlfn.IFS(K20="-","0",K20="근무","1",K20="휴무","1",K20="월차","1", K20="반차","1", K20="무단결근","0",K20="무단조퇴","0.5",K20="권장휴무","0",K20="권장조퇴","0.5",K20="예비군","1",K20="민방위","1",K20="지원","1",K20="파견","0")*$AZ20,0)</f>
        <v>0</v>
      </c>
      <c r="L78" s="464" cm="1">
        <f t="array" ref="L78">IFERROR(_xlfn.IFS(L20="-","0",L20="근무","1",L20="휴무","1",L20="월차","1", L20="반차","1", L20="무단결근","0",L20="무단조퇴","0.5",L20="권장휴무","0",L20="권장조퇴","0.5",L20="예비군","1",L20="민방위","1",L20="지원","1",L20="파견","0")*$AZ20,0)</f>
        <v>0</v>
      </c>
      <c r="M78" s="464" cm="1">
        <f t="array" ref="M78">IFERROR(_xlfn.IFS(M20="-","0",M20="근무","1",M20="휴무","1",M20="월차","1", M20="반차","1", M20="무단결근","0",M20="무단조퇴","0.5",M20="권장휴무","0",M20="권장조퇴","0.5",M20="예비군","1",M20="민방위","1",M20="지원","1",M20="파견","0")*$AZ20,0)</f>
        <v>0</v>
      </c>
      <c r="N78" s="464" cm="1">
        <f t="array" ref="N78">IFERROR(_xlfn.IFS(N20="-","0",N20="근무","1",N20="휴무","1",N20="월차","1", N20="반차","1", N20="무단결근","0",N20="무단조퇴","0.5",N20="권장휴무","0",N20="권장조퇴","0.5",N20="예비군","1",N20="민방위","1",N20="지원","1",N20="파견","0")*$AZ20,0)</f>
        <v>0</v>
      </c>
      <c r="O78" s="464" cm="1">
        <f t="array" ref="O78">IFERROR(_xlfn.IFS(O20="-","0",O20="근무","1",O20="휴무","1",O20="월차","1", O20="반차","1", O20="무단결근","0",O20="무단조퇴","0.5",O20="권장휴무","0",O20="권장조퇴","0.5",O20="예비군","1",O20="민방위","1",O20="지원","1",O20="파견","0")*$AZ20,0)</f>
        <v>0</v>
      </c>
      <c r="P78" s="464" cm="1">
        <f t="array" ref="P78">IFERROR(_xlfn.IFS(P20="-","0",P20="근무","1",P20="휴무","1",P20="월차","1", P20="반차","1", P20="무단결근","0",P20="무단조퇴","0.5",P20="권장휴무","0",P20="권장조퇴","0.5",P20="예비군","1",P20="민방위","1",P20="지원","1",P20="파견","0")*$AZ20,0)</f>
        <v>0</v>
      </c>
      <c r="Q78" s="464" cm="1">
        <f t="array" ref="Q78">IFERROR(_xlfn.IFS(Q20="-","0",Q20="근무","1",Q20="휴무","1",Q20="월차","1", Q20="반차","1", Q20="무단결근","0",Q20="무단조퇴","0.5",Q20="권장휴무","0",Q20="권장조퇴","0.5",Q20="예비군","1",Q20="민방위","1",Q20="지원","1",Q20="파견","0")*$AZ20,0)</f>
        <v>0</v>
      </c>
      <c r="R78" s="464" cm="1">
        <f t="array" ref="R78">IFERROR(_xlfn.IFS(R20="-","0",R20="근무","1",R20="휴무","1",R20="월차","1", R20="반차","1", R20="무단결근","0",R20="무단조퇴","0.5",R20="권장휴무","0",R20="권장조퇴","0.5",R20="예비군","1",R20="민방위","1",R20="지원","1",R20="파견","0")*$AZ20,0)</f>
        <v>0</v>
      </c>
      <c r="S78" s="464" cm="1">
        <f t="array" ref="S78">IFERROR(_xlfn.IFS(S20="-","0",S20="근무","1",S20="휴무","1",S20="월차","1", S20="반차","1", S20="무단결근","0",S20="무단조퇴","0.5",S20="권장휴무","0",S20="권장조퇴","0.5",S20="예비군","1",S20="민방위","1",S20="지원","1",S20="파견","0")*$AZ20,0)</f>
        <v>0</v>
      </c>
      <c r="T78" s="464" cm="1">
        <f t="array" ref="T78">IFERROR(_xlfn.IFS(T20="-","0",T20="근무","1",T20="휴무","1",T20="월차","1", T20="반차","1", T20="무단결근","0",T20="무단조퇴","0.5",T20="권장휴무","0",T20="권장조퇴","0.5",T20="예비군","1",T20="민방위","1",T20="지원","1",T20="파견","0")*$AZ20,0)</f>
        <v>0</v>
      </c>
      <c r="U78" s="464" cm="1">
        <f t="array" ref="U78">IFERROR(_xlfn.IFS(U20="-","0",U20="근무","1",U20="휴무","1",U20="월차","1", U20="반차","1", U20="무단결근","0",U20="무단조퇴","0.5",U20="권장휴무","0",U20="권장조퇴","0.5",U20="예비군","1",U20="민방위","1",U20="지원","1",U20="파견","0")*$AZ20,0)</f>
        <v>0</v>
      </c>
      <c r="V78" s="464" cm="1">
        <f t="array" ref="V78">IFERROR(_xlfn.IFS(V20="-","0",V20="근무","1",V20="휴무","1",V20="월차","1", V20="반차","1", V20="무단결근","0",V20="무단조퇴","0.5",V20="권장휴무","0",V20="권장조퇴","0.5",V20="예비군","1",V20="민방위","1",V20="지원","1",V20="파견","0")*$AZ20,0)</f>
        <v>0</v>
      </c>
      <c r="W78" s="464" cm="1">
        <f t="array" ref="W78">IFERROR(_xlfn.IFS(W20="-","0",W20="근무","1",W20="휴무","1",W20="월차","1", W20="반차","1", W20="무단결근","0",W20="무단조퇴","0.5",W20="권장휴무","0",W20="권장조퇴","0.5",W20="예비군","1",W20="민방위","1",W20="지원","1",W20="파견","0")*$AZ20,0)</f>
        <v>0</v>
      </c>
      <c r="X78" s="464" cm="1">
        <f t="array" ref="X78">IFERROR(_xlfn.IFS(X20="-","0",X20="근무","1",X20="휴무","1",X20="월차","1", X20="반차","1", X20="무단결근","0",X20="무단조퇴","0.5",X20="권장휴무","0",X20="권장조퇴","0.5",X20="예비군","1",X20="민방위","1",X20="지원","1",X20="파견","0")*$AZ20,0)</f>
        <v>0</v>
      </c>
      <c r="Y78" s="464" cm="1">
        <f t="array" ref="Y78">IFERROR(_xlfn.IFS(Y20="-","0",Y20="근무","1",Y20="휴무","1",Y20="월차","1", Y20="반차","1", Y20="무단결근","0",Y20="무단조퇴","0.5",Y20="권장휴무","0",Y20="권장조퇴","0.5",Y20="예비군","1",Y20="민방위","1",Y20="지원","1",Y20="파견","0")*$AZ20,0)</f>
        <v>0</v>
      </c>
      <c r="Z78" s="464" cm="1">
        <f t="array" ref="Z78">IFERROR(_xlfn.IFS(Z20="-","0",Z20="근무","1",Z20="휴무","1",Z20="월차","1", Z20="반차","1", Z20="무단결근","0",Z20="무단조퇴","0.5",Z20="권장휴무","0",Z20="권장조퇴","0.5",Z20="예비군","1",Z20="민방위","1",Z20="지원","1",Z20="파견","0")*$AZ20,0)</f>
        <v>0</v>
      </c>
      <c r="AA78" s="464" cm="1">
        <f t="array" ref="AA78">IFERROR(_xlfn.IFS(AA20="-","0",AA20="근무","1",AA20="휴무","1",AA20="월차","1", AA20="반차","1", AA20="무단결근","0",AA20="무단조퇴","0.5",AA20="권장휴무","0",AA20="권장조퇴","0.5",AA20="예비군","1",AA20="민방위","1",AA20="지원","1",AA20="파견","0")*$AZ20,0)</f>
        <v>0</v>
      </c>
      <c r="AB78" s="464" cm="1">
        <f t="array" ref="AB78">IFERROR(_xlfn.IFS(AB20="-","0",AB20="근무","1",AB20="휴무","1",AB20="월차","1", AB20="반차","1", AB20="무단결근","0",AB20="무단조퇴","0.5",AB20="권장휴무","0",AB20="권장조퇴","0.5",AB20="예비군","1",AB20="민방위","1",AB20="지원","1",AB20="파견","0")*$AZ20,0)</f>
        <v>0</v>
      </c>
      <c r="AC78" s="464" cm="1">
        <f t="array" ref="AC78">IFERROR(_xlfn.IFS(AC20="-","0",AC20="근무","1",AC20="휴무","1",AC20="월차","1", AC20="반차","1", AC20="무단결근","0",AC20="무단조퇴","0.5",AC20="권장휴무","0",AC20="권장조퇴","0.5",AC20="예비군","1",AC20="민방위","1",AC20="지원","1",AC20="파견","0")*$AZ20,0)</f>
        <v>0</v>
      </c>
      <c r="AD78" s="464" cm="1">
        <f t="array" ref="AD78">IFERROR(_xlfn.IFS(AD20="-","0",AD20="근무","1",AD20="휴무","1",AD20="월차","1", AD20="반차","1", AD20="무단결근","0",AD20="무단조퇴","0.5",AD20="권장휴무","0",AD20="권장조퇴","0.5",AD20="예비군","1",AD20="민방위","1",AD20="지원","1",AD20="파견","0")*$AZ20,0)</f>
        <v>0</v>
      </c>
      <c r="AE78" s="464" cm="1">
        <f t="array" ref="AE78">IFERROR(_xlfn.IFS(AE20="-","0",AE20="근무","1",AE20="휴무","1",AE20="월차","1", AE20="반차","1", AE20="무단결근","0",AE20="무단조퇴","0.5",AE20="권장휴무","0",AE20="권장조퇴","0.5",AE20="예비군","1",AE20="민방위","1",AE20="지원","1",AE20="파견","0")*$AZ20,0)</f>
        <v>0</v>
      </c>
      <c r="AF78" s="464" cm="1">
        <f t="array" ref="AF78">IFERROR(_xlfn.IFS(AF20="-","0",AF20="근무","1",AF20="휴무","1",AF20="월차","1", AF20="반차","1", AF20="무단결근","0",AF20="무단조퇴","0.5",AF20="권장휴무","0",AF20="권장조퇴","0.5",AF20="예비군","1",AF20="민방위","1",AF20="지원","1",AF20="파견","0")*$AZ20,0)</f>
        <v>0</v>
      </c>
      <c r="AG78" s="464" cm="1">
        <f t="array" ref="AG78">IFERROR(_xlfn.IFS(AG20="-","0",AG20="근무","1",AG20="휴무","1",AG20="월차","1", AG20="반차","1", AG20="무단결근","0",AG20="무단조퇴","0.5",AG20="권장휴무","0",AG20="권장조퇴","0.5",AG20="예비군","1",AG20="민방위","1",AG20="지원","1",AG20="파견","0")*$AZ20,0)</f>
        <v>0</v>
      </c>
      <c r="AH78" s="464" cm="1">
        <f t="array" ref="AH78">IFERROR(_xlfn.IFS(AH20="-","0",AH20="근무","1",AH20="휴무","1",AH20="월차","1", AH20="반차","1", AH20="무단결근","0",AH20="무단조퇴","0.5",AH20="권장휴무","0",AH20="권장조퇴","0.5",AH20="예비군","1",AH20="민방위","1",AH20="지원","1",AH20="파견","0")*$AZ20,0)</f>
        <v>0</v>
      </c>
      <c r="AI78" s="464" cm="1">
        <f t="array" ref="AI78">IFERROR(_xlfn.IFS(AI20="-","0",AI20="근무","1",AI20="휴무","1",AI20="월차","1", AI20="반차","1", AI20="무단결근","0",AI20="무단조퇴","0.5",AI20="권장휴무","0",AI20="권장조퇴","0.5",AI20="예비군","1",AI20="민방위","1",AI20="지원","1",AI20="파견","0")*$AZ20,0)</f>
        <v>0</v>
      </c>
      <c r="AJ78" s="464" cm="1">
        <f t="array" ref="AJ78">IFERROR(_xlfn.IFS(AJ20="-","0",AJ20="근무","1",AJ20="휴무","1",AJ20="월차","1", AJ20="반차","1", AJ20="무단결근","0",AJ20="무단조퇴","0.5",AJ20="권장휴무","0",AJ20="권장조퇴","0.5",AJ20="예비군","1",AJ20="민방위","1",AJ20="지원","1",AJ20="파견","0")*$AZ20,0)</f>
        <v>0</v>
      </c>
      <c r="AK78" s="464" cm="1">
        <f t="array" ref="AK78">IFERROR(_xlfn.IFS(AK20="-","0",AK20="근무","1",AK20="휴무","1",AK20="월차","1", AK20="반차","1", AK20="무단결근","0",AK20="무단조퇴","0.5",AK20="권장휴무","0",AK20="권장조퇴","0.5",AK20="예비군","1",AK20="민방위","1",AK20="지원","1",AK20="파견","0")*$AZ20,0)</f>
        <v>0</v>
      </c>
    </row>
    <row r="79" spans="2:37" s="6" customFormat="1" ht="21.95" hidden="1" customHeight="1" x14ac:dyDescent="0.25">
      <c r="B79" s="42">
        <f t="shared" si="29"/>
        <v>0</v>
      </c>
      <c r="C79" s="22" t="str">
        <f t="shared" si="29"/>
        <v>선택</v>
      </c>
      <c r="D79" s="22">
        <f t="shared" si="29"/>
        <v>0</v>
      </c>
      <c r="E79" s="21">
        <f t="shared" si="29"/>
        <v>0</v>
      </c>
      <c r="F79" s="21">
        <f t="shared" si="29"/>
        <v>0</v>
      </c>
      <c r="G79" s="463" cm="1">
        <f t="array" ref="G79">IFERROR(_xlfn.IFS(G21="-","0",G21="근무","1",G21="휴무","1",G21="월차","1", G21="반차","1", G21="무단결근","0",G21="무단조퇴","0.5",G21="권장휴무","0",G21="권장조퇴","0.5",G21="예비군","1",G21="민방위","1",G21="지원","1",G21="파견","0")*$AZ21,0)</f>
        <v>0</v>
      </c>
      <c r="H79" s="464" cm="1">
        <f t="array" ref="H79">IFERROR(_xlfn.IFS(H21="-","0",H21="근무","1",H21="휴무","1",H21="월차","1", H21="반차","1", H21="무단결근","0",H21="무단조퇴","0.5",H21="권장휴무","0",H21="권장조퇴","0.5",H21="예비군","1",H21="민방위","1",H21="지원","1",H21="파견","0")*$AZ21,0)</f>
        <v>0</v>
      </c>
      <c r="I79" s="464" cm="1">
        <f t="array" ref="I79">IFERROR(_xlfn.IFS(I21="-","0",I21="근무","1",I21="휴무","1",I21="월차","1", I21="반차","1", I21="무단결근","0",I21="무단조퇴","0.5",I21="권장휴무","0",I21="권장조퇴","0.5",I21="예비군","1",I21="민방위","1",I21="지원","1",I21="파견","0")*$AZ21,0)</f>
        <v>0</v>
      </c>
      <c r="J79" s="464" cm="1">
        <f t="array" ref="J79">IFERROR(_xlfn.IFS(J21="-","0",J21="근무","1",J21="휴무","1",J21="월차","1", J21="반차","1", J21="무단결근","0",J21="무단조퇴","0.5",J21="권장휴무","0",J21="권장조퇴","0.5",J21="예비군","1",J21="민방위","1",J21="지원","1",J21="파견","0")*$AZ21,0)</f>
        <v>0</v>
      </c>
      <c r="K79" s="464" cm="1">
        <f t="array" ref="K79">IFERROR(_xlfn.IFS(K21="-","0",K21="근무","1",K21="휴무","1",K21="월차","1", K21="반차","1", K21="무단결근","0",K21="무단조퇴","0.5",K21="권장휴무","0",K21="권장조퇴","0.5",K21="예비군","1",K21="민방위","1",K21="지원","1",K21="파견","0")*$AZ21,0)</f>
        <v>0</v>
      </c>
      <c r="L79" s="464" cm="1">
        <f t="array" ref="L79">IFERROR(_xlfn.IFS(L21="-","0",L21="근무","1",L21="휴무","1",L21="월차","1", L21="반차","1", L21="무단결근","0",L21="무단조퇴","0.5",L21="권장휴무","0",L21="권장조퇴","0.5",L21="예비군","1",L21="민방위","1",L21="지원","1",L21="파견","0")*$AZ21,0)</f>
        <v>0</v>
      </c>
      <c r="M79" s="464" cm="1">
        <f t="array" ref="M79">IFERROR(_xlfn.IFS(M21="-","0",M21="근무","1",M21="휴무","1",M21="월차","1", M21="반차","1", M21="무단결근","0",M21="무단조퇴","0.5",M21="권장휴무","0",M21="권장조퇴","0.5",M21="예비군","1",M21="민방위","1",M21="지원","1",M21="파견","0")*$AZ21,0)</f>
        <v>0</v>
      </c>
      <c r="N79" s="464" cm="1">
        <f t="array" ref="N79">IFERROR(_xlfn.IFS(N21="-","0",N21="근무","1",N21="휴무","1",N21="월차","1", N21="반차","1", N21="무단결근","0",N21="무단조퇴","0.5",N21="권장휴무","0",N21="권장조퇴","0.5",N21="예비군","1",N21="민방위","1",N21="지원","1",N21="파견","0")*$AZ21,0)</f>
        <v>0</v>
      </c>
      <c r="O79" s="464" cm="1">
        <f t="array" ref="O79">IFERROR(_xlfn.IFS(O21="-","0",O21="근무","1",O21="휴무","1",O21="월차","1", O21="반차","1", O21="무단결근","0",O21="무단조퇴","0.5",O21="권장휴무","0",O21="권장조퇴","0.5",O21="예비군","1",O21="민방위","1",O21="지원","1",O21="파견","0")*$AZ21,0)</f>
        <v>0</v>
      </c>
      <c r="P79" s="464" cm="1">
        <f t="array" ref="P79">IFERROR(_xlfn.IFS(P21="-","0",P21="근무","1",P21="휴무","1",P21="월차","1", P21="반차","1", P21="무단결근","0",P21="무단조퇴","0.5",P21="권장휴무","0",P21="권장조퇴","0.5",P21="예비군","1",P21="민방위","1",P21="지원","1",P21="파견","0")*$AZ21,0)</f>
        <v>0</v>
      </c>
      <c r="Q79" s="464" cm="1">
        <f t="array" ref="Q79">IFERROR(_xlfn.IFS(Q21="-","0",Q21="근무","1",Q21="휴무","1",Q21="월차","1", Q21="반차","1", Q21="무단결근","0",Q21="무단조퇴","0.5",Q21="권장휴무","0",Q21="권장조퇴","0.5",Q21="예비군","1",Q21="민방위","1",Q21="지원","1",Q21="파견","0")*$AZ21,0)</f>
        <v>0</v>
      </c>
      <c r="R79" s="464" cm="1">
        <f t="array" ref="R79">IFERROR(_xlfn.IFS(R21="-","0",R21="근무","1",R21="휴무","1",R21="월차","1", R21="반차","1", R21="무단결근","0",R21="무단조퇴","0.5",R21="권장휴무","0",R21="권장조퇴","0.5",R21="예비군","1",R21="민방위","1",R21="지원","1",R21="파견","0")*$AZ21,0)</f>
        <v>0</v>
      </c>
      <c r="S79" s="464" cm="1">
        <f t="array" ref="S79">IFERROR(_xlfn.IFS(S21="-","0",S21="근무","1",S21="휴무","1",S21="월차","1", S21="반차","1", S21="무단결근","0",S21="무단조퇴","0.5",S21="권장휴무","0",S21="권장조퇴","0.5",S21="예비군","1",S21="민방위","1",S21="지원","1",S21="파견","0")*$AZ21,0)</f>
        <v>0</v>
      </c>
      <c r="T79" s="464" cm="1">
        <f t="array" ref="T79">IFERROR(_xlfn.IFS(T21="-","0",T21="근무","1",T21="휴무","1",T21="월차","1", T21="반차","1", T21="무단결근","0",T21="무단조퇴","0.5",T21="권장휴무","0",T21="권장조퇴","0.5",T21="예비군","1",T21="민방위","1",T21="지원","1",T21="파견","0")*$AZ21,0)</f>
        <v>0</v>
      </c>
      <c r="U79" s="464" cm="1">
        <f t="array" ref="U79">IFERROR(_xlfn.IFS(U21="-","0",U21="근무","1",U21="휴무","1",U21="월차","1", U21="반차","1", U21="무단결근","0",U21="무단조퇴","0.5",U21="권장휴무","0",U21="권장조퇴","0.5",U21="예비군","1",U21="민방위","1",U21="지원","1",U21="파견","0")*$AZ21,0)</f>
        <v>0</v>
      </c>
      <c r="V79" s="464" cm="1">
        <f t="array" ref="V79">IFERROR(_xlfn.IFS(V21="-","0",V21="근무","1",V21="휴무","1",V21="월차","1", V21="반차","1", V21="무단결근","0",V21="무단조퇴","0.5",V21="권장휴무","0",V21="권장조퇴","0.5",V21="예비군","1",V21="민방위","1",V21="지원","1",V21="파견","0")*$AZ21,0)</f>
        <v>0</v>
      </c>
      <c r="W79" s="464" cm="1">
        <f t="array" ref="W79">IFERROR(_xlfn.IFS(W21="-","0",W21="근무","1",W21="휴무","1",W21="월차","1", W21="반차","1", W21="무단결근","0",W21="무단조퇴","0.5",W21="권장휴무","0",W21="권장조퇴","0.5",W21="예비군","1",W21="민방위","1",W21="지원","1",W21="파견","0")*$AZ21,0)</f>
        <v>0</v>
      </c>
      <c r="X79" s="464" cm="1">
        <f t="array" ref="X79">IFERROR(_xlfn.IFS(X21="-","0",X21="근무","1",X21="휴무","1",X21="월차","1", X21="반차","1", X21="무단결근","0",X21="무단조퇴","0.5",X21="권장휴무","0",X21="권장조퇴","0.5",X21="예비군","1",X21="민방위","1",X21="지원","1",X21="파견","0")*$AZ21,0)</f>
        <v>0</v>
      </c>
      <c r="Y79" s="464" cm="1">
        <f t="array" ref="Y79">IFERROR(_xlfn.IFS(Y21="-","0",Y21="근무","1",Y21="휴무","1",Y21="월차","1", Y21="반차","1", Y21="무단결근","0",Y21="무단조퇴","0.5",Y21="권장휴무","0",Y21="권장조퇴","0.5",Y21="예비군","1",Y21="민방위","1",Y21="지원","1",Y21="파견","0")*$AZ21,0)</f>
        <v>0</v>
      </c>
      <c r="Z79" s="464" cm="1">
        <f t="array" ref="Z79">IFERROR(_xlfn.IFS(Z21="-","0",Z21="근무","1",Z21="휴무","1",Z21="월차","1", Z21="반차","1", Z21="무단결근","0",Z21="무단조퇴","0.5",Z21="권장휴무","0",Z21="권장조퇴","0.5",Z21="예비군","1",Z21="민방위","1",Z21="지원","1",Z21="파견","0")*$AZ21,0)</f>
        <v>0</v>
      </c>
      <c r="AA79" s="464" cm="1">
        <f t="array" ref="AA79">IFERROR(_xlfn.IFS(AA21="-","0",AA21="근무","1",AA21="휴무","1",AA21="월차","1", AA21="반차","1", AA21="무단결근","0",AA21="무단조퇴","0.5",AA21="권장휴무","0",AA21="권장조퇴","0.5",AA21="예비군","1",AA21="민방위","1",AA21="지원","1",AA21="파견","0")*$AZ21,0)</f>
        <v>0</v>
      </c>
      <c r="AB79" s="464" cm="1">
        <f t="array" ref="AB79">IFERROR(_xlfn.IFS(AB21="-","0",AB21="근무","1",AB21="휴무","1",AB21="월차","1", AB21="반차","1", AB21="무단결근","0",AB21="무단조퇴","0.5",AB21="권장휴무","0",AB21="권장조퇴","0.5",AB21="예비군","1",AB21="민방위","1",AB21="지원","1",AB21="파견","0")*$AZ21,0)</f>
        <v>0</v>
      </c>
      <c r="AC79" s="464" cm="1">
        <f t="array" ref="AC79">IFERROR(_xlfn.IFS(AC21="-","0",AC21="근무","1",AC21="휴무","1",AC21="월차","1", AC21="반차","1", AC21="무단결근","0",AC21="무단조퇴","0.5",AC21="권장휴무","0",AC21="권장조퇴","0.5",AC21="예비군","1",AC21="민방위","1",AC21="지원","1",AC21="파견","0")*$AZ21,0)</f>
        <v>0</v>
      </c>
      <c r="AD79" s="464" cm="1">
        <f t="array" ref="AD79">IFERROR(_xlfn.IFS(AD21="-","0",AD21="근무","1",AD21="휴무","1",AD21="월차","1", AD21="반차","1", AD21="무단결근","0",AD21="무단조퇴","0.5",AD21="권장휴무","0",AD21="권장조퇴","0.5",AD21="예비군","1",AD21="민방위","1",AD21="지원","1",AD21="파견","0")*$AZ21,0)</f>
        <v>0</v>
      </c>
      <c r="AE79" s="464" cm="1">
        <f t="array" ref="AE79">IFERROR(_xlfn.IFS(AE21="-","0",AE21="근무","1",AE21="휴무","1",AE21="월차","1", AE21="반차","1", AE21="무단결근","0",AE21="무단조퇴","0.5",AE21="권장휴무","0",AE21="권장조퇴","0.5",AE21="예비군","1",AE21="민방위","1",AE21="지원","1",AE21="파견","0")*$AZ21,0)</f>
        <v>0</v>
      </c>
      <c r="AF79" s="464" cm="1">
        <f t="array" ref="AF79">IFERROR(_xlfn.IFS(AF21="-","0",AF21="근무","1",AF21="휴무","1",AF21="월차","1", AF21="반차","1", AF21="무단결근","0",AF21="무단조퇴","0.5",AF21="권장휴무","0",AF21="권장조퇴","0.5",AF21="예비군","1",AF21="민방위","1",AF21="지원","1",AF21="파견","0")*$AZ21,0)</f>
        <v>0</v>
      </c>
      <c r="AG79" s="464" cm="1">
        <f t="array" ref="AG79">IFERROR(_xlfn.IFS(AG21="-","0",AG21="근무","1",AG21="휴무","1",AG21="월차","1", AG21="반차","1", AG21="무단결근","0",AG21="무단조퇴","0.5",AG21="권장휴무","0",AG21="권장조퇴","0.5",AG21="예비군","1",AG21="민방위","1",AG21="지원","1",AG21="파견","0")*$AZ21,0)</f>
        <v>0</v>
      </c>
      <c r="AH79" s="464" cm="1">
        <f t="array" ref="AH79">IFERROR(_xlfn.IFS(AH21="-","0",AH21="근무","1",AH21="휴무","1",AH21="월차","1", AH21="반차","1", AH21="무단결근","0",AH21="무단조퇴","0.5",AH21="권장휴무","0",AH21="권장조퇴","0.5",AH21="예비군","1",AH21="민방위","1",AH21="지원","1",AH21="파견","0")*$AZ21,0)</f>
        <v>0</v>
      </c>
      <c r="AI79" s="464" cm="1">
        <f t="array" ref="AI79">IFERROR(_xlfn.IFS(AI21="-","0",AI21="근무","1",AI21="휴무","1",AI21="월차","1", AI21="반차","1", AI21="무단결근","0",AI21="무단조퇴","0.5",AI21="권장휴무","0",AI21="권장조퇴","0.5",AI21="예비군","1",AI21="민방위","1",AI21="지원","1",AI21="파견","0")*$AZ21,0)</f>
        <v>0</v>
      </c>
      <c r="AJ79" s="464" cm="1">
        <f t="array" ref="AJ79">IFERROR(_xlfn.IFS(AJ21="-","0",AJ21="근무","1",AJ21="휴무","1",AJ21="월차","1", AJ21="반차","1", AJ21="무단결근","0",AJ21="무단조퇴","0.5",AJ21="권장휴무","0",AJ21="권장조퇴","0.5",AJ21="예비군","1",AJ21="민방위","1",AJ21="지원","1",AJ21="파견","0")*$AZ21,0)</f>
        <v>0</v>
      </c>
      <c r="AK79" s="464" cm="1">
        <f t="array" ref="AK79">IFERROR(_xlfn.IFS(AK21="-","0",AK21="근무","1",AK21="휴무","1",AK21="월차","1", AK21="반차","1", AK21="무단결근","0",AK21="무단조퇴","0.5",AK21="권장휴무","0",AK21="권장조퇴","0.5",AK21="예비군","1",AK21="민방위","1",AK21="지원","1",AK21="파견","0")*$AZ21,0)</f>
        <v>0</v>
      </c>
    </row>
    <row r="80" spans="2:37" s="6" customFormat="1" ht="21.95" hidden="1" customHeight="1" x14ac:dyDescent="0.25">
      <c r="B80" s="42">
        <f t="shared" si="29"/>
        <v>0</v>
      </c>
      <c r="C80" s="22" t="str">
        <f t="shared" si="29"/>
        <v>선택</v>
      </c>
      <c r="D80" s="22">
        <f t="shared" si="29"/>
        <v>0</v>
      </c>
      <c r="E80" s="21">
        <f t="shared" si="29"/>
        <v>0</v>
      </c>
      <c r="F80" s="21">
        <f t="shared" si="29"/>
        <v>0</v>
      </c>
      <c r="G80" s="463" cm="1">
        <f t="array" ref="G80">IFERROR(_xlfn.IFS(G22="-","0",G22="근무","1",G22="휴무","1",G22="월차","1", G22="반차","1", G22="무단결근","0",G22="무단조퇴","0.5",G22="권장휴무","0",G22="권장조퇴","0.5",G22="예비군","1",G22="민방위","1",G22="지원","1",G22="파견","0")*$AZ22,0)</f>
        <v>0</v>
      </c>
      <c r="H80" s="464" cm="1">
        <f t="array" ref="H80">IFERROR(_xlfn.IFS(H22="-","0",H22="근무","1",H22="휴무","1",H22="월차","1", H22="반차","1", H22="무단결근","0",H22="무단조퇴","0.5",H22="권장휴무","0",H22="권장조퇴","0.5",H22="예비군","1",H22="민방위","1",H22="지원","1",H22="파견","0")*$AZ22,0)</f>
        <v>0</v>
      </c>
      <c r="I80" s="464" cm="1">
        <f t="array" ref="I80">IFERROR(_xlfn.IFS(I22="-","0",I22="근무","1",I22="휴무","1",I22="월차","1", I22="반차","1", I22="무단결근","0",I22="무단조퇴","0.5",I22="권장휴무","0",I22="권장조퇴","0.5",I22="예비군","1",I22="민방위","1",I22="지원","1",I22="파견","0")*$AZ22,0)</f>
        <v>0</v>
      </c>
      <c r="J80" s="464" cm="1">
        <f t="array" ref="J80">IFERROR(_xlfn.IFS(J22="-","0",J22="근무","1",J22="휴무","1",J22="월차","1", J22="반차","1", J22="무단결근","0",J22="무단조퇴","0.5",J22="권장휴무","0",J22="권장조퇴","0.5",J22="예비군","1",J22="민방위","1",J22="지원","1",J22="파견","0")*$AZ22,0)</f>
        <v>0</v>
      </c>
      <c r="K80" s="464" cm="1">
        <f t="array" ref="K80">IFERROR(_xlfn.IFS(K22="-","0",K22="근무","1",K22="휴무","1",K22="월차","1", K22="반차","1", K22="무단결근","0",K22="무단조퇴","0.5",K22="권장휴무","0",K22="권장조퇴","0.5",K22="예비군","1",K22="민방위","1",K22="지원","1",K22="파견","0")*$AZ22,0)</f>
        <v>0</v>
      </c>
      <c r="L80" s="464" cm="1">
        <f t="array" ref="L80">IFERROR(_xlfn.IFS(L22="-","0",L22="근무","1",L22="휴무","1",L22="월차","1", L22="반차","1", L22="무단결근","0",L22="무단조퇴","0.5",L22="권장휴무","0",L22="권장조퇴","0.5",L22="예비군","1",L22="민방위","1",L22="지원","1",L22="파견","0")*$AZ22,0)</f>
        <v>0</v>
      </c>
      <c r="M80" s="464" cm="1">
        <f t="array" ref="M80">IFERROR(_xlfn.IFS(M22="-","0",M22="근무","1",M22="휴무","1",M22="월차","1", M22="반차","1", M22="무단결근","0",M22="무단조퇴","0.5",M22="권장휴무","0",M22="권장조퇴","0.5",M22="예비군","1",M22="민방위","1",M22="지원","1",M22="파견","0")*$AZ22,0)</f>
        <v>0</v>
      </c>
      <c r="N80" s="464" cm="1">
        <f t="array" ref="N80">IFERROR(_xlfn.IFS(N22="-","0",N22="근무","1",N22="휴무","1",N22="월차","1", N22="반차","1", N22="무단결근","0",N22="무단조퇴","0.5",N22="권장휴무","0",N22="권장조퇴","0.5",N22="예비군","1",N22="민방위","1",N22="지원","1",N22="파견","0")*$AZ22,0)</f>
        <v>0</v>
      </c>
      <c r="O80" s="464" cm="1">
        <f t="array" ref="O80">IFERROR(_xlfn.IFS(O22="-","0",O22="근무","1",O22="휴무","1",O22="월차","1", O22="반차","1", O22="무단결근","0",O22="무단조퇴","0.5",O22="권장휴무","0",O22="권장조퇴","0.5",O22="예비군","1",O22="민방위","1",O22="지원","1",O22="파견","0")*$AZ22,0)</f>
        <v>0</v>
      </c>
      <c r="P80" s="464" cm="1">
        <f t="array" ref="P80">IFERROR(_xlfn.IFS(P22="-","0",P22="근무","1",P22="휴무","1",P22="월차","1", P22="반차","1", P22="무단결근","0",P22="무단조퇴","0.5",P22="권장휴무","0",P22="권장조퇴","0.5",P22="예비군","1",P22="민방위","1",P22="지원","1",P22="파견","0")*$AZ22,0)</f>
        <v>0</v>
      </c>
      <c r="Q80" s="464" cm="1">
        <f t="array" ref="Q80">IFERROR(_xlfn.IFS(Q22="-","0",Q22="근무","1",Q22="휴무","1",Q22="월차","1", Q22="반차","1", Q22="무단결근","0",Q22="무단조퇴","0.5",Q22="권장휴무","0",Q22="권장조퇴","0.5",Q22="예비군","1",Q22="민방위","1",Q22="지원","1",Q22="파견","0")*$AZ22,0)</f>
        <v>0</v>
      </c>
      <c r="R80" s="464" cm="1">
        <f t="array" ref="R80">IFERROR(_xlfn.IFS(R22="-","0",R22="근무","1",R22="휴무","1",R22="월차","1", R22="반차","1", R22="무단결근","0",R22="무단조퇴","0.5",R22="권장휴무","0",R22="권장조퇴","0.5",R22="예비군","1",R22="민방위","1",R22="지원","1",R22="파견","0")*$AZ22,0)</f>
        <v>0</v>
      </c>
      <c r="S80" s="464" cm="1">
        <f t="array" ref="S80">IFERROR(_xlfn.IFS(S22="-","0",S22="근무","1",S22="휴무","1",S22="월차","1", S22="반차","1", S22="무단결근","0",S22="무단조퇴","0.5",S22="권장휴무","0",S22="권장조퇴","0.5",S22="예비군","1",S22="민방위","1",S22="지원","1",S22="파견","0")*$AZ22,0)</f>
        <v>0</v>
      </c>
      <c r="T80" s="464" cm="1">
        <f t="array" ref="T80">IFERROR(_xlfn.IFS(T22="-","0",T22="근무","1",T22="휴무","1",T22="월차","1", T22="반차","1", T22="무단결근","0",T22="무단조퇴","0.5",T22="권장휴무","0",T22="권장조퇴","0.5",T22="예비군","1",T22="민방위","1",T22="지원","1",T22="파견","0")*$AZ22,0)</f>
        <v>0</v>
      </c>
      <c r="U80" s="464" cm="1">
        <f t="array" ref="U80">IFERROR(_xlfn.IFS(U22="-","0",U22="근무","1",U22="휴무","1",U22="월차","1", U22="반차","1", U22="무단결근","0",U22="무단조퇴","0.5",U22="권장휴무","0",U22="권장조퇴","0.5",U22="예비군","1",U22="민방위","1",U22="지원","1",U22="파견","0")*$AZ22,0)</f>
        <v>0</v>
      </c>
      <c r="V80" s="464" cm="1">
        <f t="array" ref="V80">IFERROR(_xlfn.IFS(V22="-","0",V22="근무","1",V22="휴무","1",V22="월차","1", V22="반차","1", V22="무단결근","0",V22="무단조퇴","0.5",V22="권장휴무","0",V22="권장조퇴","0.5",V22="예비군","1",V22="민방위","1",V22="지원","1",V22="파견","0")*$AZ22,0)</f>
        <v>0</v>
      </c>
      <c r="W80" s="464" cm="1">
        <f t="array" ref="W80">IFERROR(_xlfn.IFS(W22="-","0",W22="근무","1",W22="휴무","1",W22="월차","1", W22="반차","1", W22="무단결근","0",W22="무단조퇴","0.5",W22="권장휴무","0",W22="권장조퇴","0.5",W22="예비군","1",W22="민방위","1",W22="지원","1",W22="파견","0")*$AZ22,0)</f>
        <v>0</v>
      </c>
      <c r="X80" s="464" cm="1">
        <f t="array" ref="X80">IFERROR(_xlfn.IFS(X22="-","0",X22="근무","1",X22="휴무","1",X22="월차","1", X22="반차","1", X22="무단결근","0",X22="무단조퇴","0.5",X22="권장휴무","0",X22="권장조퇴","0.5",X22="예비군","1",X22="민방위","1",X22="지원","1",X22="파견","0")*$AZ22,0)</f>
        <v>0</v>
      </c>
      <c r="Y80" s="464" cm="1">
        <f t="array" ref="Y80">IFERROR(_xlfn.IFS(Y22="-","0",Y22="근무","1",Y22="휴무","1",Y22="월차","1", Y22="반차","1", Y22="무단결근","0",Y22="무단조퇴","0.5",Y22="권장휴무","0",Y22="권장조퇴","0.5",Y22="예비군","1",Y22="민방위","1",Y22="지원","1",Y22="파견","0")*$AZ22,0)</f>
        <v>0</v>
      </c>
      <c r="Z80" s="464" cm="1">
        <f t="array" ref="Z80">IFERROR(_xlfn.IFS(Z22="-","0",Z22="근무","1",Z22="휴무","1",Z22="월차","1", Z22="반차","1", Z22="무단결근","0",Z22="무단조퇴","0.5",Z22="권장휴무","0",Z22="권장조퇴","0.5",Z22="예비군","1",Z22="민방위","1",Z22="지원","1",Z22="파견","0")*$AZ22,0)</f>
        <v>0</v>
      </c>
      <c r="AA80" s="464" cm="1">
        <f t="array" ref="AA80">IFERROR(_xlfn.IFS(AA22="-","0",AA22="근무","1",AA22="휴무","1",AA22="월차","1", AA22="반차","1", AA22="무단결근","0",AA22="무단조퇴","0.5",AA22="권장휴무","0",AA22="권장조퇴","0.5",AA22="예비군","1",AA22="민방위","1",AA22="지원","1",AA22="파견","0")*$AZ22,0)</f>
        <v>0</v>
      </c>
      <c r="AB80" s="464" cm="1">
        <f t="array" ref="AB80">IFERROR(_xlfn.IFS(AB22="-","0",AB22="근무","1",AB22="휴무","1",AB22="월차","1", AB22="반차","1", AB22="무단결근","0",AB22="무단조퇴","0.5",AB22="권장휴무","0",AB22="권장조퇴","0.5",AB22="예비군","1",AB22="민방위","1",AB22="지원","1",AB22="파견","0")*$AZ22,0)</f>
        <v>0</v>
      </c>
      <c r="AC80" s="464" cm="1">
        <f t="array" ref="AC80">IFERROR(_xlfn.IFS(AC22="-","0",AC22="근무","1",AC22="휴무","1",AC22="월차","1", AC22="반차","1", AC22="무단결근","0",AC22="무단조퇴","0.5",AC22="권장휴무","0",AC22="권장조퇴","0.5",AC22="예비군","1",AC22="민방위","1",AC22="지원","1",AC22="파견","0")*$AZ22,0)</f>
        <v>0</v>
      </c>
      <c r="AD80" s="464" cm="1">
        <f t="array" ref="AD80">IFERROR(_xlfn.IFS(AD22="-","0",AD22="근무","1",AD22="휴무","1",AD22="월차","1", AD22="반차","1", AD22="무단결근","0",AD22="무단조퇴","0.5",AD22="권장휴무","0",AD22="권장조퇴","0.5",AD22="예비군","1",AD22="민방위","1",AD22="지원","1",AD22="파견","0")*$AZ22,0)</f>
        <v>0</v>
      </c>
      <c r="AE80" s="464" cm="1">
        <f t="array" ref="AE80">IFERROR(_xlfn.IFS(AE22="-","0",AE22="근무","1",AE22="휴무","1",AE22="월차","1", AE22="반차","1", AE22="무단결근","0",AE22="무단조퇴","0.5",AE22="권장휴무","0",AE22="권장조퇴","0.5",AE22="예비군","1",AE22="민방위","1",AE22="지원","1",AE22="파견","0")*$AZ22,0)</f>
        <v>0</v>
      </c>
      <c r="AF80" s="464" cm="1">
        <f t="array" ref="AF80">IFERROR(_xlfn.IFS(AF22="-","0",AF22="근무","1",AF22="휴무","1",AF22="월차","1", AF22="반차","1", AF22="무단결근","0",AF22="무단조퇴","0.5",AF22="권장휴무","0",AF22="권장조퇴","0.5",AF22="예비군","1",AF22="민방위","1",AF22="지원","1",AF22="파견","0")*$AZ22,0)</f>
        <v>0</v>
      </c>
      <c r="AG80" s="464" cm="1">
        <f t="array" ref="AG80">IFERROR(_xlfn.IFS(AG22="-","0",AG22="근무","1",AG22="휴무","1",AG22="월차","1", AG22="반차","1", AG22="무단결근","0",AG22="무단조퇴","0.5",AG22="권장휴무","0",AG22="권장조퇴","0.5",AG22="예비군","1",AG22="민방위","1",AG22="지원","1",AG22="파견","0")*$AZ22,0)</f>
        <v>0</v>
      </c>
      <c r="AH80" s="464" cm="1">
        <f t="array" ref="AH80">IFERROR(_xlfn.IFS(AH22="-","0",AH22="근무","1",AH22="휴무","1",AH22="월차","1", AH22="반차","1", AH22="무단결근","0",AH22="무단조퇴","0.5",AH22="권장휴무","0",AH22="권장조퇴","0.5",AH22="예비군","1",AH22="민방위","1",AH22="지원","1",AH22="파견","0")*$AZ22,0)</f>
        <v>0</v>
      </c>
      <c r="AI80" s="464" cm="1">
        <f t="array" ref="AI80">IFERROR(_xlfn.IFS(AI22="-","0",AI22="근무","1",AI22="휴무","1",AI22="월차","1", AI22="반차","1", AI22="무단결근","0",AI22="무단조퇴","0.5",AI22="권장휴무","0",AI22="권장조퇴","0.5",AI22="예비군","1",AI22="민방위","1",AI22="지원","1",AI22="파견","0")*$AZ22,0)</f>
        <v>0</v>
      </c>
      <c r="AJ80" s="464" cm="1">
        <f t="array" ref="AJ80">IFERROR(_xlfn.IFS(AJ22="-","0",AJ22="근무","1",AJ22="휴무","1",AJ22="월차","1", AJ22="반차","1", AJ22="무단결근","0",AJ22="무단조퇴","0.5",AJ22="권장휴무","0",AJ22="권장조퇴","0.5",AJ22="예비군","1",AJ22="민방위","1",AJ22="지원","1",AJ22="파견","0")*$AZ22,0)</f>
        <v>0</v>
      </c>
      <c r="AK80" s="464" cm="1">
        <f t="array" ref="AK80">IFERROR(_xlfn.IFS(AK22="-","0",AK22="근무","1",AK22="휴무","1",AK22="월차","1", AK22="반차","1", AK22="무단결근","0",AK22="무단조퇴","0.5",AK22="권장휴무","0",AK22="권장조퇴","0.5",AK22="예비군","1",AK22="민방위","1",AK22="지원","1",AK22="파견","0")*$AZ22,0)</f>
        <v>0</v>
      </c>
    </row>
    <row r="81" spans="2:52" s="6" customFormat="1" ht="21.95" hidden="1" customHeight="1" x14ac:dyDescent="0.25">
      <c r="B81" s="42">
        <f t="shared" si="29"/>
        <v>0</v>
      </c>
      <c r="C81" s="22" t="str">
        <f t="shared" si="29"/>
        <v>선택</v>
      </c>
      <c r="D81" s="22">
        <f t="shared" si="29"/>
        <v>0</v>
      </c>
      <c r="E81" s="21">
        <f t="shared" si="29"/>
        <v>0</v>
      </c>
      <c r="F81" s="21">
        <f t="shared" si="29"/>
        <v>0</v>
      </c>
      <c r="G81" s="463" cm="1">
        <f t="array" ref="G81">IFERROR(_xlfn.IFS(G23="-","0",G23="근무","1",G23="휴무","1",G23="월차","1", G23="반차","1", G23="무단결근","0",G23="무단조퇴","0.5",G23="권장휴무","0",G23="권장조퇴","0.5",G23="예비군","1",G23="민방위","1",G23="지원","1",G23="파견","0")*$AZ23,0)</f>
        <v>0</v>
      </c>
      <c r="H81" s="464" cm="1">
        <f t="array" ref="H81">IFERROR(_xlfn.IFS(H23="-","0",H23="근무","1",H23="휴무","1",H23="월차","1", H23="반차","1", H23="무단결근","0",H23="무단조퇴","0.5",H23="권장휴무","0",H23="권장조퇴","0.5",H23="예비군","1",H23="민방위","1",H23="지원","1",H23="파견","0")*$AZ23,0)</f>
        <v>0</v>
      </c>
      <c r="I81" s="464" cm="1">
        <f t="array" ref="I81">IFERROR(_xlfn.IFS(I23="-","0",I23="근무","1",I23="휴무","1",I23="월차","1", I23="반차","1", I23="무단결근","0",I23="무단조퇴","0.5",I23="권장휴무","0",I23="권장조퇴","0.5",I23="예비군","1",I23="민방위","1",I23="지원","1",I23="파견","0")*$AZ23,0)</f>
        <v>0</v>
      </c>
      <c r="J81" s="464" cm="1">
        <f t="array" ref="J81">IFERROR(_xlfn.IFS(J23="-","0",J23="근무","1",J23="휴무","1",J23="월차","1", J23="반차","1", J23="무단결근","0",J23="무단조퇴","0.5",J23="권장휴무","0",J23="권장조퇴","0.5",J23="예비군","1",J23="민방위","1",J23="지원","1",J23="파견","0")*$AZ23,0)</f>
        <v>0</v>
      </c>
      <c r="K81" s="464" cm="1">
        <f t="array" ref="K81">IFERROR(_xlfn.IFS(K23="-","0",K23="근무","1",K23="휴무","1",K23="월차","1", K23="반차","1", K23="무단결근","0",K23="무단조퇴","0.5",K23="권장휴무","0",K23="권장조퇴","0.5",K23="예비군","1",K23="민방위","1",K23="지원","1",K23="파견","0")*$AZ23,0)</f>
        <v>0</v>
      </c>
      <c r="L81" s="464" cm="1">
        <f t="array" ref="L81">IFERROR(_xlfn.IFS(L23="-","0",L23="근무","1",L23="휴무","1",L23="월차","1", L23="반차","1", L23="무단결근","0",L23="무단조퇴","0.5",L23="권장휴무","0",L23="권장조퇴","0.5",L23="예비군","1",L23="민방위","1",L23="지원","1",L23="파견","0")*$AZ23,0)</f>
        <v>0</v>
      </c>
      <c r="M81" s="464" cm="1">
        <f t="array" ref="M81">IFERROR(_xlfn.IFS(M23="-","0",M23="근무","1",M23="휴무","1",M23="월차","1", M23="반차","1", M23="무단결근","0",M23="무단조퇴","0.5",M23="권장휴무","0",M23="권장조퇴","0.5",M23="예비군","1",M23="민방위","1",M23="지원","1",M23="파견","0")*$AZ23,0)</f>
        <v>0</v>
      </c>
      <c r="N81" s="464" cm="1">
        <f t="array" ref="N81">IFERROR(_xlfn.IFS(N23="-","0",N23="근무","1",N23="휴무","1",N23="월차","1", N23="반차","1", N23="무단결근","0",N23="무단조퇴","0.5",N23="권장휴무","0",N23="권장조퇴","0.5",N23="예비군","1",N23="민방위","1",N23="지원","1",N23="파견","0")*$AZ23,0)</f>
        <v>0</v>
      </c>
      <c r="O81" s="464" cm="1">
        <f t="array" ref="O81">IFERROR(_xlfn.IFS(O23="-","0",O23="근무","1",O23="휴무","1",O23="월차","1", O23="반차","1", O23="무단결근","0",O23="무단조퇴","0.5",O23="권장휴무","0",O23="권장조퇴","0.5",O23="예비군","1",O23="민방위","1",O23="지원","1",O23="파견","0")*$AZ23,0)</f>
        <v>0</v>
      </c>
      <c r="P81" s="464" cm="1">
        <f t="array" ref="P81">IFERROR(_xlfn.IFS(P23="-","0",P23="근무","1",P23="휴무","1",P23="월차","1", P23="반차","1", P23="무단결근","0",P23="무단조퇴","0.5",P23="권장휴무","0",P23="권장조퇴","0.5",P23="예비군","1",P23="민방위","1",P23="지원","1",P23="파견","0")*$AZ23,0)</f>
        <v>0</v>
      </c>
      <c r="Q81" s="464" cm="1">
        <f t="array" ref="Q81">IFERROR(_xlfn.IFS(Q23="-","0",Q23="근무","1",Q23="휴무","1",Q23="월차","1", Q23="반차","1", Q23="무단결근","0",Q23="무단조퇴","0.5",Q23="권장휴무","0",Q23="권장조퇴","0.5",Q23="예비군","1",Q23="민방위","1",Q23="지원","1",Q23="파견","0")*$AZ23,0)</f>
        <v>0</v>
      </c>
      <c r="R81" s="464" cm="1">
        <f t="array" ref="R81">IFERROR(_xlfn.IFS(R23="-","0",R23="근무","1",R23="휴무","1",R23="월차","1", R23="반차","1", R23="무단결근","0",R23="무단조퇴","0.5",R23="권장휴무","0",R23="권장조퇴","0.5",R23="예비군","1",R23="민방위","1",R23="지원","1",R23="파견","0")*$AZ23,0)</f>
        <v>0</v>
      </c>
      <c r="S81" s="464" cm="1">
        <f t="array" ref="S81">IFERROR(_xlfn.IFS(S23="-","0",S23="근무","1",S23="휴무","1",S23="월차","1", S23="반차","1", S23="무단결근","0",S23="무단조퇴","0.5",S23="권장휴무","0",S23="권장조퇴","0.5",S23="예비군","1",S23="민방위","1",S23="지원","1",S23="파견","0")*$AZ23,0)</f>
        <v>0</v>
      </c>
      <c r="T81" s="464" cm="1">
        <f t="array" ref="T81">IFERROR(_xlfn.IFS(T23="-","0",T23="근무","1",T23="휴무","1",T23="월차","1", T23="반차","1", T23="무단결근","0",T23="무단조퇴","0.5",T23="권장휴무","0",T23="권장조퇴","0.5",T23="예비군","1",T23="민방위","1",T23="지원","1",T23="파견","0")*$AZ23,0)</f>
        <v>0</v>
      </c>
      <c r="U81" s="464" cm="1">
        <f t="array" ref="U81">IFERROR(_xlfn.IFS(U23="-","0",U23="근무","1",U23="휴무","1",U23="월차","1", U23="반차","1", U23="무단결근","0",U23="무단조퇴","0.5",U23="권장휴무","0",U23="권장조퇴","0.5",U23="예비군","1",U23="민방위","1",U23="지원","1",U23="파견","0")*$AZ23,0)</f>
        <v>0</v>
      </c>
      <c r="V81" s="464" cm="1">
        <f t="array" ref="V81">IFERROR(_xlfn.IFS(V23="-","0",V23="근무","1",V23="휴무","1",V23="월차","1", V23="반차","1", V23="무단결근","0",V23="무단조퇴","0.5",V23="권장휴무","0",V23="권장조퇴","0.5",V23="예비군","1",V23="민방위","1",V23="지원","1",V23="파견","0")*$AZ23,0)</f>
        <v>0</v>
      </c>
      <c r="W81" s="464" cm="1">
        <f t="array" ref="W81">IFERROR(_xlfn.IFS(W23="-","0",W23="근무","1",W23="휴무","1",W23="월차","1", W23="반차","1", W23="무단결근","0",W23="무단조퇴","0.5",W23="권장휴무","0",W23="권장조퇴","0.5",W23="예비군","1",W23="민방위","1",W23="지원","1",W23="파견","0")*$AZ23,0)</f>
        <v>0</v>
      </c>
      <c r="X81" s="464" cm="1">
        <f t="array" ref="X81">IFERROR(_xlfn.IFS(X23="-","0",X23="근무","1",X23="휴무","1",X23="월차","1", X23="반차","1", X23="무단결근","0",X23="무단조퇴","0.5",X23="권장휴무","0",X23="권장조퇴","0.5",X23="예비군","1",X23="민방위","1",X23="지원","1",X23="파견","0")*$AZ23,0)</f>
        <v>0</v>
      </c>
      <c r="Y81" s="464" cm="1">
        <f t="array" ref="Y81">IFERROR(_xlfn.IFS(Y23="-","0",Y23="근무","1",Y23="휴무","1",Y23="월차","1", Y23="반차","1", Y23="무단결근","0",Y23="무단조퇴","0.5",Y23="권장휴무","0",Y23="권장조퇴","0.5",Y23="예비군","1",Y23="민방위","1",Y23="지원","1",Y23="파견","0")*$AZ23,0)</f>
        <v>0</v>
      </c>
      <c r="Z81" s="464" cm="1">
        <f t="array" ref="Z81">IFERROR(_xlfn.IFS(Z23="-","0",Z23="근무","1",Z23="휴무","1",Z23="월차","1", Z23="반차","1", Z23="무단결근","0",Z23="무단조퇴","0.5",Z23="권장휴무","0",Z23="권장조퇴","0.5",Z23="예비군","1",Z23="민방위","1",Z23="지원","1",Z23="파견","0")*$AZ23,0)</f>
        <v>0</v>
      </c>
      <c r="AA81" s="464" cm="1">
        <f t="array" ref="AA81">IFERROR(_xlfn.IFS(AA23="-","0",AA23="근무","1",AA23="휴무","1",AA23="월차","1", AA23="반차","1", AA23="무단결근","0",AA23="무단조퇴","0.5",AA23="권장휴무","0",AA23="권장조퇴","0.5",AA23="예비군","1",AA23="민방위","1",AA23="지원","1",AA23="파견","0")*$AZ23,0)</f>
        <v>0</v>
      </c>
      <c r="AB81" s="464" cm="1">
        <f t="array" ref="AB81">IFERROR(_xlfn.IFS(AB23="-","0",AB23="근무","1",AB23="휴무","1",AB23="월차","1", AB23="반차","1", AB23="무단결근","0",AB23="무단조퇴","0.5",AB23="권장휴무","0",AB23="권장조퇴","0.5",AB23="예비군","1",AB23="민방위","1",AB23="지원","1",AB23="파견","0")*$AZ23,0)</f>
        <v>0</v>
      </c>
      <c r="AC81" s="464" cm="1">
        <f t="array" ref="AC81">IFERROR(_xlfn.IFS(AC23="-","0",AC23="근무","1",AC23="휴무","1",AC23="월차","1", AC23="반차","1", AC23="무단결근","0",AC23="무단조퇴","0.5",AC23="권장휴무","0",AC23="권장조퇴","0.5",AC23="예비군","1",AC23="민방위","1",AC23="지원","1",AC23="파견","0")*$AZ23,0)</f>
        <v>0</v>
      </c>
      <c r="AD81" s="464" cm="1">
        <f t="array" ref="AD81">IFERROR(_xlfn.IFS(AD23="-","0",AD23="근무","1",AD23="휴무","1",AD23="월차","1", AD23="반차","1", AD23="무단결근","0",AD23="무단조퇴","0.5",AD23="권장휴무","0",AD23="권장조퇴","0.5",AD23="예비군","1",AD23="민방위","1",AD23="지원","1",AD23="파견","0")*$AZ23,0)</f>
        <v>0</v>
      </c>
      <c r="AE81" s="464" cm="1">
        <f t="array" ref="AE81">IFERROR(_xlfn.IFS(AE23="-","0",AE23="근무","1",AE23="휴무","1",AE23="월차","1", AE23="반차","1", AE23="무단결근","0",AE23="무단조퇴","0.5",AE23="권장휴무","0",AE23="권장조퇴","0.5",AE23="예비군","1",AE23="민방위","1",AE23="지원","1",AE23="파견","0")*$AZ23,0)</f>
        <v>0</v>
      </c>
      <c r="AF81" s="464" cm="1">
        <f t="array" ref="AF81">IFERROR(_xlfn.IFS(AF23="-","0",AF23="근무","1",AF23="휴무","1",AF23="월차","1", AF23="반차","1", AF23="무단결근","0",AF23="무단조퇴","0.5",AF23="권장휴무","0",AF23="권장조퇴","0.5",AF23="예비군","1",AF23="민방위","1",AF23="지원","1",AF23="파견","0")*$AZ23,0)</f>
        <v>0</v>
      </c>
      <c r="AG81" s="464" cm="1">
        <f t="array" ref="AG81">IFERROR(_xlfn.IFS(AG23="-","0",AG23="근무","1",AG23="휴무","1",AG23="월차","1", AG23="반차","1", AG23="무단결근","0",AG23="무단조퇴","0.5",AG23="권장휴무","0",AG23="권장조퇴","0.5",AG23="예비군","1",AG23="민방위","1",AG23="지원","1",AG23="파견","0")*$AZ23,0)</f>
        <v>0</v>
      </c>
      <c r="AH81" s="464" cm="1">
        <f t="array" ref="AH81">IFERROR(_xlfn.IFS(AH23="-","0",AH23="근무","1",AH23="휴무","1",AH23="월차","1", AH23="반차","1", AH23="무단결근","0",AH23="무단조퇴","0.5",AH23="권장휴무","0",AH23="권장조퇴","0.5",AH23="예비군","1",AH23="민방위","1",AH23="지원","1",AH23="파견","0")*$AZ23,0)</f>
        <v>0</v>
      </c>
      <c r="AI81" s="464" cm="1">
        <f t="array" ref="AI81">IFERROR(_xlfn.IFS(AI23="-","0",AI23="근무","1",AI23="휴무","1",AI23="월차","1", AI23="반차","1", AI23="무단결근","0",AI23="무단조퇴","0.5",AI23="권장휴무","0",AI23="권장조퇴","0.5",AI23="예비군","1",AI23="민방위","1",AI23="지원","1",AI23="파견","0")*$AZ23,0)</f>
        <v>0</v>
      </c>
      <c r="AJ81" s="464" cm="1">
        <f t="array" ref="AJ81">IFERROR(_xlfn.IFS(AJ23="-","0",AJ23="근무","1",AJ23="휴무","1",AJ23="월차","1", AJ23="반차","1", AJ23="무단결근","0",AJ23="무단조퇴","0.5",AJ23="권장휴무","0",AJ23="권장조퇴","0.5",AJ23="예비군","1",AJ23="민방위","1",AJ23="지원","1",AJ23="파견","0")*$AZ23,0)</f>
        <v>0</v>
      </c>
      <c r="AK81" s="464" cm="1">
        <f t="array" ref="AK81">IFERROR(_xlfn.IFS(AK23="-","0",AK23="근무","1",AK23="휴무","1",AK23="월차","1", AK23="반차","1", AK23="무단결근","0",AK23="무단조퇴","0.5",AK23="권장휴무","0",AK23="권장조퇴","0.5",AK23="예비군","1",AK23="민방위","1",AK23="지원","1",AK23="파견","0")*$AZ23,0)</f>
        <v>0</v>
      </c>
    </row>
    <row r="82" spans="2:52" s="6" customFormat="1" ht="21.95" hidden="1" customHeight="1" x14ac:dyDescent="0.25">
      <c r="B82" s="42">
        <f t="shared" si="29"/>
        <v>0</v>
      </c>
      <c r="C82" s="22" t="str">
        <f t="shared" si="29"/>
        <v>선택</v>
      </c>
      <c r="D82" s="22">
        <f t="shared" si="29"/>
        <v>0</v>
      </c>
      <c r="E82" s="21">
        <f t="shared" si="29"/>
        <v>0</v>
      </c>
      <c r="F82" s="21">
        <f t="shared" si="29"/>
        <v>0</v>
      </c>
      <c r="G82" s="463" cm="1">
        <f t="array" ref="G82">IFERROR(_xlfn.IFS(G24="-","0",G24="근무","1",G24="휴무","1",G24="월차","1", G24="반차","1", G24="무단결근","0",G24="무단조퇴","0.5",G24="권장휴무","0",G24="권장조퇴","0.5",G24="예비군","1",G24="민방위","1",G24="지원","1",G24="파견","0")*$AZ24,0)</f>
        <v>0</v>
      </c>
      <c r="H82" s="464" cm="1">
        <f t="array" ref="H82">IFERROR(_xlfn.IFS(H24="-","0",H24="근무","1",H24="휴무","1",H24="월차","1", H24="반차","1", H24="무단결근","0",H24="무단조퇴","0.5",H24="권장휴무","0",H24="권장조퇴","0.5",H24="예비군","1",H24="민방위","1",H24="지원","1",H24="파견","0")*$AZ24,0)</f>
        <v>0</v>
      </c>
      <c r="I82" s="464" cm="1">
        <f t="array" ref="I82">IFERROR(_xlfn.IFS(I24="-","0",I24="근무","1",I24="휴무","1",I24="월차","1", I24="반차","1", I24="무단결근","0",I24="무단조퇴","0.5",I24="권장휴무","0",I24="권장조퇴","0.5",I24="예비군","1",I24="민방위","1",I24="지원","1",I24="파견","0")*$AZ24,0)</f>
        <v>0</v>
      </c>
      <c r="J82" s="464" cm="1">
        <f t="array" ref="J82">IFERROR(_xlfn.IFS(J24="-","0",J24="근무","1",J24="휴무","1",J24="월차","1", J24="반차","1", J24="무단결근","0",J24="무단조퇴","0.5",J24="권장휴무","0",J24="권장조퇴","0.5",J24="예비군","1",J24="민방위","1",J24="지원","1",J24="파견","0")*$AZ24,0)</f>
        <v>0</v>
      </c>
      <c r="K82" s="464" cm="1">
        <f t="array" ref="K82">IFERROR(_xlfn.IFS(K24="-","0",K24="근무","1",K24="휴무","1",K24="월차","1", K24="반차","1", K24="무단결근","0",K24="무단조퇴","0.5",K24="권장휴무","0",K24="권장조퇴","0.5",K24="예비군","1",K24="민방위","1",K24="지원","1",K24="파견","0")*$AZ24,0)</f>
        <v>0</v>
      </c>
      <c r="L82" s="464" cm="1">
        <f t="array" ref="L82">IFERROR(_xlfn.IFS(L24="-","0",L24="근무","1",L24="휴무","1",L24="월차","1", L24="반차","1", L24="무단결근","0",L24="무단조퇴","0.5",L24="권장휴무","0",L24="권장조퇴","0.5",L24="예비군","1",L24="민방위","1",L24="지원","1",L24="파견","0")*$AZ24,0)</f>
        <v>0</v>
      </c>
      <c r="M82" s="464" cm="1">
        <f t="array" ref="M82">IFERROR(_xlfn.IFS(M24="-","0",M24="근무","1",M24="휴무","1",M24="월차","1", M24="반차","1", M24="무단결근","0",M24="무단조퇴","0.5",M24="권장휴무","0",M24="권장조퇴","0.5",M24="예비군","1",M24="민방위","1",M24="지원","1",M24="파견","0")*$AZ24,0)</f>
        <v>0</v>
      </c>
      <c r="N82" s="464" cm="1">
        <f t="array" ref="N82">IFERROR(_xlfn.IFS(N24="-","0",N24="근무","1",N24="휴무","1",N24="월차","1", N24="반차","1", N24="무단결근","0",N24="무단조퇴","0.5",N24="권장휴무","0",N24="권장조퇴","0.5",N24="예비군","1",N24="민방위","1",N24="지원","1",N24="파견","0")*$AZ24,0)</f>
        <v>0</v>
      </c>
      <c r="O82" s="464" cm="1">
        <f t="array" ref="O82">IFERROR(_xlfn.IFS(O24="-","0",O24="근무","1",O24="휴무","1",O24="월차","1", O24="반차","1", O24="무단결근","0",O24="무단조퇴","0.5",O24="권장휴무","0",O24="권장조퇴","0.5",O24="예비군","1",O24="민방위","1",O24="지원","1",O24="파견","0")*$AZ24,0)</f>
        <v>0</v>
      </c>
      <c r="P82" s="464" cm="1">
        <f t="array" ref="P82">IFERROR(_xlfn.IFS(P24="-","0",P24="근무","1",P24="휴무","1",P24="월차","1", P24="반차","1", P24="무단결근","0",P24="무단조퇴","0.5",P24="권장휴무","0",P24="권장조퇴","0.5",P24="예비군","1",P24="민방위","1",P24="지원","1",P24="파견","0")*$AZ24,0)</f>
        <v>0</v>
      </c>
      <c r="Q82" s="464" cm="1">
        <f t="array" ref="Q82">IFERROR(_xlfn.IFS(Q24="-","0",Q24="근무","1",Q24="휴무","1",Q24="월차","1", Q24="반차","1", Q24="무단결근","0",Q24="무단조퇴","0.5",Q24="권장휴무","0",Q24="권장조퇴","0.5",Q24="예비군","1",Q24="민방위","1",Q24="지원","1",Q24="파견","0")*$AZ24,0)</f>
        <v>0</v>
      </c>
      <c r="R82" s="464" cm="1">
        <f t="array" ref="R82">IFERROR(_xlfn.IFS(R24="-","0",R24="근무","1",R24="휴무","1",R24="월차","1", R24="반차","1", R24="무단결근","0",R24="무단조퇴","0.5",R24="권장휴무","0",R24="권장조퇴","0.5",R24="예비군","1",R24="민방위","1",R24="지원","1",R24="파견","0")*$AZ24,0)</f>
        <v>0</v>
      </c>
      <c r="S82" s="464" cm="1">
        <f t="array" ref="S82">IFERROR(_xlfn.IFS(S24="-","0",S24="근무","1",S24="휴무","1",S24="월차","1", S24="반차","1", S24="무단결근","0",S24="무단조퇴","0.5",S24="권장휴무","0",S24="권장조퇴","0.5",S24="예비군","1",S24="민방위","1",S24="지원","1",S24="파견","0")*$AZ24,0)</f>
        <v>0</v>
      </c>
      <c r="T82" s="464" cm="1">
        <f t="array" ref="T82">IFERROR(_xlfn.IFS(T24="-","0",T24="근무","1",T24="휴무","1",T24="월차","1", T24="반차","1", T24="무단결근","0",T24="무단조퇴","0.5",T24="권장휴무","0",T24="권장조퇴","0.5",T24="예비군","1",T24="민방위","1",T24="지원","1",T24="파견","0")*$AZ24,0)</f>
        <v>0</v>
      </c>
      <c r="U82" s="464" cm="1">
        <f t="array" ref="U82">IFERROR(_xlfn.IFS(U24="-","0",U24="근무","1",U24="휴무","1",U24="월차","1", U24="반차","1", U24="무단결근","0",U24="무단조퇴","0.5",U24="권장휴무","0",U24="권장조퇴","0.5",U24="예비군","1",U24="민방위","1",U24="지원","1",U24="파견","0")*$AZ24,0)</f>
        <v>0</v>
      </c>
      <c r="V82" s="464" cm="1">
        <f t="array" ref="V82">IFERROR(_xlfn.IFS(V24="-","0",V24="근무","1",V24="휴무","1",V24="월차","1", V24="반차","1", V24="무단결근","0",V24="무단조퇴","0.5",V24="권장휴무","0",V24="권장조퇴","0.5",V24="예비군","1",V24="민방위","1",V24="지원","1",V24="파견","0")*$AZ24,0)</f>
        <v>0</v>
      </c>
      <c r="W82" s="464" cm="1">
        <f t="array" ref="W82">IFERROR(_xlfn.IFS(W24="-","0",W24="근무","1",W24="휴무","1",W24="월차","1", W24="반차","1", W24="무단결근","0",W24="무단조퇴","0.5",W24="권장휴무","0",W24="권장조퇴","0.5",W24="예비군","1",W24="민방위","1",W24="지원","1",W24="파견","0")*$AZ24,0)</f>
        <v>0</v>
      </c>
      <c r="X82" s="464" cm="1">
        <f t="array" ref="X82">IFERROR(_xlfn.IFS(X24="-","0",X24="근무","1",X24="휴무","1",X24="월차","1", X24="반차","1", X24="무단결근","0",X24="무단조퇴","0.5",X24="권장휴무","0",X24="권장조퇴","0.5",X24="예비군","1",X24="민방위","1",X24="지원","1",X24="파견","0")*$AZ24,0)</f>
        <v>0</v>
      </c>
      <c r="Y82" s="464" cm="1">
        <f t="array" ref="Y82">IFERROR(_xlfn.IFS(Y24="-","0",Y24="근무","1",Y24="휴무","1",Y24="월차","1", Y24="반차","1", Y24="무단결근","0",Y24="무단조퇴","0.5",Y24="권장휴무","0",Y24="권장조퇴","0.5",Y24="예비군","1",Y24="민방위","1",Y24="지원","1",Y24="파견","0")*$AZ24,0)</f>
        <v>0</v>
      </c>
      <c r="Z82" s="464" cm="1">
        <f t="array" ref="Z82">IFERROR(_xlfn.IFS(Z24="-","0",Z24="근무","1",Z24="휴무","1",Z24="월차","1", Z24="반차","1", Z24="무단결근","0",Z24="무단조퇴","0.5",Z24="권장휴무","0",Z24="권장조퇴","0.5",Z24="예비군","1",Z24="민방위","1",Z24="지원","1",Z24="파견","0")*$AZ24,0)</f>
        <v>0</v>
      </c>
      <c r="AA82" s="464" cm="1">
        <f t="array" ref="AA82">IFERROR(_xlfn.IFS(AA24="-","0",AA24="근무","1",AA24="휴무","1",AA24="월차","1", AA24="반차","1", AA24="무단결근","0",AA24="무단조퇴","0.5",AA24="권장휴무","0",AA24="권장조퇴","0.5",AA24="예비군","1",AA24="민방위","1",AA24="지원","1",AA24="파견","0")*$AZ24,0)</f>
        <v>0</v>
      </c>
      <c r="AB82" s="464" cm="1">
        <f t="array" ref="AB82">IFERROR(_xlfn.IFS(AB24="-","0",AB24="근무","1",AB24="휴무","1",AB24="월차","1", AB24="반차","1", AB24="무단결근","0",AB24="무단조퇴","0.5",AB24="권장휴무","0",AB24="권장조퇴","0.5",AB24="예비군","1",AB24="민방위","1",AB24="지원","1",AB24="파견","0")*$AZ24,0)</f>
        <v>0</v>
      </c>
      <c r="AC82" s="464" cm="1">
        <f t="array" ref="AC82">IFERROR(_xlfn.IFS(AC24="-","0",AC24="근무","1",AC24="휴무","1",AC24="월차","1", AC24="반차","1", AC24="무단결근","0",AC24="무단조퇴","0.5",AC24="권장휴무","0",AC24="권장조퇴","0.5",AC24="예비군","1",AC24="민방위","1",AC24="지원","1",AC24="파견","0")*$AZ24,0)</f>
        <v>0</v>
      </c>
      <c r="AD82" s="464" cm="1">
        <f t="array" ref="AD82">IFERROR(_xlfn.IFS(AD24="-","0",AD24="근무","1",AD24="휴무","1",AD24="월차","1", AD24="반차","1", AD24="무단결근","0",AD24="무단조퇴","0.5",AD24="권장휴무","0",AD24="권장조퇴","0.5",AD24="예비군","1",AD24="민방위","1",AD24="지원","1",AD24="파견","0")*$AZ24,0)</f>
        <v>0</v>
      </c>
      <c r="AE82" s="464" cm="1">
        <f t="array" ref="AE82">IFERROR(_xlfn.IFS(AE24="-","0",AE24="근무","1",AE24="휴무","1",AE24="월차","1", AE24="반차","1", AE24="무단결근","0",AE24="무단조퇴","0.5",AE24="권장휴무","0",AE24="권장조퇴","0.5",AE24="예비군","1",AE24="민방위","1",AE24="지원","1",AE24="파견","0")*$AZ24,0)</f>
        <v>0</v>
      </c>
      <c r="AF82" s="464" cm="1">
        <f t="array" ref="AF82">IFERROR(_xlfn.IFS(AF24="-","0",AF24="근무","1",AF24="휴무","1",AF24="월차","1", AF24="반차","1", AF24="무단결근","0",AF24="무단조퇴","0.5",AF24="권장휴무","0",AF24="권장조퇴","0.5",AF24="예비군","1",AF24="민방위","1",AF24="지원","1",AF24="파견","0")*$AZ24,0)</f>
        <v>0</v>
      </c>
      <c r="AG82" s="464" cm="1">
        <f t="array" ref="AG82">IFERROR(_xlfn.IFS(AG24="-","0",AG24="근무","1",AG24="휴무","1",AG24="월차","1", AG24="반차","1", AG24="무단결근","0",AG24="무단조퇴","0.5",AG24="권장휴무","0",AG24="권장조퇴","0.5",AG24="예비군","1",AG24="민방위","1",AG24="지원","1",AG24="파견","0")*$AZ24,0)</f>
        <v>0</v>
      </c>
      <c r="AH82" s="464" cm="1">
        <f t="array" ref="AH82">IFERROR(_xlfn.IFS(AH24="-","0",AH24="근무","1",AH24="휴무","1",AH24="월차","1", AH24="반차","1", AH24="무단결근","0",AH24="무단조퇴","0.5",AH24="권장휴무","0",AH24="권장조퇴","0.5",AH24="예비군","1",AH24="민방위","1",AH24="지원","1",AH24="파견","0")*$AZ24,0)</f>
        <v>0</v>
      </c>
      <c r="AI82" s="464" cm="1">
        <f t="array" ref="AI82">IFERROR(_xlfn.IFS(AI24="-","0",AI24="근무","1",AI24="휴무","1",AI24="월차","1", AI24="반차","1", AI24="무단결근","0",AI24="무단조퇴","0.5",AI24="권장휴무","0",AI24="권장조퇴","0.5",AI24="예비군","1",AI24="민방위","1",AI24="지원","1",AI24="파견","0")*$AZ24,0)</f>
        <v>0</v>
      </c>
      <c r="AJ82" s="464" cm="1">
        <f t="array" ref="AJ82">IFERROR(_xlfn.IFS(AJ24="-","0",AJ24="근무","1",AJ24="휴무","1",AJ24="월차","1", AJ24="반차","1", AJ24="무단결근","0",AJ24="무단조퇴","0.5",AJ24="권장휴무","0",AJ24="권장조퇴","0.5",AJ24="예비군","1",AJ24="민방위","1",AJ24="지원","1",AJ24="파견","0")*$AZ24,0)</f>
        <v>0</v>
      </c>
      <c r="AK82" s="464" cm="1">
        <f t="array" ref="AK82">IFERROR(_xlfn.IFS(AK24="-","0",AK24="근무","1",AK24="휴무","1",AK24="월차","1", AK24="반차","1", AK24="무단결근","0",AK24="무단조퇴","0.5",AK24="권장휴무","0",AK24="권장조퇴","0.5",AK24="예비군","1",AK24="민방위","1",AK24="지원","1",AK24="파견","0")*$AZ24,0)</f>
        <v>0</v>
      </c>
    </row>
    <row r="83" spans="2:52" s="6" customFormat="1" ht="21.95" hidden="1" customHeight="1" thickBot="1" x14ac:dyDescent="0.3">
      <c r="B83" s="42">
        <f t="shared" si="29"/>
        <v>0</v>
      </c>
      <c r="C83" s="22" t="str">
        <f t="shared" si="29"/>
        <v>선택</v>
      </c>
      <c r="D83" s="22">
        <f t="shared" si="29"/>
        <v>0</v>
      </c>
      <c r="E83" s="21">
        <f t="shared" si="29"/>
        <v>0</v>
      </c>
      <c r="F83" s="21">
        <f t="shared" si="29"/>
        <v>0</v>
      </c>
      <c r="G83" s="463" cm="1">
        <f t="array" ref="G83">IFERROR(_xlfn.IFS(G25="-","0",G25="근무","1",G25="휴무","1",G25="월차","1", G25="반차","1", G25="무단결근","0",G25="무단조퇴","0.5",G25="권장휴무","0",G25="권장조퇴","0.5",G25="예비군","1",G25="민방위","1",G25="지원","1",G25="파견","0")*$AZ25,0)</f>
        <v>0</v>
      </c>
      <c r="H83" s="464" cm="1">
        <f t="array" ref="H83">IFERROR(_xlfn.IFS(H25="-","0",H25="근무","1",H25="휴무","1",H25="월차","1", H25="반차","1", H25="무단결근","0",H25="무단조퇴","0.5",H25="권장휴무","0",H25="권장조퇴","0.5",H25="예비군","1",H25="민방위","1",H25="지원","1",H25="파견","0")*$AZ25,0)</f>
        <v>0</v>
      </c>
      <c r="I83" s="464" cm="1">
        <f t="array" ref="I83">IFERROR(_xlfn.IFS(I25="-","0",I25="근무","1",I25="휴무","1",I25="월차","1", I25="반차","1", I25="무단결근","0",I25="무단조퇴","0.5",I25="권장휴무","0",I25="권장조퇴","0.5",I25="예비군","1",I25="민방위","1",I25="지원","1",I25="파견","0")*$AZ25,0)</f>
        <v>0</v>
      </c>
      <c r="J83" s="464" cm="1">
        <f t="array" ref="J83">IFERROR(_xlfn.IFS(J25="-","0",J25="근무","1",J25="휴무","1",J25="월차","1", J25="반차","1", J25="무단결근","0",J25="무단조퇴","0.5",J25="권장휴무","0",J25="권장조퇴","0.5",J25="예비군","1",J25="민방위","1",J25="지원","1",J25="파견","0")*$AZ25,0)</f>
        <v>0</v>
      </c>
      <c r="K83" s="464" cm="1">
        <f t="array" ref="K83">IFERROR(_xlfn.IFS(K25="-","0",K25="근무","1",K25="휴무","1",K25="월차","1", K25="반차","1", K25="무단결근","0",K25="무단조퇴","0.5",K25="권장휴무","0",K25="권장조퇴","0.5",K25="예비군","1",K25="민방위","1",K25="지원","1",K25="파견","0")*$AZ25,0)</f>
        <v>0</v>
      </c>
      <c r="L83" s="464" cm="1">
        <f t="array" ref="L83">IFERROR(_xlfn.IFS(L25="-","0",L25="근무","1",L25="휴무","1",L25="월차","1", L25="반차","1", L25="무단결근","0",L25="무단조퇴","0.5",L25="권장휴무","0",L25="권장조퇴","0.5",L25="예비군","1",L25="민방위","1",L25="지원","1",L25="파견","0")*$AZ25,0)</f>
        <v>0</v>
      </c>
      <c r="M83" s="464" cm="1">
        <f t="array" ref="M83">IFERROR(_xlfn.IFS(M25="-","0",M25="근무","1",M25="휴무","1",M25="월차","1", M25="반차","1", M25="무단결근","0",M25="무단조퇴","0.5",M25="권장휴무","0",M25="권장조퇴","0.5",M25="예비군","1",M25="민방위","1",M25="지원","1",M25="파견","0")*$AZ25,0)</f>
        <v>0</v>
      </c>
      <c r="N83" s="464" cm="1">
        <f t="array" ref="N83">IFERROR(_xlfn.IFS(N25="-","0",N25="근무","1",N25="휴무","1",N25="월차","1", N25="반차","1", N25="무단결근","0",N25="무단조퇴","0.5",N25="권장휴무","0",N25="권장조퇴","0.5",N25="예비군","1",N25="민방위","1",N25="지원","1",N25="파견","0")*$AZ25,0)</f>
        <v>0</v>
      </c>
      <c r="O83" s="464" cm="1">
        <f t="array" ref="O83">IFERROR(_xlfn.IFS(O25="-","0",O25="근무","1",O25="휴무","1",O25="월차","1", O25="반차","1", O25="무단결근","0",O25="무단조퇴","0.5",O25="권장휴무","0",O25="권장조퇴","0.5",O25="예비군","1",O25="민방위","1",O25="지원","1",O25="파견","0")*$AZ25,0)</f>
        <v>0</v>
      </c>
      <c r="P83" s="464" cm="1">
        <f t="array" ref="P83">IFERROR(_xlfn.IFS(P25="-","0",P25="근무","1",P25="휴무","1",P25="월차","1", P25="반차","1", P25="무단결근","0",P25="무단조퇴","0.5",P25="권장휴무","0",P25="권장조퇴","0.5",P25="예비군","1",P25="민방위","1",P25="지원","1",P25="파견","0")*$AZ25,0)</f>
        <v>0</v>
      </c>
      <c r="Q83" s="464" cm="1">
        <f t="array" ref="Q83">IFERROR(_xlfn.IFS(Q25="-","0",Q25="근무","1",Q25="휴무","1",Q25="월차","1", Q25="반차","1", Q25="무단결근","0",Q25="무단조퇴","0.5",Q25="권장휴무","0",Q25="권장조퇴","0.5",Q25="예비군","1",Q25="민방위","1",Q25="지원","1",Q25="파견","0")*$AZ25,0)</f>
        <v>0</v>
      </c>
      <c r="R83" s="464" cm="1">
        <f t="array" ref="R83">IFERROR(_xlfn.IFS(R25="-","0",R25="근무","1",R25="휴무","1",R25="월차","1", R25="반차","1", R25="무단결근","0",R25="무단조퇴","0.5",R25="권장휴무","0",R25="권장조퇴","0.5",R25="예비군","1",R25="민방위","1",R25="지원","1",R25="파견","0")*$AZ25,0)</f>
        <v>0</v>
      </c>
      <c r="S83" s="464" cm="1">
        <f t="array" ref="S83">IFERROR(_xlfn.IFS(S25="-","0",S25="근무","1",S25="휴무","1",S25="월차","1", S25="반차","1", S25="무단결근","0",S25="무단조퇴","0.5",S25="권장휴무","0",S25="권장조퇴","0.5",S25="예비군","1",S25="민방위","1",S25="지원","1",S25="파견","0")*$AZ25,0)</f>
        <v>0</v>
      </c>
      <c r="T83" s="464" cm="1">
        <f t="array" ref="T83">IFERROR(_xlfn.IFS(T25="-","0",T25="근무","1",T25="휴무","1",T25="월차","1", T25="반차","1", T25="무단결근","0",T25="무단조퇴","0.5",T25="권장휴무","0",T25="권장조퇴","0.5",T25="예비군","1",T25="민방위","1",T25="지원","1",T25="파견","0")*$AZ25,0)</f>
        <v>0</v>
      </c>
      <c r="U83" s="464" cm="1">
        <f t="array" ref="U83">IFERROR(_xlfn.IFS(U25="-","0",U25="근무","1",U25="휴무","1",U25="월차","1", U25="반차","1", U25="무단결근","0",U25="무단조퇴","0.5",U25="권장휴무","0",U25="권장조퇴","0.5",U25="예비군","1",U25="민방위","1",U25="지원","1",U25="파견","0")*$AZ25,0)</f>
        <v>0</v>
      </c>
      <c r="V83" s="464" cm="1">
        <f t="array" ref="V83">IFERROR(_xlfn.IFS(V25="-","0",V25="근무","1",V25="휴무","1",V25="월차","1", V25="반차","1", V25="무단결근","0",V25="무단조퇴","0.5",V25="권장휴무","0",V25="권장조퇴","0.5",V25="예비군","1",V25="민방위","1",V25="지원","1",V25="파견","0")*$AZ25,0)</f>
        <v>0</v>
      </c>
      <c r="W83" s="464" cm="1">
        <f t="array" ref="W83">IFERROR(_xlfn.IFS(W25="-","0",W25="근무","1",W25="휴무","1",W25="월차","1", W25="반차","1", W25="무단결근","0",W25="무단조퇴","0.5",W25="권장휴무","0",W25="권장조퇴","0.5",W25="예비군","1",W25="민방위","1",W25="지원","1",W25="파견","0")*$AZ25,0)</f>
        <v>0</v>
      </c>
      <c r="X83" s="464" cm="1">
        <f t="array" ref="X83">IFERROR(_xlfn.IFS(X25="-","0",X25="근무","1",X25="휴무","1",X25="월차","1", X25="반차","1", X25="무단결근","0",X25="무단조퇴","0.5",X25="권장휴무","0",X25="권장조퇴","0.5",X25="예비군","1",X25="민방위","1",X25="지원","1",X25="파견","0")*$AZ25,0)</f>
        <v>0</v>
      </c>
      <c r="Y83" s="464" cm="1">
        <f t="array" ref="Y83">IFERROR(_xlfn.IFS(Y25="-","0",Y25="근무","1",Y25="휴무","1",Y25="월차","1", Y25="반차","1", Y25="무단결근","0",Y25="무단조퇴","0.5",Y25="권장휴무","0",Y25="권장조퇴","0.5",Y25="예비군","1",Y25="민방위","1",Y25="지원","1",Y25="파견","0")*$AZ25,0)</f>
        <v>0</v>
      </c>
      <c r="Z83" s="464" cm="1">
        <f t="array" ref="Z83">IFERROR(_xlfn.IFS(Z25="-","0",Z25="근무","1",Z25="휴무","1",Z25="월차","1", Z25="반차","1", Z25="무단결근","0",Z25="무단조퇴","0.5",Z25="권장휴무","0",Z25="권장조퇴","0.5",Z25="예비군","1",Z25="민방위","1",Z25="지원","1",Z25="파견","0")*$AZ25,0)</f>
        <v>0</v>
      </c>
      <c r="AA83" s="464" cm="1">
        <f t="array" ref="AA83">IFERROR(_xlfn.IFS(AA25="-","0",AA25="근무","1",AA25="휴무","1",AA25="월차","1", AA25="반차","1", AA25="무단결근","0",AA25="무단조퇴","0.5",AA25="권장휴무","0",AA25="권장조퇴","0.5",AA25="예비군","1",AA25="민방위","1",AA25="지원","1",AA25="파견","0")*$AZ25,0)</f>
        <v>0</v>
      </c>
      <c r="AB83" s="464" cm="1">
        <f t="array" ref="AB83">IFERROR(_xlfn.IFS(AB25="-","0",AB25="근무","1",AB25="휴무","1",AB25="월차","1", AB25="반차","1", AB25="무단결근","0",AB25="무단조퇴","0.5",AB25="권장휴무","0",AB25="권장조퇴","0.5",AB25="예비군","1",AB25="민방위","1",AB25="지원","1",AB25="파견","0")*$AZ25,0)</f>
        <v>0</v>
      </c>
      <c r="AC83" s="464" cm="1">
        <f t="array" ref="AC83">IFERROR(_xlfn.IFS(AC25="-","0",AC25="근무","1",AC25="휴무","1",AC25="월차","1", AC25="반차","1", AC25="무단결근","0",AC25="무단조퇴","0.5",AC25="권장휴무","0",AC25="권장조퇴","0.5",AC25="예비군","1",AC25="민방위","1",AC25="지원","1",AC25="파견","0")*$AZ25,0)</f>
        <v>0</v>
      </c>
      <c r="AD83" s="464" cm="1">
        <f t="array" ref="AD83">IFERROR(_xlfn.IFS(AD25="-","0",AD25="근무","1",AD25="휴무","1",AD25="월차","1", AD25="반차","1", AD25="무단결근","0",AD25="무단조퇴","0.5",AD25="권장휴무","0",AD25="권장조퇴","0.5",AD25="예비군","1",AD25="민방위","1",AD25="지원","1",AD25="파견","0")*$AZ25,0)</f>
        <v>0</v>
      </c>
      <c r="AE83" s="464" cm="1">
        <f t="array" ref="AE83">IFERROR(_xlfn.IFS(AE25="-","0",AE25="근무","1",AE25="휴무","1",AE25="월차","1", AE25="반차","1", AE25="무단결근","0",AE25="무단조퇴","0.5",AE25="권장휴무","0",AE25="권장조퇴","0.5",AE25="예비군","1",AE25="민방위","1",AE25="지원","1",AE25="파견","0")*$AZ25,0)</f>
        <v>0</v>
      </c>
      <c r="AF83" s="464" cm="1">
        <f t="array" ref="AF83">IFERROR(_xlfn.IFS(AF25="-","0",AF25="근무","1",AF25="휴무","1",AF25="월차","1", AF25="반차","1", AF25="무단결근","0",AF25="무단조퇴","0.5",AF25="권장휴무","0",AF25="권장조퇴","0.5",AF25="예비군","1",AF25="민방위","1",AF25="지원","1",AF25="파견","0")*$AZ25,0)</f>
        <v>0</v>
      </c>
      <c r="AG83" s="464" cm="1">
        <f t="array" ref="AG83">IFERROR(_xlfn.IFS(AG25="-","0",AG25="근무","1",AG25="휴무","1",AG25="월차","1", AG25="반차","1", AG25="무단결근","0",AG25="무단조퇴","0.5",AG25="권장휴무","0",AG25="권장조퇴","0.5",AG25="예비군","1",AG25="민방위","1",AG25="지원","1",AG25="파견","0")*$AZ25,0)</f>
        <v>0</v>
      </c>
      <c r="AH83" s="464" cm="1">
        <f t="array" ref="AH83">IFERROR(_xlfn.IFS(AH25="-","0",AH25="근무","1",AH25="휴무","1",AH25="월차","1", AH25="반차","1", AH25="무단결근","0",AH25="무단조퇴","0.5",AH25="권장휴무","0",AH25="권장조퇴","0.5",AH25="예비군","1",AH25="민방위","1",AH25="지원","1",AH25="파견","0")*$AZ25,0)</f>
        <v>0</v>
      </c>
      <c r="AI83" s="464" cm="1">
        <f t="array" ref="AI83">IFERROR(_xlfn.IFS(AI25="-","0",AI25="근무","1",AI25="휴무","1",AI25="월차","1", AI25="반차","1", AI25="무단결근","0",AI25="무단조퇴","0.5",AI25="권장휴무","0",AI25="권장조퇴","0.5",AI25="예비군","1",AI25="민방위","1",AI25="지원","1",AI25="파견","0")*$AZ25,0)</f>
        <v>0</v>
      </c>
      <c r="AJ83" s="464" cm="1">
        <f t="array" ref="AJ83">IFERROR(_xlfn.IFS(AJ25="-","0",AJ25="근무","1",AJ25="휴무","1",AJ25="월차","1", AJ25="반차","1", AJ25="무단결근","0",AJ25="무단조퇴","0.5",AJ25="권장휴무","0",AJ25="권장조퇴","0.5",AJ25="예비군","1",AJ25="민방위","1",AJ25="지원","1",AJ25="파견","0")*$AZ25,0)</f>
        <v>0</v>
      </c>
      <c r="AK83" s="464" cm="1">
        <f t="array" ref="AK83">IFERROR(_xlfn.IFS(AK25="-","0",AK25="근무","1",AK25="휴무","1",AK25="월차","1", AK25="반차","1", AK25="무단결근","0",AK25="무단조퇴","0.5",AK25="권장휴무","0",AK25="권장조퇴","0.5",AK25="예비군","1",AK25="민방위","1",AK25="지원","1",AK25="파견","0")*$AZ25,0)</f>
        <v>0</v>
      </c>
    </row>
    <row r="84" spans="2:52" s="6" customFormat="1" ht="21.95" hidden="1" customHeight="1" thickBot="1" x14ac:dyDescent="0.3">
      <c r="B84" s="895" t="s">
        <v>94</v>
      </c>
      <c r="C84" s="896"/>
      <c r="D84" s="896"/>
      <c r="E84" s="896"/>
      <c r="F84" s="896"/>
      <c r="G84" s="85">
        <f>SUM(G64:G83)</f>
        <v>511743</v>
      </c>
      <c r="H84" s="85">
        <f t="shared" ref="H84:AK84" si="30">SUM(H64:H83)</f>
        <v>511743</v>
      </c>
      <c r="I84" s="85">
        <f t="shared" si="30"/>
        <v>511743</v>
      </c>
      <c r="J84" s="85">
        <f t="shared" si="30"/>
        <v>511743</v>
      </c>
      <c r="K84" s="85">
        <f t="shared" si="30"/>
        <v>511743</v>
      </c>
      <c r="L84" s="85">
        <f t="shared" si="30"/>
        <v>511743</v>
      </c>
      <c r="M84" s="85">
        <f t="shared" si="30"/>
        <v>511743</v>
      </c>
      <c r="N84" s="85">
        <f t="shared" si="30"/>
        <v>511743</v>
      </c>
      <c r="O84" s="85">
        <f t="shared" si="30"/>
        <v>511743</v>
      </c>
      <c r="P84" s="85">
        <f t="shared" si="30"/>
        <v>511743</v>
      </c>
      <c r="Q84" s="85">
        <f t="shared" si="30"/>
        <v>511743</v>
      </c>
      <c r="R84" s="85">
        <f t="shared" si="30"/>
        <v>511743</v>
      </c>
      <c r="S84" s="85">
        <f t="shared" si="30"/>
        <v>625076.33333333337</v>
      </c>
      <c r="T84" s="85">
        <f t="shared" si="30"/>
        <v>625076.33333333337</v>
      </c>
      <c r="U84" s="85">
        <f t="shared" si="30"/>
        <v>625076.33333333337</v>
      </c>
      <c r="V84" s="85">
        <f t="shared" si="30"/>
        <v>625076.33333333337</v>
      </c>
      <c r="W84" s="85">
        <f t="shared" si="30"/>
        <v>625076.33333333337</v>
      </c>
      <c r="X84" s="85">
        <f t="shared" si="30"/>
        <v>625076.33333333337</v>
      </c>
      <c r="Y84" s="85">
        <f t="shared" si="30"/>
        <v>625076.33333333337</v>
      </c>
      <c r="Z84" s="85">
        <f t="shared" si="30"/>
        <v>625076.33333333337</v>
      </c>
      <c r="AA84" s="85">
        <f t="shared" si="30"/>
        <v>625076.33333333337</v>
      </c>
      <c r="AB84" s="85">
        <f t="shared" si="30"/>
        <v>625076.33333333337</v>
      </c>
      <c r="AC84" s="85">
        <f t="shared" si="30"/>
        <v>625076.33333333337</v>
      </c>
      <c r="AD84" s="85">
        <f t="shared" si="30"/>
        <v>625076.33333333337</v>
      </c>
      <c r="AE84" s="85">
        <f t="shared" si="30"/>
        <v>625076.33333333337</v>
      </c>
      <c r="AF84" s="85">
        <f t="shared" si="30"/>
        <v>625076.33333333337</v>
      </c>
      <c r="AG84" s="85">
        <f t="shared" si="30"/>
        <v>0</v>
      </c>
      <c r="AH84" s="85">
        <f t="shared" si="30"/>
        <v>0</v>
      </c>
      <c r="AI84" s="85">
        <f t="shared" si="30"/>
        <v>0</v>
      </c>
      <c r="AJ84" s="85">
        <f t="shared" si="30"/>
        <v>0</v>
      </c>
      <c r="AK84" s="85">
        <f t="shared" si="30"/>
        <v>0</v>
      </c>
      <c r="AL84" s="101">
        <f>SUM(G84:AK84)</f>
        <v>14891984.666666672</v>
      </c>
      <c r="AX84"/>
      <c r="AY84"/>
      <c r="AZ84"/>
    </row>
    <row r="85" spans="2:52" s="6" customFormat="1" ht="21.95" hidden="1" customHeight="1" x14ac:dyDescent="0.25">
      <c r="V85" s="10"/>
      <c r="AL85" s="9"/>
      <c r="AM85" s="9"/>
      <c r="AN85" s="9"/>
      <c r="AO85" s="9"/>
      <c r="AP85" s="9"/>
      <c r="AQ85" s="9"/>
      <c r="AR85" s="9"/>
      <c r="AS85" s="9"/>
    </row>
    <row r="86" spans="2:52" s="6" customFormat="1" ht="21.95" hidden="1" customHeight="1" thickBot="1" x14ac:dyDescent="0.3">
      <c r="B86" s="11" t="s">
        <v>485</v>
      </c>
      <c r="V86" s="10"/>
      <c r="AL86" s="9"/>
      <c r="AM86" s="9"/>
      <c r="AN86" s="9"/>
      <c r="AO86" s="9"/>
      <c r="AP86" s="9"/>
      <c r="AQ86" s="9"/>
      <c r="AR86" s="9"/>
      <c r="AS86" s="9"/>
    </row>
    <row r="87" spans="2:52" s="6" customFormat="1" ht="21.95" hidden="1" customHeight="1" x14ac:dyDescent="0.25">
      <c r="B87" s="899" t="s">
        <v>15</v>
      </c>
      <c r="C87" s="901" t="s">
        <v>105</v>
      </c>
      <c r="D87" s="82"/>
      <c r="E87" s="903" t="s">
        <v>16</v>
      </c>
      <c r="F87" s="904" t="s">
        <v>57</v>
      </c>
      <c r="G87" s="15">
        <v>1</v>
      </c>
      <c r="H87" s="13">
        <v>2</v>
      </c>
      <c r="I87" s="15">
        <v>3</v>
      </c>
      <c r="J87" s="13">
        <v>4</v>
      </c>
      <c r="K87" s="15">
        <v>5</v>
      </c>
      <c r="L87" s="13">
        <v>6</v>
      </c>
      <c r="M87" s="15">
        <v>7</v>
      </c>
      <c r="N87" s="13">
        <v>8</v>
      </c>
      <c r="O87" s="15">
        <v>9</v>
      </c>
      <c r="P87" s="13">
        <v>10</v>
      </c>
      <c r="Q87" s="15">
        <v>11</v>
      </c>
      <c r="R87" s="13">
        <v>12</v>
      </c>
      <c r="S87" s="15">
        <v>13</v>
      </c>
      <c r="T87" s="13">
        <v>14</v>
      </c>
      <c r="U87" s="15">
        <v>15</v>
      </c>
      <c r="V87" s="13">
        <v>16</v>
      </c>
      <c r="W87" s="15">
        <v>17</v>
      </c>
      <c r="X87" s="13">
        <v>18</v>
      </c>
      <c r="Y87" s="15">
        <v>19</v>
      </c>
      <c r="Z87" s="13">
        <v>20</v>
      </c>
      <c r="AA87" s="15">
        <v>21</v>
      </c>
      <c r="AB87" s="13">
        <v>22</v>
      </c>
      <c r="AC87" s="15">
        <v>23</v>
      </c>
      <c r="AD87" s="13">
        <v>24</v>
      </c>
      <c r="AE87" s="15">
        <v>25</v>
      </c>
      <c r="AF87" s="13">
        <v>26</v>
      </c>
      <c r="AG87" s="15">
        <v>27</v>
      </c>
      <c r="AH87" s="13">
        <v>28</v>
      </c>
      <c r="AI87" s="13">
        <v>29</v>
      </c>
      <c r="AJ87" s="13">
        <v>30</v>
      </c>
      <c r="AK87" s="15">
        <v>31</v>
      </c>
      <c r="AN87" s="9"/>
      <c r="AO87" s="9"/>
    </row>
    <row r="88" spans="2:52" s="6" customFormat="1" ht="21.95" hidden="1" customHeight="1" thickBot="1" x14ac:dyDescent="0.3">
      <c r="B88" s="900"/>
      <c r="C88" s="902"/>
      <c r="D88" s="83"/>
      <c r="E88" s="902"/>
      <c r="F88" s="905"/>
      <c r="G88" s="17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84"/>
      <c r="AN88" s="9"/>
      <c r="AO88" s="9"/>
    </row>
    <row r="89" spans="2:52" s="6" customFormat="1" ht="21.95" hidden="1" customHeight="1" x14ac:dyDescent="0.25">
      <c r="B89" s="42" t="str">
        <f t="shared" ref="B89:F103" si="31">B31</f>
        <v>최은태</v>
      </c>
      <c r="C89" s="22" t="str">
        <f t="shared" si="31"/>
        <v>주방</v>
      </c>
      <c r="D89" s="22" t="str">
        <f t="shared" si="31"/>
        <v>파트타임</v>
      </c>
      <c r="E89" s="21">
        <f t="shared" si="31"/>
        <v>0</v>
      </c>
      <c r="F89" s="21">
        <f t="shared" si="31"/>
        <v>0</v>
      </c>
      <c r="G89" s="86">
        <f t="shared" ref="G89:AK89" si="32">G31*$AM31</f>
        <v>200000</v>
      </c>
      <c r="H89" s="86">
        <f t="shared" si="32"/>
        <v>200000</v>
      </c>
      <c r="I89" s="86">
        <f t="shared" si="32"/>
        <v>200000</v>
      </c>
      <c r="J89" s="86">
        <f t="shared" si="32"/>
        <v>200000</v>
      </c>
      <c r="K89" s="86">
        <f t="shared" si="32"/>
        <v>200000</v>
      </c>
      <c r="L89" s="86">
        <f t="shared" si="32"/>
        <v>200000</v>
      </c>
      <c r="M89" s="86">
        <f t="shared" si="32"/>
        <v>0</v>
      </c>
      <c r="N89" s="86">
        <f t="shared" si="32"/>
        <v>200000</v>
      </c>
      <c r="O89" s="86">
        <f t="shared" si="32"/>
        <v>200000</v>
      </c>
      <c r="P89" s="86">
        <f t="shared" si="32"/>
        <v>200000</v>
      </c>
      <c r="Q89" s="86">
        <f t="shared" si="32"/>
        <v>200000</v>
      </c>
      <c r="R89" s="86">
        <f t="shared" si="32"/>
        <v>200000</v>
      </c>
      <c r="S89" s="86">
        <f t="shared" si="32"/>
        <v>200000</v>
      </c>
      <c r="T89" s="86">
        <f t="shared" si="32"/>
        <v>200000</v>
      </c>
      <c r="U89" s="86">
        <f t="shared" si="32"/>
        <v>200000</v>
      </c>
      <c r="V89" s="86">
        <f t="shared" si="32"/>
        <v>200000</v>
      </c>
      <c r="W89" s="86">
        <f t="shared" si="32"/>
        <v>200000</v>
      </c>
      <c r="X89" s="86">
        <f t="shared" si="32"/>
        <v>200000</v>
      </c>
      <c r="Y89" s="86">
        <f t="shared" si="32"/>
        <v>200000</v>
      </c>
      <c r="Z89" s="86">
        <f t="shared" si="32"/>
        <v>200000</v>
      </c>
      <c r="AA89" s="86">
        <f t="shared" si="32"/>
        <v>0</v>
      </c>
      <c r="AB89" s="86">
        <f t="shared" si="32"/>
        <v>200000</v>
      </c>
      <c r="AC89" s="86">
        <f t="shared" si="32"/>
        <v>200000</v>
      </c>
      <c r="AD89" s="86">
        <f t="shared" si="32"/>
        <v>200000</v>
      </c>
      <c r="AE89" s="86">
        <f t="shared" si="32"/>
        <v>200000</v>
      </c>
      <c r="AF89" s="86">
        <f t="shared" si="32"/>
        <v>200000</v>
      </c>
      <c r="AG89" s="86">
        <f t="shared" si="32"/>
        <v>0</v>
      </c>
      <c r="AH89" s="86">
        <f t="shared" si="32"/>
        <v>0</v>
      </c>
      <c r="AI89" s="86">
        <f t="shared" si="32"/>
        <v>0</v>
      </c>
      <c r="AJ89" s="86">
        <f t="shared" si="32"/>
        <v>0</v>
      </c>
      <c r="AK89" s="86">
        <f t="shared" si="32"/>
        <v>0</v>
      </c>
      <c r="AN89" s="9"/>
      <c r="AO89" s="9"/>
    </row>
    <row r="90" spans="2:52" s="6" customFormat="1" ht="21.95" hidden="1" customHeight="1" x14ac:dyDescent="0.25">
      <c r="B90" s="42" t="str">
        <f t="shared" si="31"/>
        <v>이서문</v>
      </c>
      <c r="C90" s="22" t="str">
        <f t="shared" si="31"/>
        <v>선택</v>
      </c>
      <c r="D90" s="22" t="str">
        <f t="shared" si="31"/>
        <v>파트타임</v>
      </c>
      <c r="E90" s="21">
        <f t="shared" si="31"/>
        <v>0</v>
      </c>
      <c r="F90" s="21">
        <f t="shared" si="31"/>
        <v>0</v>
      </c>
      <c r="G90" s="86">
        <f t="shared" ref="G90:AK90" si="33">G32*$AM32</f>
        <v>0</v>
      </c>
      <c r="H90" s="86">
        <f t="shared" si="33"/>
        <v>0</v>
      </c>
      <c r="I90" s="86">
        <f t="shared" si="33"/>
        <v>78000</v>
      </c>
      <c r="J90" s="86">
        <f t="shared" si="33"/>
        <v>104000</v>
      </c>
      <c r="K90" s="86">
        <f t="shared" si="33"/>
        <v>0</v>
      </c>
      <c r="L90" s="86">
        <f t="shared" si="33"/>
        <v>0</v>
      </c>
      <c r="M90" s="86">
        <f t="shared" si="33"/>
        <v>0</v>
      </c>
      <c r="N90" s="86">
        <f t="shared" si="33"/>
        <v>0</v>
      </c>
      <c r="O90" s="86">
        <f t="shared" si="33"/>
        <v>0</v>
      </c>
      <c r="P90" s="86">
        <f t="shared" si="33"/>
        <v>78000</v>
      </c>
      <c r="Q90" s="86">
        <f t="shared" si="33"/>
        <v>91000</v>
      </c>
      <c r="R90" s="86">
        <f t="shared" si="33"/>
        <v>0</v>
      </c>
      <c r="S90" s="86">
        <f t="shared" si="33"/>
        <v>0</v>
      </c>
      <c r="T90" s="86">
        <f t="shared" si="33"/>
        <v>0</v>
      </c>
      <c r="U90" s="86">
        <f t="shared" si="33"/>
        <v>0</v>
      </c>
      <c r="V90" s="86">
        <f t="shared" si="33"/>
        <v>0</v>
      </c>
      <c r="W90" s="86">
        <f t="shared" si="33"/>
        <v>91000</v>
      </c>
      <c r="X90" s="86">
        <f t="shared" si="33"/>
        <v>104000</v>
      </c>
      <c r="Y90" s="86">
        <f t="shared" si="33"/>
        <v>0</v>
      </c>
      <c r="Z90" s="86">
        <f t="shared" si="33"/>
        <v>0</v>
      </c>
      <c r="AA90" s="86">
        <f t="shared" si="33"/>
        <v>0</v>
      </c>
      <c r="AB90" s="86">
        <f t="shared" si="33"/>
        <v>0</v>
      </c>
      <c r="AC90" s="86">
        <f t="shared" si="33"/>
        <v>0</v>
      </c>
      <c r="AD90" s="86">
        <f t="shared" si="33"/>
        <v>91000</v>
      </c>
      <c r="AE90" s="86">
        <f t="shared" si="33"/>
        <v>117000</v>
      </c>
      <c r="AF90" s="86">
        <f t="shared" si="33"/>
        <v>130000</v>
      </c>
      <c r="AG90" s="86">
        <f t="shared" si="33"/>
        <v>0</v>
      </c>
      <c r="AH90" s="86">
        <f t="shared" si="33"/>
        <v>0</v>
      </c>
      <c r="AI90" s="86">
        <f t="shared" si="33"/>
        <v>0</v>
      </c>
      <c r="AJ90" s="86">
        <f t="shared" si="33"/>
        <v>0</v>
      </c>
      <c r="AK90" s="86">
        <f t="shared" si="33"/>
        <v>0</v>
      </c>
    </row>
    <row r="91" spans="2:52" ht="21.95" hidden="1" customHeight="1" x14ac:dyDescent="0.25">
      <c r="B91" s="42" t="str">
        <f t="shared" si="31"/>
        <v>김복순</v>
      </c>
      <c r="C91" s="22" t="str">
        <f t="shared" si="31"/>
        <v>선택</v>
      </c>
      <c r="D91" s="22" t="str">
        <f t="shared" si="31"/>
        <v>파트타임</v>
      </c>
      <c r="E91" s="21">
        <f t="shared" si="31"/>
        <v>0</v>
      </c>
      <c r="F91" s="21">
        <f t="shared" si="31"/>
        <v>0</v>
      </c>
      <c r="G91" s="86">
        <f t="shared" ref="G91:AK91" si="34">G33*$AM33</f>
        <v>0</v>
      </c>
      <c r="H91" s="86">
        <f t="shared" si="34"/>
        <v>0</v>
      </c>
      <c r="I91" s="86">
        <f t="shared" si="34"/>
        <v>72000</v>
      </c>
      <c r="J91" s="86">
        <f t="shared" si="34"/>
        <v>78000</v>
      </c>
      <c r="K91" s="86">
        <f t="shared" si="34"/>
        <v>0</v>
      </c>
      <c r="L91" s="86">
        <f t="shared" si="34"/>
        <v>0</v>
      </c>
      <c r="M91" s="86">
        <f t="shared" si="34"/>
        <v>0</v>
      </c>
      <c r="N91" s="86">
        <f t="shared" si="34"/>
        <v>0</v>
      </c>
      <c r="O91" s="86">
        <f t="shared" si="34"/>
        <v>0</v>
      </c>
      <c r="P91" s="86">
        <f>P33*$AM33</f>
        <v>72000</v>
      </c>
      <c r="Q91" s="86">
        <f t="shared" si="34"/>
        <v>72000</v>
      </c>
      <c r="R91" s="86">
        <f t="shared" si="34"/>
        <v>0</v>
      </c>
      <c r="S91" s="86">
        <f t="shared" si="34"/>
        <v>0</v>
      </c>
      <c r="T91" s="86">
        <f t="shared" si="34"/>
        <v>0</v>
      </c>
      <c r="U91" s="86">
        <f t="shared" si="34"/>
        <v>0</v>
      </c>
      <c r="V91" s="86">
        <f t="shared" si="34"/>
        <v>0</v>
      </c>
      <c r="W91" s="86">
        <f t="shared" si="34"/>
        <v>0</v>
      </c>
      <c r="X91" s="86">
        <f t="shared" si="34"/>
        <v>0</v>
      </c>
      <c r="Y91" s="86">
        <f t="shared" si="34"/>
        <v>0</v>
      </c>
      <c r="Z91" s="86">
        <f t="shared" si="34"/>
        <v>0</v>
      </c>
      <c r="AA91" s="86">
        <f t="shared" si="34"/>
        <v>0</v>
      </c>
      <c r="AB91" s="86">
        <f t="shared" si="34"/>
        <v>0</v>
      </c>
      <c r="AC91" s="86">
        <f t="shared" si="34"/>
        <v>0</v>
      </c>
      <c r="AD91" s="86">
        <f t="shared" si="34"/>
        <v>0</v>
      </c>
      <c r="AE91" s="86">
        <f t="shared" si="34"/>
        <v>0</v>
      </c>
      <c r="AF91" s="86">
        <f t="shared" si="34"/>
        <v>0</v>
      </c>
      <c r="AG91" s="86">
        <f t="shared" si="34"/>
        <v>0</v>
      </c>
      <c r="AH91" s="86">
        <f t="shared" si="34"/>
        <v>0</v>
      </c>
      <c r="AI91" s="86">
        <f t="shared" si="34"/>
        <v>0</v>
      </c>
      <c r="AJ91" s="86">
        <f t="shared" si="34"/>
        <v>0</v>
      </c>
      <c r="AK91" s="86">
        <f t="shared" si="34"/>
        <v>0</v>
      </c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2:52" s="6" customFormat="1" ht="21.95" hidden="1" customHeight="1" x14ac:dyDescent="0.25">
      <c r="B92" s="42" t="str">
        <f t="shared" si="31"/>
        <v>이도형</v>
      </c>
      <c r="C92" s="22" t="str">
        <f t="shared" si="31"/>
        <v>선택</v>
      </c>
      <c r="D92" s="22" t="str">
        <f t="shared" si="31"/>
        <v>파트타임</v>
      </c>
      <c r="E92" s="21">
        <f t="shared" si="31"/>
        <v>0</v>
      </c>
      <c r="F92" s="21">
        <f t="shared" si="31"/>
        <v>0</v>
      </c>
      <c r="G92" s="86">
        <f t="shared" ref="G92:AK92" si="35">G34*$AM34</f>
        <v>0</v>
      </c>
      <c r="H92" s="86">
        <f t="shared" si="35"/>
        <v>0</v>
      </c>
      <c r="I92" s="86">
        <f t="shared" si="35"/>
        <v>0</v>
      </c>
      <c r="J92" s="86">
        <f t="shared" si="35"/>
        <v>0</v>
      </c>
      <c r="K92" s="86">
        <f t="shared" si="35"/>
        <v>0</v>
      </c>
      <c r="L92" s="86">
        <f t="shared" si="35"/>
        <v>0</v>
      </c>
      <c r="M92" s="86">
        <f t="shared" si="35"/>
        <v>0</v>
      </c>
      <c r="N92" s="86">
        <f t="shared" si="35"/>
        <v>0</v>
      </c>
      <c r="O92" s="86">
        <f t="shared" si="35"/>
        <v>91000</v>
      </c>
      <c r="P92" s="86">
        <f>P34*$AM34</f>
        <v>91000</v>
      </c>
      <c r="Q92" s="86">
        <f t="shared" si="35"/>
        <v>0</v>
      </c>
      <c r="R92" s="86">
        <f t="shared" si="35"/>
        <v>0</v>
      </c>
      <c r="S92" s="86">
        <f t="shared" si="35"/>
        <v>0</v>
      </c>
      <c r="T92" s="86">
        <f t="shared" si="35"/>
        <v>0</v>
      </c>
      <c r="U92" s="86">
        <f t="shared" si="35"/>
        <v>0</v>
      </c>
      <c r="V92" s="86">
        <f t="shared" si="35"/>
        <v>0</v>
      </c>
      <c r="W92" s="86">
        <f t="shared" si="35"/>
        <v>0</v>
      </c>
      <c r="X92" s="86">
        <f t="shared" si="35"/>
        <v>0</v>
      </c>
      <c r="Y92" s="86">
        <f t="shared" si="35"/>
        <v>0</v>
      </c>
      <c r="Z92" s="86">
        <f t="shared" si="35"/>
        <v>0</v>
      </c>
      <c r="AA92" s="86">
        <f t="shared" si="35"/>
        <v>0</v>
      </c>
      <c r="AB92" s="86">
        <f t="shared" si="35"/>
        <v>0</v>
      </c>
      <c r="AC92" s="86">
        <f t="shared" si="35"/>
        <v>0</v>
      </c>
      <c r="AD92" s="86">
        <f t="shared" si="35"/>
        <v>0</v>
      </c>
      <c r="AE92" s="86">
        <f t="shared" si="35"/>
        <v>0</v>
      </c>
      <c r="AF92" s="86">
        <f t="shared" si="35"/>
        <v>0</v>
      </c>
      <c r="AG92" s="86">
        <f t="shared" si="35"/>
        <v>0</v>
      </c>
      <c r="AH92" s="86">
        <f t="shared" si="35"/>
        <v>0</v>
      </c>
      <c r="AI92" s="86">
        <f t="shared" si="35"/>
        <v>0</v>
      </c>
      <c r="AJ92" s="86">
        <f t="shared" si="35"/>
        <v>0</v>
      </c>
      <c r="AK92" s="86">
        <f t="shared" si="35"/>
        <v>0</v>
      </c>
    </row>
    <row r="93" spans="2:52" s="6" customFormat="1" ht="21.95" hidden="1" customHeight="1" x14ac:dyDescent="0.25">
      <c r="B93" s="42" t="str">
        <f t="shared" si="31"/>
        <v>송은비</v>
      </c>
      <c r="C93" s="22" t="str">
        <f t="shared" si="31"/>
        <v>선택</v>
      </c>
      <c r="D93" s="22" t="str">
        <f t="shared" si="31"/>
        <v>파트타임</v>
      </c>
      <c r="E93" s="21">
        <f t="shared" si="31"/>
        <v>0</v>
      </c>
      <c r="F93" s="21">
        <f t="shared" si="31"/>
        <v>0</v>
      </c>
      <c r="G93" s="86">
        <f t="shared" ref="G93:AK93" si="36">G35*$AM35</f>
        <v>0</v>
      </c>
      <c r="H93" s="86">
        <f t="shared" si="36"/>
        <v>0</v>
      </c>
      <c r="I93" s="86">
        <f t="shared" si="36"/>
        <v>0</v>
      </c>
      <c r="J93" s="86">
        <f t="shared" si="36"/>
        <v>0</v>
      </c>
      <c r="K93" s="86">
        <f t="shared" si="36"/>
        <v>0</v>
      </c>
      <c r="L93" s="86">
        <f t="shared" si="36"/>
        <v>0</v>
      </c>
      <c r="M93" s="86">
        <f t="shared" si="36"/>
        <v>0</v>
      </c>
      <c r="N93" s="86">
        <f t="shared" si="36"/>
        <v>0</v>
      </c>
      <c r="O93" s="86">
        <f t="shared" si="36"/>
        <v>0</v>
      </c>
      <c r="P93" s="86">
        <f t="shared" si="36"/>
        <v>0</v>
      </c>
      <c r="Q93" s="86">
        <f t="shared" si="36"/>
        <v>0</v>
      </c>
      <c r="R93" s="86">
        <f t="shared" si="36"/>
        <v>0</v>
      </c>
      <c r="S93" s="86">
        <f t="shared" si="36"/>
        <v>0</v>
      </c>
      <c r="T93" s="86">
        <f t="shared" si="36"/>
        <v>0</v>
      </c>
      <c r="U93" s="86">
        <f t="shared" si="36"/>
        <v>0</v>
      </c>
      <c r="V93" s="86">
        <f t="shared" si="36"/>
        <v>0</v>
      </c>
      <c r="W93" s="86">
        <f t="shared" si="36"/>
        <v>0</v>
      </c>
      <c r="X93" s="86">
        <f t="shared" si="36"/>
        <v>0</v>
      </c>
      <c r="Y93" s="86">
        <f t="shared" si="36"/>
        <v>0</v>
      </c>
      <c r="Z93" s="86">
        <f t="shared" si="36"/>
        <v>0</v>
      </c>
      <c r="AA93" s="86">
        <f t="shared" si="36"/>
        <v>0</v>
      </c>
      <c r="AB93" s="86">
        <f t="shared" si="36"/>
        <v>0</v>
      </c>
      <c r="AC93" s="86">
        <f t="shared" si="36"/>
        <v>0</v>
      </c>
      <c r="AD93" s="86">
        <f t="shared" si="36"/>
        <v>0</v>
      </c>
      <c r="AE93" s="86">
        <f t="shared" si="36"/>
        <v>91000</v>
      </c>
      <c r="AF93" s="86">
        <f t="shared" si="36"/>
        <v>0</v>
      </c>
      <c r="AG93" s="86">
        <f t="shared" si="36"/>
        <v>0</v>
      </c>
      <c r="AH93" s="86">
        <f t="shared" si="36"/>
        <v>0</v>
      </c>
      <c r="AI93" s="86">
        <f t="shared" si="36"/>
        <v>0</v>
      </c>
      <c r="AJ93" s="86">
        <f t="shared" si="36"/>
        <v>0</v>
      </c>
      <c r="AK93" s="86">
        <f t="shared" si="36"/>
        <v>0</v>
      </c>
    </row>
    <row r="94" spans="2:52" s="6" customFormat="1" ht="21.95" hidden="1" customHeight="1" x14ac:dyDescent="0.25">
      <c r="B94" s="42" t="str">
        <f t="shared" si="31"/>
        <v>김범창</v>
      </c>
      <c r="C94" s="22" t="str">
        <f t="shared" si="31"/>
        <v>선택</v>
      </c>
      <c r="D94" s="22" t="str">
        <f t="shared" si="31"/>
        <v>파트타임</v>
      </c>
      <c r="E94" s="21">
        <f t="shared" si="31"/>
        <v>0</v>
      </c>
      <c r="F94" s="21">
        <f t="shared" si="31"/>
        <v>0</v>
      </c>
      <c r="G94" s="86">
        <f t="shared" ref="G94:AK94" si="37">G36*$AM36</f>
        <v>0</v>
      </c>
      <c r="H94" s="86">
        <f t="shared" si="37"/>
        <v>0</v>
      </c>
      <c r="I94" s="86">
        <f t="shared" si="37"/>
        <v>0</v>
      </c>
      <c r="J94" s="86">
        <f t="shared" si="37"/>
        <v>0</v>
      </c>
      <c r="K94" s="86">
        <f t="shared" si="37"/>
        <v>0</v>
      </c>
      <c r="L94" s="86">
        <f t="shared" si="37"/>
        <v>0</v>
      </c>
      <c r="M94" s="86">
        <f t="shared" si="37"/>
        <v>0</v>
      </c>
      <c r="N94" s="86">
        <f t="shared" si="37"/>
        <v>0</v>
      </c>
      <c r="O94" s="86">
        <f t="shared" si="37"/>
        <v>0</v>
      </c>
      <c r="P94" s="86">
        <f t="shared" si="37"/>
        <v>0</v>
      </c>
      <c r="Q94" s="86">
        <f t="shared" si="37"/>
        <v>0</v>
      </c>
      <c r="R94" s="86">
        <f t="shared" si="37"/>
        <v>0</v>
      </c>
      <c r="S94" s="86">
        <f t="shared" si="37"/>
        <v>0</v>
      </c>
      <c r="T94" s="86">
        <f t="shared" si="37"/>
        <v>0</v>
      </c>
      <c r="U94" s="86">
        <f t="shared" si="37"/>
        <v>0</v>
      </c>
      <c r="V94" s="86">
        <f t="shared" si="37"/>
        <v>0</v>
      </c>
      <c r="W94" s="86">
        <f t="shared" si="37"/>
        <v>0</v>
      </c>
      <c r="X94" s="86">
        <f t="shared" si="37"/>
        <v>0</v>
      </c>
      <c r="Y94" s="86">
        <f t="shared" si="37"/>
        <v>0</v>
      </c>
      <c r="Z94" s="86">
        <f t="shared" si="37"/>
        <v>0</v>
      </c>
      <c r="AA94" s="86">
        <f t="shared" si="37"/>
        <v>0</v>
      </c>
      <c r="AB94" s="86">
        <f t="shared" si="37"/>
        <v>0</v>
      </c>
      <c r="AC94" s="86">
        <f t="shared" si="37"/>
        <v>0</v>
      </c>
      <c r="AD94" s="86">
        <f t="shared" si="37"/>
        <v>0</v>
      </c>
      <c r="AE94" s="86">
        <f t="shared" si="37"/>
        <v>45500</v>
      </c>
      <c r="AF94" s="86">
        <f t="shared" si="37"/>
        <v>0</v>
      </c>
      <c r="AG94" s="86">
        <f t="shared" si="37"/>
        <v>0</v>
      </c>
      <c r="AH94" s="86">
        <f t="shared" si="37"/>
        <v>0</v>
      </c>
      <c r="AI94" s="86">
        <f t="shared" si="37"/>
        <v>0</v>
      </c>
      <c r="AJ94" s="86">
        <f t="shared" si="37"/>
        <v>0</v>
      </c>
      <c r="AK94" s="86">
        <f t="shared" si="37"/>
        <v>0</v>
      </c>
    </row>
    <row r="95" spans="2:52" s="6" customFormat="1" ht="21.95" hidden="1" customHeight="1" x14ac:dyDescent="0.25">
      <c r="B95" s="42">
        <f t="shared" si="31"/>
        <v>0</v>
      </c>
      <c r="C95" s="22" t="str">
        <f t="shared" si="31"/>
        <v>선택</v>
      </c>
      <c r="D95" s="22" t="str">
        <f t="shared" si="31"/>
        <v>파트타임</v>
      </c>
      <c r="E95" s="21">
        <f t="shared" si="31"/>
        <v>0</v>
      </c>
      <c r="F95" s="21">
        <f t="shared" si="31"/>
        <v>0</v>
      </c>
      <c r="G95" s="86">
        <f t="shared" ref="G95:AK95" si="38">G37*$AM37</f>
        <v>0</v>
      </c>
      <c r="H95" s="86">
        <f t="shared" si="38"/>
        <v>0</v>
      </c>
      <c r="I95" s="86">
        <f t="shared" si="38"/>
        <v>0</v>
      </c>
      <c r="J95" s="86">
        <f t="shared" si="38"/>
        <v>0</v>
      </c>
      <c r="K95" s="86">
        <f t="shared" si="38"/>
        <v>0</v>
      </c>
      <c r="L95" s="86">
        <f t="shared" si="38"/>
        <v>0</v>
      </c>
      <c r="M95" s="86">
        <f t="shared" si="38"/>
        <v>0</v>
      </c>
      <c r="N95" s="86">
        <f t="shared" si="38"/>
        <v>0</v>
      </c>
      <c r="O95" s="86">
        <f t="shared" si="38"/>
        <v>0</v>
      </c>
      <c r="P95" s="86">
        <f t="shared" si="38"/>
        <v>0</v>
      </c>
      <c r="Q95" s="86">
        <f t="shared" si="38"/>
        <v>0</v>
      </c>
      <c r="R95" s="86">
        <f t="shared" si="38"/>
        <v>0</v>
      </c>
      <c r="S95" s="86">
        <f t="shared" si="38"/>
        <v>0</v>
      </c>
      <c r="T95" s="86">
        <f t="shared" si="38"/>
        <v>0</v>
      </c>
      <c r="U95" s="86">
        <f t="shared" si="38"/>
        <v>0</v>
      </c>
      <c r="V95" s="86">
        <f t="shared" si="38"/>
        <v>0</v>
      </c>
      <c r="W95" s="86">
        <f t="shared" si="38"/>
        <v>0</v>
      </c>
      <c r="X95" s="86">
        <f t="shared" si="38"/>
        <v>0</v>
      </c>
      <c r="Y95" s="86">
        <f t="shared" si="38"/>
        <v>0</v>
      </c>
      <c r="Z95" s="86">
        <f t="shared" si="38"/>
        <v>0</v>
      </c>
      <c r="AA95" s="86">
        <f t="shared" si="38"/>
        <v>0</v>
      </c>
      <c r="AB95" s="86">
        <f t="shared" si="38"/>
        <v>0</v>
      </c>
      <c r="AC95" s="86">
        <f t="shared" si="38"/>
        <v>0</v>
      </c>
      <c r="AD95" s="86">
        <f t="shared" si="38"/>
        <v>0</v>
      </c>
      <c r="AE95" s="86">
        <f t="shared" si="38"/>
        <v>0</v>
      </c>
      <c r="AF95" s="86">
        <f t="shared" si="38"/>
        <v>0</v>
      </c>
      <c r="AG95" s="86">
        <f t="shared" si="38"/>
        <v>0</v>
      </c>
      <c r="AH95" s="86">
        <f t="shared" si="38"/>
        <v>0</v>
      </c>
      <c r="AI95" s="86">
        <f t="shared" si="38"/>
        <v>0</v>
      </c>
      <c r="AJ95" s="86">
        <f t="shared" si="38"/>
        <v>0</v>
      </c>
      <c r="AK95" s="86">
        <f t="shared" si="38"/>
        <v>0</v>
      </c>
    </row>
    <row r="96" spans="2:52" s="6" customFormat="1" ht="21.95" hidden="1" customHeight="1" x14ac:dyDescent="0.25">
      <c r="B96" s="42">
        <f t="shared" si="31"/>
        <v>0</v>
      </c>
      <c r="C96" s="22" t="str">
        <f t="shared" si="31"/>
        <v>선택</v>
      </c>
      <c r="D96" s="22" t="str">
        <f t="shared" si="31"/>
        <v>파트타임</v>
      </c>
      <c r="E96" s="21">
        <f t="shared" si="31"/>
        <v>0</v>
      </c>
      <c r="F96" s="21">
        <f t="shared" si="31"/>
        <v>0</v>
      </c>
      <c r="G96" s="86">
        <f t="shared" ref="G96:AK96" si="39">G38*$AM38</f>
        <v>0</v>
      </c>
      <c r="H96" s="86">
        <f t="shared" si="39"/>
        <v>0</v>
      </c>
      <c r="I96" s="86">
        <f t="shared" si="39"/>
        <v>0</v>
      </c>
      <c r="J96" s="86">
        <f t="shared" si="39"/>
        <v>0</v>
      </c>
      <c r="K96" s="86">
        <f t="shared" si="39"/>
        <v>0</v>
      </c>
      <c r="L96" s="86">
        <f t="shared" si="39"/>
        <v>0</v>
      </c>
      <c r="M96" s="86">
        <f t="shared" si="39"/>
        <v>0</v>
      </c>
      <c r="N96" s="86">
        <f t="shared" si="39"/>
        <v>0</v>
      </c>
      <c r="O96" s="86">
        <f t="shared" si="39"/>
        <v>0</v>
      </c>
      <c r="P96" s="86">
        <f t="shared" si="39"/>
        <v>0</v>
      </c>
      <c r="Q96" s="86">
        <f t="shared" si="39"/>
        <v>0</v>
      </c>
      <c r="R96" s="86">
        <f t="shared" si="39"/>
        <v>0</v>
      </c>
      <c r="S96" s="86">
        <f t="shared" si="39"/>
        <v>0</v>
      </c>
      <c r="T96" s="86">
        <f t="shared" si="39"/>
        <v>0</v>
      </c>
      <c r="U96" s="86">
        <f t="shared" si="39"/>
        <v>0</v>
      </c>
      <c r="V96" s="86">
        <f t="shared" si="39"/>
        <v>0</v>
      </c>
      <c r="W96" s="86">
        <f t="shared" si="39"/>
        <v>0</v>
      </c>
      <c r="X96" s="86">
        <f t="shared" si="39"/>
        <v>0</v>
      </c>
      <c r="Y96" s="86">
        <f t="shared" si="39"/>
        <v>0</v>
      </c>
      <c r="Z96" s="86">
        <f t="shared" si="39"/>
        <v>0</v>
      </c>
      <c r="AA96" s="86">
        <f t="shared" si="39"/>
        <v>0</v>
      </c>
      <c r="AB96" s="86">
        <f t="shared" si="39"/>
        <v>0</v>
      </c>
      <c r="AC96" s="86">
        <f t="shared" si="39"/>
        <v>0</v>
      </c>
      <c r="AD96" s="86">
        <f t="shared" si="39"/>
        <v>0</v>
      </c>
      <c r="AE96" s="86">
        <f t="shared" si="39"/>
        <v>0</v>
      </c>
      <c r="AF96" s="86">
        <f t="shared" si="39"/>
        <v>0</v>
      </c>
      <c r="AG96" s="86">
        <f t="shared" si="39"/>
        <v>0</v>
      </c>
      <c r="AH96" s="86">
        <f t="shared" si="39"/>
        <v>0</v>
      </c>
      <c r="AI96" s="86">
        <f t="shared" si="39"/>
        <v>0</v>
      </c>
      <c r="AJ96" s="86">
        <f t="shared" si="39"/>
        <v>0</v>
      </c>
      <c r="AK96" s="86">
        <f t="shared" si="39"/>
        <v>0</v>
      </c>
    </row>
    <row r="97" spans="2:38" s="6" customFormat="1" ht="21.95" hidden="1" customHeight="1" x14ac:dyDescent="0.25">
      <c r="B97" s="42">
        <f t="shared" si="31"/>
        <v>0</v>
      </c>
      <c r="C97" s="22" t="str">
        <f t="shared" si="31"/>
        <v>선택</v>
      </c>
      <c r="D97" s="22" t="str">
        <f t="shared" si="31"/>
        <v>파트타임</v>
      </c>
      <c r="E97" s="21">
        <f t="shared" si="31"/>
        <v>0</v>
      </c>
      <c r="F97" s="21">
        <f t="shared" si="31"/>
        <v>0</v>
      </c>
      <c r="G97" s="86">
        <f t="shared" ref="G97:AK97" si="40">G39*$AM39</f>
        <v>0</v>
      </c>
      <c r="H97" s="86">
        <f t="shared" si="40"/>
        <v>0</v>
      </c>
      <c r="I97" s="86">
        <f t="shared" si="40"/>
        <v>0</v>
      </c>
      <c r="J97" s="86">
        <f t="shared" si="40"/>
        <v>0</v>
      </c>
      <c r="K97" s="86">
        <f t="shared" si="40"/>
        <v>0</v>
      </c>
      <c r="L97" s="86">
        <f t="shared" si="40"/>
        <v>0</v>
      </c>
      <c r="M97" s="86">
        <f t="shared" si="40"/>
        <v>0</v>
      </c>
      <c r="N97" s="86">
        <f t="shared" si="40"/>
        <v>0</v>
      </c>
      <c r="O97" s="86">
        <f t="shared" si="40"/>
        <v>0</v>
      </c>
      <c r="P97" s="86">
        <f t="shared" si="40"/>
        <v>0</v>
      </c>
      <c r="Q97" s="86">
        <f t="shared" si="40"/>
        <v>0</v>
      </c>
      <c r="R97" s="86">
        <f t="shared" si="40"/>
        <v>0</v>
      </c>
      <c r="S97" s="86">
        <f t="shared" si="40"/>
        <v>0</v>
      </c>
      <c r="T97" s="86">
        <f t="shared" si="40"/>
        <v>0</v>
      </c>
      <c r="U97" s="86">
        <f t="shared" si="40"/>
        <v>0</v>
      </c>
      <c r="V97" s="86">
        <f t="shared" si="40"/>
        <v>0</v>
      </c>
      <c r="W97" s="86">
        <f t="shared" si="40"/>
        <v>0</v>
      </c>
      <c r="X97" s="86">
        <f t="shared" si="40"/>
        <v>0</v>
      </c>
      <c r="Y97" s="86">
        <f t="shared" si="40"/>
        <v>0</v>
      </c>
      <c r="Z97" s="86">
        <f t="shared" si="40"/>
        <v>0</v>
      </c>
      <c r="AA97" s="86">
        <f t="shared" si="40"/>
        <v>0</v>
      </c>
      <c r="AB97" s="86">
        <f t="shared" si="40"/>
        <v>0</v>
      </c>
      <c r="AC97" s="86">
        <f t="shared" si="40"/>
        <v>0</v>
      </c>
      <c r="AD97" s="86">
        <f t="shared" si="40"/>
        <v>0</v>
      </c>
      <c r="AE97" s="86">
        <f t="shared" si="40"/>
        <v>0</v>
      </c>
      <c r="AF97" s="86">
        <f t="shared" si="40"/>
        <v>0</v>
      </c>
      <c r="AG97" s="86">
        <f t="shared" si="40"/>
        <v>0</v>
      </c>
      <c r="AH97" s="86">
        <f t="shared" si="40"/>
        <v>0</v>
      </c>
      <c r="AI97" s="86">
        <f t="shared" si="40"/>
        <v>0</v>
      </c>
      <c r="AJ97" s="86">
        <f t="shared" si="40"/>
        <v>0</v>
      </c>
      <c r="AK97" s="86">
        <f t="shared" si="40"/>
        <v>0</v>
      </c>
    </row>
    <row r="98" spans="2:38" s="6" customFormat="1" ht="21.95" hidden="1" customHeight="1" x14ac:dyDescent="0.25">
      <c r="B98" s="42">
        <f t="shared" si="31"/>
        <v>0</v>
      </c>
      <c r="C98" s="22" t="str">
        <f t="shared" si="31"/>
        <v>선택</v>
      </c>
      <c r="D98" s="22" t="str">
        <f t="shared" si="31"/>
        <v>파트타임</v>
      </c>
      <c r="E98" s="21">
        <f t="shared" si="31"/>
        <v>0</v>
      </c>
      <c r="F98" s="21">
        <f t="shared" si="31"/>
        <v>0</v>
      </c>
      <c r="G98" s="86">
        <f t="shared" ref="G98:AK98" si="41">G40*$AM40</f>
        <v>0</v>
      </c>
      <c r="H98" s="86">
        <f t="shared" si="41"/>
        <v>0</v>
      </c>
      <c r="I98" s="86">
        <f t="shared" si="41"/>
        <v>0</v>
      </c>
      <c r="J98" s="86">
        <f t="shared" si="41"/>
        <v>0</v>
      </c>
      <c r="K98" s="86">
        <f t="shared" si="41"/>
        <v>0</v>
      </c>
      <c r="L98" s="86">
        <f t="shared" si="41"/>
        <v>0</v>
      </c>
      <c r="M98" s="86">
        <f t="shared" si="41"/>
        <v>0</v>
      </c>
      <c r="N98" s="86">
        <f t="shared" si="41"/>
        <v>0</v>
      </c>
      <c r="O98" s="86">
        <f t="shared" si="41"/>
        <v>0</v>
      </c>
      <c r="P98" s="86">
        <f t="shared" si="41"/>
        <v>0</v>
      </c>
      <c r="Q98" s="86">
        <f t="shared" si="41"/>
        <v>0</v>
      </c>
      <c r="R98" s="86">
        <f t="shared" si="41"/>
        <v>0</v>
      </c>
      <c r="S98" s="86">
        <f t="shared" si="41"/>
        <v>0</v>
      </c>
      <c r="T98" s="86">
        <f t="shared" si="41"/>
        <v>0</v>
      </c>
      <c r="U98" s="86">
        <f t="shared" si="41"/>
        <v>0</v>
      </c>
      <c r="V98" s="86">
        <f t="shared" si="41"/>
        <v>0</v>
      </c>
      <c r="W98" s="86">
        <f t="shared" si="41"/>
        <v>0</v>
      </c>
      <c r="X98" s="86">
        <f t="shared" si="41"/>
        <v>0</v>
      </c>
      <c r="Y98" s="86">
        <f t="shared" si="41"/>
        <v>0</v>
      </c>
      <c r="Z98" s="86">
        <f t="shared" si="41"/>
        <v>0</v>
      </c>
      <c r="AA98" s="86">
        <f t="shared" si="41"/>
        <v>0</v>
      </c>
      <c r="AB98" s="86">
        <f t="shared" si="41"/>
        <v>0</v>
      </c>
      <c r="AC98" s="86">
        <f t="shared" si="41"/>
        <v>0</v>
      </c>
      <c r="AD98" s="86">
        <f t="shared" si="41"/>
        <v>0</v>
      </c>
      <c r="AE98" s="86">
        <f t="shared" si="41"/>
        <v>0</v>
      </c>
      <c r="AF98" s="86">
        <f t="shared" si="41"/>
        <v>0</v>
      </c>
      <c r="AG98" s="86">
        <f t="shared" si="41"/>
        <v>0</v>
      </c>
      <c r="AH98" s="86">
        <f t="shared" si="41"/>
        <v>0</v>
      </c>
      <c r="AI98" s="86">
        <f t="shared" si="41"/>
        <v>0</v>
      </c>
      <c r="AJ98" s="86">
        <f t="shared" si="41"/>
        <v>0</v>
      </c>
      <c r="AK98" s="86">
        <f t="shared" si="41"/>
        <v>0</v>
      </c>
    </row>
    <row r="99" spans="2:38" s="6" customFormat="1" ht="21.95" hidden="1" customHeight="1" x14ac:dyDescent="0.25">
      <c r="B99" s="42">
        <f t="shared" si="31"/>
        <v>0</v>
      </c>
      <c r="C99" s="22" t="str">
        <f t="shared" si="31"/>
        <v>선택</v>
      </c>
      <c r="D99" s="22" t="str">
        <f t="shared" si="31"/>
        <v>파트타임</v>
      </c>
      <c r="E99" s="21">
        <f t="shared" si="31"/>
        <v>0</v>
      </c>
      <c r="F99" s="21">
        <f t="shared" si="31"/>
        <v>0</v>
      </c>
      <c r="G99" s="86">
        <f t="shared" ref="G99:AK99" si="42">G41*$AM41</f>
        <v>0</v>
      </c>
      <c r="H99" s="86">
        <f t="shared" si="42"/>
        <v>0</v>
      </c>
      <c r="I99" s="86">
        <f t="shared" si="42"/>
        <v>0</v>
      </c>
      <c r="J99" s="86">
        <f t="shared" si="42"/>
        <v>0</v>
      </c>
      <c r="K99" s="86">
        <f t="shared" si="42"/>
        <v>0</v>
      </c>
      <c r="L99" s="86">
        <f t="shared" si="42"/>
        <v>0</v>
      </c>
      <c r="M99" s="86">
        <f t="shared" si="42"/>
        <v>0</v>
      </c>
      <c r="N99" s="86">
        <f t="shared" si="42"/>
        <v>0</v>
      </c>
      <c r="O99" s="86">
        <f t="shared" si="42"/>
        <v>0</v>
      </c>
      <c r="P99" s="86">
        <f t="shared" si="42"/>
        <v>0</v>
      </c>
      <c r="Q99" s="86">
        <f t="shared" si="42"/>
        <v>0</v>
      </c>
      <c r="R99" s="86">
        <f t="shared" si="42"/>
        <v>0</v>
      </c>
      <c r="S99" s="86">
        <f t="shared" si="42"/>
        <v>0</v>
      </c>
      <c r="T99" s="86">
        <f t="shared" si="42"/>
        <v>0</v>
      </c>
      <c r="U99" s="86">
        <f t="shared" si="42"/>
        <v>0</v>
      </c>
      <c r="V99" s="86">
        <f t="shared" si="42"/>
        <v>0</v>
      </c>
      <c r="W99" s="86">
        <f t="shared" si="42"/>
        <v>0</v>
      </c>
      <c r="X99" s="86">
        <f t="shared" si="42"/>
        <v>0</v>
      </c>
      <c r="Y99" s="86">
        <f t="shared" si="42"/>
        <v>0</v>
      </c>
      <c r="Z99" s="86">
        <f t="shared" si="42"/>
        <v>0</v>
      </c>
      <c r="AA99" s="86">
        <f t="shared" si="42"/>
        <v>0</v>
      </c>
      <c r="AB99" s="86">
        <f t="shared" si="42"/>
        <v>0</v>
      </c>
      <c r="AC99" s="86">
        <f t="shared" si="42"/>
        <v>0</v>
      </c>
      <c r="AD99" s="86">
        <f t="shared" si="42"/>
        <v>0</v>
      </c>
      <c r="AE99" s="86">
        <f t="shared" si="42"/>
        <v>0</v>
      </c>
      <c r="AF99" s="86">
        <f t="shared" si="42"/>
        <v>0</v>
      </c>
      <c r="AG99" s="86">
        <f t="shared" si="42"/>
        <v>0</v>
      </c>
      <c r="AH99" s="86">
        <f t="shared" si="42"/>
        <v>0</v>
      </c>
      <c r="AI99" s="86">
        <f t="shared" si="42"/>
        <v>0</v>
      </c>
      <c r="AJ99" s="86">
        <f t="shared" si="42"/>
        <v>0</v>
      </c>
      <c r="AK99" s="86">
        <f t="shared" si="42"/>
        <v>0</v>
      </c>
    </row>
    <row r="100" spans="2:38" s="6" customFormat="1" ht="21.95" hidden="1" customHeight="1" x14ac:dyDescent="0.25">
      <c r="B100" s="42">
        <f t="shared" si="31"/>
        <v>0</v>
      </c>
      <c r="C100" s="22" t="str">
        <f t="shared" si="31"/>
        <v>선택</v>
      </c>
      <c r="D100" s="22" t="str">
        <f t="shared" si="31"/>
        <v>파트타임</v>
      </c>
      <c r="E100" s="21">
        <f t="shared" si="31"/>
        <v>0</v>
      </c>
      <c r="F100" s="21">
        <f t="shared" si="31"/>
        <v>0</v>
      </c>
      <c r="G100" s="86">
        <f t="shared" ref="G100:AK100" si="43">G42*$AM42</f>
        <v>0</v>
      </c>
      <c r="H100" s="86">
        <f t="shared" si="43"/>
        <v>0</v>
      </c>
      <c r="I100" s="86">
        <f t="shared" si="43"/>
        <v>0</v>
      </c>
      <c r="J100" s="86">
        <f t="shared" si="43"/>
        <v>0</v>
      </c>
      <c r="K100" s="86">
        <f t="shared" si="43"/>
        <v>0</v>
      </c>
      <c r="L100" s="86">
        <f t="shared" si="43"/>
        <v>0</v>
      </c>
      <c r="M100" s="86">
        <f t="shared" si="43"/>
        <v>0</v>
      </c>
      <c r="N100" s="86">
        <f t="shared" si="43"/>
        <v>0</v>
      </c>
      <c r="O100" s="86">
        <f t="shared" si="43"/>
        <v>0</v>
      </c>
      <c r="P100" s="86">
        <f t="shared" si="43"/>
        <v>0</v>
      </c>
      <c r="Q100" s="86">
        <f t="shared" si="43"/>
        <v>0</v>
      </c>
      <c r="R100" s="86">
        <f t="shared" si="43"/>
        <v>0</v>
      </c>
      <c r="S100" s="86">
        <f t="shared" si="43"/>
        <v>0</v>
      </c>
      <c r="T100" s="86">
        <f t="shared" si="43"/>
        <v>0</v>
      </c>
      <c r="U100" s="86">
        <f t="shared" si="43"/>
        <v>0</v>
      </c>
      <c r="V100" s="86">
        <f t="shared" si="43"/>
        <v>0</v>
      </c>
      <c r="W100" s="86">
        <f t="shared" si="43"/>
        <v>0</v>
      </c>
      <c r="X100" s="86">
        <f t="shared" si="43"/>
        <v>0</v>
      </c>
      <c r="Y100" s="86">
        <f t="shared" si="43"/>
        <v>0</v>
      </c>
      <c r="Z100" s="86">
        <f t="shared" si="43"/>
        <v>0</v>
      </c>
      <c r="AA100" s="86">
        <f t="shared" si="43"/>
        <v>0</v>
      </c>
      <c r="AB100" s="86">
        <f t="shared" si="43"/>
        <v>0</v>
      </c>
      <c r="AC100" s="86">
        <f t="shared" si="43"/>
        <v>0</v>
      </c>
      <c r="AD100" s="86">
        <f t="shared" si="43"/>
        <v>0</v>
      </c>
      <c r="AE100" s="86">
        <f t="shared" si="43"/>
        <v>0</v>
      </c>
      <c r="AF100" s="86">
        <f t="shared" si="43"/>
        <v>0</v>
      </c>
      <c r="AG100" s="86">
        <f t="shared" si="43"/>
        <v>0</v>
      </c>
      <c r="AH100" s="86">
        <f t="shared" si="43"/>
        <v>0</v>
      </c>
      <c r="AI100" s="86">
        <f t="shared" si="43"/>
        <v>0</v>
      </c>
      <c r="AJ100" s="86">
        <f t="shared" si="43"/>
        <v>0</v>
      </c>
      <c r="AK100" s="86">
        <f t="shared" si="43"/>
        <v>0</v>
      </c>
    </row>
    <row r="101" spans="2:38" s="6" customFormat="1" ht="21.95" hidden="1" customHeight="1" x14ac:dyDescent="0.25">
      <c r="B101" s="42">
        <f t="shared" si="31"/>
        <v>0</v>
      </c>
      <c r="C101" s="22" t="str">
        <f t="shared" si="31"/>
        <v>선택</v>
      </c>
      <c r="D101" s="22" t="str">
        <f t="shared" si="31"/>
        <v>파트타임</v>
      </c>
      <c r="E101" s="21">
        <f t="shared" si="31"/>
        <v>0</v>
      </c>
      <c r="F101" s="21">
        <f t="shared" si="31"/>
        <v>0</v>
      </c>
      <c r="G101" s="86">
        <f t="shared" ref="G101:AK101" si="44">G43*$AM43</f>
        <v>0</v>
      </c>
      <c r="H101" s="86">
        <f t="shared" si="44"/>
        <v>0</v>
      </c>
      <c r="I101" s="86">
        <f t="shared" si="44"/>
        <v>0</v>
      </c>
      <c r="J101" s="86">
        <f t="shared" si="44"/>
        <v>0</v>
      </c>
      <c r="K101" s="86">
        <f t="shared" si="44"/>
        <v>0</v>
      </c>
      <c r="L101" s="86">
        <f t="shared" si="44"/>
        <v>0</v>
      </c>
      <c r="M101" s="86">
        <f t="shared" si="44"/>
        <v>0</v>
      </c>
      <c r="N101" s="86">
        <f t="shared" si="44"/>
        <v>0</v>
      </c>
      <c r="O101" s="86">
        <f t="shared" si="44"/>
        <v>0</v>
      </c>
      <c r="P101" s="86">
        <f t="shared" si="44"/>
        <v>0</v>
      </c>
      <c r="Q101" s="86">
        <f t="shared" si="44"/>
        <v>0</v>
      </c>
      <c r="R101" s="86">
        <f t="shared" si="44"/>
        <v>0</v>
      </c>
      <c r="S101" s="86">
        <f t="shared" si="44"/>
        <v>0</v>
      </c>
      <c r="T101" s="86">
        <f t="shared" si="44"/>
        <v>0</v>
      </c>
      <c r="U101" s="86">
        <f t="shared" si="44"/>
        <v>0</v>
      </c>
      <c r="V101" s="86">
        <f t="shared" si="44"/>
        <v>0</v>
      </c>
      <c r="W101" s="86">
        <f t="shared" si="44"/>
        <v>0</v>
      </c>
      <c r="X101" s="86">
        <f t="shared" si="44"/>
        <v>0</v>
      </c>
      <c r="Y101" s="86">
        <f t="shared" si="44"/>
        <v>0</v>
      </c>
      <c r="Z101" s="86">
        <f t="shared" si="44"/>
        <v>0</v>
      </c>
      <c r="AA101" s="86">
        <f t="shared" si="44"/>
        <v>0</v>
      </c>
      <c r="AB101" s="86">
        <f t="shared" si="44"/>
        <v>0</v>
      </c>
      <c r="AC101" s="86">
        <f t="shared" si="44"/>
        <v>0</v>
      </c>
      <c r="AD101" s="86">
        <f t="shared" si="44"/>
        <v>0</v>
      </c>
      <c r="AE101" s="86">
        <f t="shared" si="44"/>
        <v>0</v>
      </c>
      <c r="AF101" s="86">
        <f t="shared" si="44"/>
        <v>0</v>
      </c>
      <c r="AG101" s="86">
        <f t="shared" si="44"/>
        <v>0</v>
      </c>
      <c r="AH101" s="86">
        <f t="shared" si="44"/>
        <v>0</v>
      </c>
      <c r="AI101" s="86">
        <f t="shared" si="44"/>
        <v>0</v>
      </c>
      <c r="AJ101" s="86">
        <f t="shared" si="44"/>
        <v>0</v>
      </c>
      <c r="AK101" s="86">
        <f t="shared" si="44"/>
        <v>0</v>
      </c>
    </row>
    <row r="102" spans="2:38" s="6" customFormat="1" ht="21.95" hidden="1" customHeight="1" x14ac:dyDescent="0.25">
      <c r="B102" s="42">
        <f t="shared" si="31"/>
        <v>0</v>
      </c>
      <c r="C102" s="22" t="str">
        <f t="shared" si="31"/>
        <v>선택</v>
      </c>
      <c r="D102" s="22" t="str">
        <f t="shared" si="31"/>
        <v>파트타임</v>
      </c>
      <c r="E102" s="21">
        <f t="shared" si="31"/>
        <v>0</v>
      </c>
      <c r="F102" s="21">
        <f t="shared" si="31"/>
        <v>0</v>
      </c>
      <c r="G102" s="86">
        <f t="shared" ref="G102:AK102" si="45">G44*$AM44</f>
        <v>0</v>
      </c>
      <c r="H102" s="86">
        <f t="shared" si="45"/>
        <v>0</v>
      </c>
      <c r="I102" s="86">
        <f t="shared" si="45"/>
        <v>0</v>
      </c>
      <c r="J102" s="86">
        <f t="shared" si="45"/>
        <v>0</v>
      </c>
      <c r="K102" s="86">
        <f t="shared" si="45"/>
        <v>0</v>
      </c>
      <c r="L102" s="86">
        <f t="shared" si="45"/>
        <v>0</v>
      </c>
      <c r="M102" s="86">
        <f t="shared" si="45"/>
        <v>0</v>
      </c>
      <c r="N102" s="86">
        <f t="shared" si="45"/>
        <v>0</v>
      </c>
      <c r="O102" s="86">
        <f t="shared" si="45"/>
        <v>0</v>
      </c>
      <c r="P102" s="86">
        <f t="shared" si="45"/>
        <v>0</v>
      </c>
      <c r="Q102" s="86">
        <f t="shared" si="45"/>
        <v>0</v>
      </c>
      <c r="R102" s="86">
        <f t="shared" si="45"/>
        <v>0</v>
      </c>
      <c r="S102" s="86">
        <f t="shared" si="45"/>
        <v>0</v>
      </c>
      <c r="T102" s="86">
        <f t="shared" si="45"/>
        <v>0</v>
      </c>
      <c r="U102" s="86">
        <f t="shared" si="45"/>
        <v>0</v>
      </c>
      <c r="V102" s="86">
        <f t="shared" si="45"/>
        <v>0</v>
      </c>
      <c r="W102" s="86">
        <f t="shared" si="45"/>
        <v>0</v>
      </c>
      <c r="X102" s="86">
        <f t="shared" si="45"/>
        <v>0</v>
      </c>
      <c r="Y102" s="86">
        <f t="shared" si="45"/>
        <v>0</v>
      </c>
      <c r="Z102" s="86">
        <f t="shared" si="45"/>
        <v>0</v>
      </c>
      <c r="AA102" s="86">
        <f t="shared" si="45"/>
        <v>0</v>
      </c>
      <c r="AB102" s="86">
        <f t="shared" si="45"/>
        <v>0</v>
      </c>
      <c r="AC102" s="86">
        <f t="shared" si="45"/>
        <v>0</v>
      </c>
      <c r="AD102" s="86">
        <f t="shared" si="45"/>
        <v>0</v>
      </c>
      <c r="AE102" s="86">
        <f t="shared" si="45"/>
        <v>0</v>
      </c>
      <c r="AF102" s="86">
        <f t="shared" si="45"/>
        <v>0</v>
      </c>
      <c r="AG102" s="86">
        <f t="shared" si="45"/>
        <v>0</v>
      </c>
      <c r="AH102" s="86">
        <f t="shared" si="45"/>
        <v>0</v>
      </c>
      <c r="AI102" s="86">
        <f t="shared" si="45"/>
        <v>0</v>
      </c>
      <c r="AJ102" s="86">
        <f t="shared" si="45"/>
        <v>0</v>
      </c>
      <c r="AK102" s="86">
        <f t="shared" si="45"/>
        <v>0</v>
      </c>
    </row>
    <row r="103" spans="2:38" s="6" customFormat="1" ht="21.95" hidden="1" customHeight="1" thickBot="1" x14ac:dyDescent="0.3">
      <c r="B103" s="42">
        <f t="shared" si="31"/>
        <v>0</v>
      </c>
      <c r="C103" s="22" t="str">
        <f t="shared" si="31"/>
        <v>선택</v>
      </c>
      <c r="D103" s="22" t="str">
        <f t="shared" si="31"/>
        <v>파트타임</v>
      </c>
      <c r="E103" s="21">
        <f t="shared" si="31"/>
        <v>0</v>
      </c>
      <c r="F103" s="21">
        <f t="shared" si="31"/>
        <v>0</v>
      </c>
      <c r="G103" s="86">
        <f t="shared" ref="G103:AK103" si="46">G45*$AM45</f>
        <v>0</v>
      </c>
      <c r="H103" s="86">
        <f t="shared" si="46"/>
        <v>0</v>
      </c>
      <c r="I103" s="86">
        <f t="shared" si="46"/>
        <v>0</v>
      </c>
      <c r="J103" s="86">
        <f t="shared" si="46"/>
        <v>0</v>
      </c>
      <c r="K103" s="86">
        <f t="shared" si="46"/>
        <v>0</v>
      </c>
      <c r="L103" s="86">
        <f t="shared" si="46"/>
        <v>0</v>
      </c>
      <c r="M103" s="86">
        <f t="shared" si="46"/>
        <v>0</v>
      </c>
      <c r="N103" s="86">
        <f t="shared" si="46"/>
        <v>0</v>
      </c>
      <c r="O103" s="86">
        <f t="shared" si="46"/>
        <v>0</v>
      </c>
      <c r="P103" s="86">
        <f t="shared" si="46"/>
        <v>0</v>
      </c>
      <c r="Q103" s="86">
        <f t="shared" si="46"/>
        <v>0</v>
      </c>
      <c r="R103" s="86">
        <f t="shared" si="46"/>
        <v>0</v>
      </c>
      <c r="S103" s="86">
        <f t="shared" si="46"/>
        <v>0</v>
      </c>
      <c r="T103" s="86">
        <f t="shared" si="46"/>
        <v>0</v>
      </c>
      <c r="U103" s="86">
        <f t="shared" si="46"/>
        <v>0</v>
      </c>
      <c r="V103" s="86">
        <f t="shared" si="46"/>
        <v>0</v>
      </c>
      <c r="W103" s="86">
        <f t="shared" si="46"/>
        <v>0</v>
      </c>
      <c r="X103" s="86">
        <f t="shared" si="46"/>
        <v>0</v>
      </c>
      <c r="Y103" s="86">
        <f t="shared" si="46"/>
        <v>0</v>
      </c>
      <c r="Z103" s="86">
        <f t="shared" si="46"/>
        <v>0</v>
      </c>
      <c r="AA103" s="86">
        <f t="shared" si="46"/>
        <v>0</v>
      </c>
      <c r="AB103" s="86">
        <f t="shared" si="46"/>
        <v>0</v>
      </c>
      <c r="AC103" s="86">
        <f t="shared" si="46"/>
        <v>0</v>
      </c>
      <c r="AD103" s="86">
        <f t="shared" si="46"/>
        <v>0</v>
      </c>
      <c r="AE103" s="86">
        <f t="shared" si="46"/>
        <v>0</v>
      </c>
      <c r="AF103" s="86">
        <f t="shared" si="46"/>
        <v>0</v>
      </c>
      <c r="AG103" s="86">
        <f t="shared" si="46"/>
        <v>0</v>
      </c>
      <c r="AH103" s="86">
        <f t="shared" si="46"/>
        <v>0</v>
      </c>
      <c r="AI103" s="86">
        <f t="shared" si="46"/>
        <v>0</v>
      </c>
      <c r="AJ103" s="86">
        <f t="shared" si="46"/>
        <v>0</v>
      </c>
      <c r="AK103" s="86">
        <f t="shared" si="46"/>
        <v>0</v>
      </c>
    </row>
    <row r="104" spans="2:38" s="6" customFormat="1" ht="21.95" hidden="1" customHeight="1" thickBot="1" x14ac:dyDescent="0.3">
      <c r="B104" s="895" t="s">
        <v>94</v>
      </c>
      <c r="C104" s="896"/>
      <c r="D104" s="896"/>
      <c r="E104" s="896"/>
      <c r="F104" s="896"/>
      <c r="G104" s="103">
        <f t="shared" ref="G104:AK104" si="47">SUM(G89:G103)</f>
        <v>200000</v>
      </c>
      <c r="H104" s="103">
        <f t="shared" si="47"/>
        <v>200000</v>
      </c>
      <c r="I104" s="103">
        <f t="shared" si="47"/>
        <v>350000</v>
      </c>
      <c r="J104" s="103">
        <f t="shared" si="47"/>
        <v>382000</v>
      </c>
      <c r="K104" s="103">
        <f t="shared" si="47"/>
        <v>200000</v>
      </c>
      <c r="L104" s="103">
        <f t="shared" si="47"/>
        <v>200000</v>
      </c>
      <c r="M104" s="103">
        <f t="shared" si="47"/>
        <v>0</v>
      </c>
      <c r="N104" s="103">
        <f t="shared" si="47"/>
        <v>200000</v>
      </c>
      <c r="O104" s="103">
        <f t="shared" si="47"/>
        <v>291000</v>
      </c>
      <c r="P104" s="103">
        <f t="shared" si="47"/>
        <v>441000</v>
      </c>
      <c r="Q104" s="103">
        <f t="shared" si="47"/>
        <v>363000</v>
      </c>
      <c r="R104" s="103">
        <f t="shared" si="47"/>
        <v>200000</v>
      </c>
      <c r="S104" s="103">
        <f t="shared" si="47"/>
        <v>200000</v>
      </c>
      <c r="T104" s="103">
        <f t="shared" si="47"/>
        <v>200000</v>
      </c>
      <c r="U104" s="103">
        <f t="shared" si="47"/>
        <v>200000</v>
      </c>
      <c r="V104" s="103">
        <f t="shared" si="47"/>
        <v>200000</v>
      </c>
      <c r="W104" s="103">
        <f t="shared" si="47"/>
        <v>291000</v>
      </c>
      <c r="X104" s="103">
        <f t="shared" si="47"/>
        <v>304000</v>
      </c>
      <c r="Y104" s="103">
        <f t="shared" si="47"/>
        <v>200000</v>
      </c>
      <c r="Z104" s="103">
        <f t="shared" si="47"/>
        <v>200000</v>
      </c>
      <c r="AA104" s="103">
        <f t="shared" si="47"/>
        <v>0</v>
      </c>
      <c r="AB104" s="103">
        <f t="shared" si="47"/>
        <v>200000</v>
      </c>
      <c r="AC104" s="103">
        <f t="shared" si="47"/>
        <v>200000</v>
      </c>
      <c r="AD104" s="103">
        <f t="shared" si="47"/>
        <v>291000</v>
      </c>
      <c r="AE104" s="103">
        <f t="shared" si="47"/>
        <v>453500</v>
      </c>
      <c r="AF104" s="103">
        <f t="shared" si="47"/>
        <v>330000</v>
      </c>
      <c r="AG104" s="103">
        <f t="shared" si="47"/>
        <v>0</v>
      </c>
      <c r="AH104" s="103">
        <f t="shared" si="47"/>
        <v>0</v>
      </c>
      <c r="AI104" s="103">
        <f t="shared" si="47"/>
        <v>0</v>
      </c>
      <c r="AJ104" s="103">
        <f t="shared" si="47"/>
        <v>0</v>
      </c>
      <c r="AK104" s="103">
        <f t="shared" si="47"/>
        <v>0</v>
      </c>
      <c r="AL104" s="104">
        <f>SUM(G104:AK104)</f>
        <v>6296500</v>
      </c>
    </row>
    <row r="105" spans="2:38" s="6" customFormat="1" ht="21.95" customHeight="1" x14ac:dyDescent="0.25"/>
    <row r="106" spans="2:38" ht="21.95" customHeight="1" x14ac:dyDescent="0.25"/>
    <row r="107" spans="2:38" ht="21.95" customHeight="1" x14ac:dyDescent="0.25"/>
    <row r="108" spans="2:38" ht="21.95" customHeight="1" x14ac:dyDescent="0.25"/>
    <row r="109" spans="2:38" ht="21.95" customHeight="1" x14ac:dyDescent="0.25"/>
    <row r="110" spans="2:38" ht="21.95" customHeight="1" x14ac:dyDescent="0.25"/>
    <row r="111" spans="2:38" ht="21.95" customHeight="1" x14ac:dyDescent="0.25"/>
    <row r="112" spans="2:38" ht="21.95" customHeight="1" x14ac:dyDescent="0.25"/>
    <row r="113" ht="21.95" customHeight="1" x14ac:dyDescent="0.25"/>
    <row r="114" ht="21.95" customHeight="1" x14ac:dyDescent="0.25"/>
    <row r="115" ht="21.95" customHeight="1" x14ac:dyDescent="0.25"/>
    <row r="116" ht="21.95" customHeight="1" x14ac:dyDescent="0.25"/>
    <row r="117" ht="21.95" customHeight="1" x14ac:dyDescent="0.25"/>
    <row r="118" ht="21.95" customHeight="1" x14ac:dyDescent="0.25"/>
    <row r="119" ht="21.95" customHeight="1" x14ac:dyDescent="0.25"/>
    <row r="120" ht="21.95" customHeight="1" x14ac:dyDescent="0.25"/>
    <row r="121" ht="21.95" customHeight="1" x14ac:dyDescent="0.25"/>
    <row r="122" ht="21.95" customHeight="1" x14ac:dyDescent="0.25"/>
    <row r="123" ht="21.95" customHeight="1" x14ac:dyDescent="0.25"/>
    <row r="124" ht="21.95" customHeight="1" x14ac:dyDescent="0.25"/>
    <row r="125" ht="21.95" customHeight="1" x14ac:dyDescent="0.25"/>
    <row r="126" ht="21.95" customHeight="1" x14ac:dyDescent="0.25"/>
    <row r="127" ht="21.95" customHeight="1" x14ac:dyDescent="0.25"/>
    <row r="128" ht="21.95" customHeight="1" x14ac:dyDescent="0.25"/>
    <row r="129" ht="21.95" customHeight="1" x14ac:dyDescent="0.25"/>
    <row r="130" ht="21.95" customHeight="1" x14ac:dyDescent="0.25"/>
    <row r="131" ht="21.95" customHeight="1" x14ac:dyDescent="0.25"/>
    <row r="132" ht="21.95" customHeight="1" x14ac:dyDescent="0.25"/>
    <row r="133" ht="21.95" customHeight="1" x14ac:dyDescent="0.25"/>
    <row r="134" ht="21.95" customHeight="1" x14ac:dyDescent="0.25"/>
    <row r="135" ht="21.95" customHeight="1" x14ac:dyDescent="0.25"/>
    <row r="136" ht="21.95" customHeight="1" x14ac:dyDescent="0.25"/>
    <row r="137" ht="21.95" customHeight="1" x14ac:dyDescent="0.25"/>
    <row r="138" ht="21.95" customHeight="1" x14ac:dyDescent="0.25"/>
    <row r="139" ht="21.95" customHeight="1" x14ac:dyDescent="0.25"/>
    <row r="140" ht="21.95" customHeight="1" x14ac:dyDescent="0.25"/>
    <row r="141" ht="21.95" customHeight="1" x14ac:dyDescent="0.25"/>
    <row r="142" ht="21.95" customHeight="1" x14ac:dyDescent="0.25"/>
    <row r="143" ht="21.95" customHeight="1" x14ac:dyDescent="0.25"/>
    <row r="144" ht="21.95" customHeight="1" x14ac:dyDescent="0.25"/>
    <row r="145" ht="21.95" customHeight="1" x14ac:dyDescent="0.25"/>
    <row r="146" ht="21.95" customHeight="1" x14ac:dyDescent="0.25"/>
    <row r="147" ht="21.95" customHeight="1" x14ac:dyDescent="0.25"/>
    <row r="148" ht="21.95" customHeight="1" x14ac:dyDescent="0.25"/>
    <row r="149" ht="21.95" customHeight="1" x14ac:dyDescent="0.25"/>
    <row r="150" ht="21.95" customHeight="1" x14ac:dyDescent="0.25"/>
    <row r="151" ht="21.95" customHeight="1" x14ac:dyDescent="0.25"/>
    <row r="152" ht="21.95" customHeight="1" x14ac:dyDescent="0.25"/>
    <row r="153" ht="21.95" customHeight="1" x14ac:dyDescent="0.25"/>
    <row r="154" ht="21.95" customHeight="1" x14ac:dyDescent="0.25"/>
    <row r="155" ht="21.95" customHeight="1" x14ac:dyDescent="0.25"/>
    <row r="156" ht="21.95" customHeight="1" x14ac:dyDescent="0.25"/>
    <row r="157" ht="21.95" customHeight="1" x14ac:dyDescent="0.25"/>
    <row r="158" ht="21.95" customHeight="1" x14ac:dyDescent="0.25"/>
    <row r="159" ht="21.95" customHeight="1" x14ac:dyDescent="0.25"/>
    <row r="160" ht="21.95" customHeight="1" x14ac:dyDescent="0.25"/>
    <row r="161" ht="21.95" customHeight="1" x14ac:dyDescent="0.25"/>
    <row r="162" ht="21.95" customHeight="1" x14ac:dyDescent="0.25"/>
    <row r="163" ht="21.95" customHeight="1" x14ac:dyDescent="0.25"/>
    <row r="164" ht="21.95" customHeight="1" x14ac:dyDescent="0.25"/>
    <row r="165" ht="21.95" customHeight="1" x14ac:dyDescent="0.25"/>
    <row r="166" ht="21.95" customHeight="1" x14ac:dyDescent="0.25"/>
    <row r="167" ht="21.95" customHeight="1" x14ac:dyDescent="0.25"/>
    <row r="168" ht="21.95" customHeight="1" x14ac:dyDescent="0.25"/>
    <row r="169" ht="21.95" customHeight="1" x14ac:dyDescent="0.25"/>
    <row r="170" ht="21.95" customHeight="1" x14ac:dyDescent="0.25"/>
    <row r="171" ht="21.95" customHeight="1" x14ac:dyDescent="0.25"/>
    <row r="172" ht="21.95" customHeight="1" x14ac:dyDescent="0.25"/>
    <row r="173" ht="21.95" customHeight="1" x14ac:dyDescent="0.25"/>
    <row r="174" ht="21.95" customHeight="1" x14ac:dyDescent="0.25"/>
    <row r="175" ht="21.95" customHeight="1" x14ac:dyDescent="0.25"/>
    <row r="176" ht="21.95" customHeight="1" x14ac:dyDescent="0.25"/>
    <row r="177" ht="21.95" customHeight="1" x14ac:dyDescent="0.25"/>
    <row r="178" ht="21.95" customHeight="1" x14ac:dyDescent="0.25"/>
    <row r="179" ht="21.95" customHeight="1" x14ac:dyDescent="0.25"/>
    <row r="180" ht="21.95" customHeight="1" x14ac:dyDescent="0.25"/>
    <row r="181" ht="21.95" customHeight="1" x14ac:dyDescent="0.25"/>
    <row r="182" ht="21.95" customHeight="1" x14ac:dyDescent="0.25"/>
    <row r="183" ht="21.95" customHeight="1" x14ac:dyDescent="0.25"/>
    <row r="184" ht="21.95" customHeight="1" x14ac:dyDescent="0.25"/>
    <row r="185" ht="21.95" customHeight="1" x14ac:dyDescent="0.25"/>
    <row r="186" ht="21.95" customHeight="1" x14ac:dyDescent="0.25"/>
    <row r="187" ht="21.95" customHeight="1" x14ac:dyDescent="0.25"/>
    <row r="188" ht="21.95" customHeight="1" x14ac:dyDescent="0.25"/>
    <row r="189" ht="21.95" customHeight="1" x14ac:dyDescent="0.25"/>
  </sheetData>
  <protectedRanges>
    <protectedRange sqref="G51:AK2141 G6:AK49" name="범위1"/>
    <protectedRange sqref="G31:AK45" name="범위2"/>
  </protectedRanges>
  <mergeCells count="61">
    <mergeCell ref="B26:F26"/>
    <mergeCell ref="B29:B30"/>
    <mergeCell ref="AN45:AO45"/>
    <mergeCell ref="B46:F46"/>
    <mergeCell ref="AN46:AO46"/>
    <mergeCell ref="AN43:AO43"/>
    <mergeCell ref="AN44:AO44"/>
    <mergeCell ref="AN42:AO42"/>
    <mergeCell ref="AN41:AO41"/>
    <mergeCell ref="AN37:AO37"/>
    <mergeCell ref="AN38:AO38"/>
    <mergeCell ref="AN39:AO39"/>
    <mergeCell ref="AN32:AO32"/>
    <mergeCell ref="AN33:AO33"/>
    <mergeCell ref="AN34:AO34"/>
    <mergeCell ref="AN35:AO35"/>
    <mergeCell ref="B4:B5"/>
    <mergeCell ref="C4:C5"/>
    <mergeCell ref="E4:E5"/>
    <mergeCell ref="F4:F5"/>
    <mergeCell ref="D4:D5"/>
    <mergeCell ref="AR4:AR5"/>
    <mergeCell ref="AP4:AP5"/>
    <mergeCell ref="AP29:AP30"/>
    <mergeCell ref="AM4:AM5"/>
    <mergeCell ref="AM29:AM30"/>
    <mergeCell ref="AQ29:AQ30"/>
    <mergeCell ref="AQ4:AQ5"/>
    <mergeCell ref="AR29:AR30"/>
    <mergeCell ref="AN36:AO36"/>
    <mergeCell ref="F62:F63"/>
    <mergeCell ref="D62:D63"/>
    <mergeCell ref="G1:K1"/>
    <mergeCell ref="AW4:AW5"/>
    <mergeCell ref="AS4:AS5"/>
    <mergeCell ref="AU29:AU30"/>
    <mergeCell ref="AV29:AV30"/>
    <mergeCell ref="AW29:AW30"/>
    <mergeCell ref="AU4:AU5"/>
    <mergeCell ref="AV4:AV5"/>
    <mergeCell ref="AS29:AS30"/>
    <mergeCell ref="AL4:AL5"/>
    <mergeCell ref="AN4:AN5"/>
    <mergeCell ref="AO4:AO5"/>
    <mergeCell ref="AN29:AO30"/>
    <mergeCell ref="AN31:AO31"/>
    <mergeCell ref="AL29:AL30"/>
    <mergeCell ref="B104:F104"/>
    <mergeCell ref="AN40:AO40"/>
    <mergeCell ref="B87:B88"/>
    <mergeCell ref="C87:C88"/>
    <mergeCell ref="E87:E88"/>
    <mergeCell ref="F87:F88"/>
    <mergeCell ref="C29:C30"/>
    <mergeCell ref="E29:E30"/>
    <mergeCell ref="F29:F30"/>
    <mergeCell ref="D29:D30"/>
    <mergeCell ref="B84:F84"/>
    <mergeCell ref="B62:B63"/>
    <mergeCell ref="C62:C63"/>
    <mergeCell ref="E62:E63"/>
  </mergeCells>
  <phoneticPr fontId="46" type="noConversion"/>
  <dataValidations count="1">
    <dataValidation type="list" allowBlank="1" showInputMessage="1" showErrorMessage="1" sqref="G6:AK25" xr:uid="{3079FD82-0D4D-4824-8E97-F02BD1EA3CFA}">
      <formula1>"-,근무,휴무,월차,반차,무단결근,무단조퇴,권장휴무,권장조퇴,예비군,민방위,지원,파견,"</formula1>
    </dataValidation>
  </dataValidations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D298-9025-4B76-AAD6-94C21B44A8DA}">
  <sheetPr codeName="Sheet11">
    <tabColor theme="7" tint="0.79998168889431442"/>
  </sheetPr>
  <dimension ref="A1:EA142"/>
  <sheetViews>
    <sheetView zoomScale="70" zoomScaleNormal="70" zoomScaleSheetLayoutView="75" workbookViewId="0">
      <pane xSplit="7" ySplit="6" topLeftCell="H7" activePane="bottomRight" state="frozen"/>
      <selection activeCell="R13" sqref="R13"/>
      <selection pane="topRight" activeCell="R13" sqref="R13"/>
      <selection pane="bottomLeft" activeCell="R13" sqref="R13"/>
      <selection pane="bottomRight" activeCell="Y17" sqref="Y17"/>
    </sheetView>
  </sheetViews>
  <sheetFormatPr defaultColWidth="9.28515625" defaultRowHeight="13.5" x14ac:dyDescent="0.25"/>
  <cols>
    <col min="1" max="2" width="9.28515625" style="312"/>
    <col min="3" max="3" width="14.7109375" style="312" customWidth="1"/>
    <col min="4" max="4" width="1.7109375" style="312" customWidth="1"/>
    <col min="5" max="5" width="13.42578125" style="312" customWidth="1"/>
    <col min="6" max="7" width="10" style="312" customWidth="1"/>
    <col min="8" max="9" width="8.7109375" style="312" customWidth="1"/>
    <col min="10" max="10" width="9.7109375" style="312" customWidth="1"/>
    <col min="11" max="12" width="8.7109375" style="312" customWidth="1"/>
    <col min="13" max="13" width="9.7109375" style="312" customWidth="1"/>
    <col min="14" max="15" width="8.7109375" style="312" customWidth="1"/>
    <col min="16" max="16" width="9.7109375" style="312" customWidth="1"/>
    <col min="17" max="18" width="8.7109375" style="312" customWidth="1"/>
    <col min="19" max="19" width="9.7109375" style="312" customWidth="1"/>
    <col min="20" max="21" width="8.7109375" style="312" customWidth="1"/>
    <col min="22" max="22" width="9.7109375" style="312" customWidth="1"/>
    <col min="23" max="24" width="8.7109375" style="312" customWidth="1"/>
    <col min="25" max="25" width="9.7109375" style="312" customWidth="1"/>
    <col min="26" max="27" width="8.7109375" style="312" customWidth="1"/>
    <col min="28" max="28" width="9.7109375" style="312" customWidth="1"/>
    <col min="29" max="30" width="8.7109375" style="312" customWidth="1"/>
    <col min="31" max="31" width="9.7109375" style="312" customWidth="1"/>
    <col min="32" max="33" width="8.7109375" style="312" customWidth="1"/>
    <col min="34" max="34" width="9.7109375" style="312" customWidth="1"/>
    <col min="35" max="36" width="8.7109375" style="312" customWidth="1"/>
    <col min="37" max="37" width="9.7109375" style="312" customWidth="1"/>
    <col min="38" max="39" width="8.7109375" style="312" customWidth="1"/>
    <col min="40" max="40" width="9.7109375" style="312" customWidth="1"/>
    <col min="41" max="42" width="8.7109375" style="312" customWidth="1"/>
    <col min="43" max="43" width="9.7109375" style="312" customWidth="1"/>
    <col min="44" max="45" width="8.7109375" style="312" customWidth="1"/>
    <col min="46" max="46" width="9.7109375" style="312" customWidth="1"/>
    <col min="47" max="48" width="8.7109375" style="312" customWidth="1"/>
    <col min="49" max="49" width="9.7109375" style="312" customWidth="1"/>
    <col min="50" max="51" width="8.7109375" style="312" customWidth="1"/>
    <col min="52" max="52" width="9.7109375" style="312" customWidth="1"/>
    <col min="53" max="54" width="8.7109375" style="312" customWidth="1"/>
    <col min="55" max="55" width="9.7109375" style="312" customWidth="1"/>
    <col min="56" max="57" width="8.7109375" style="312" customWidth="1"/>
    <col min="58" max="58" width="9.7109375" style="312" customWidth="1"/>
    <col min="59" max="60" width="8.7109375" style="312" customWidth="1"/>
    <col min="61" max="61" width="9.7109375" style="312" customWidth="1"/>
    <col min="62" max="63" width="8.7109375" style="312" customWidth="1"/>
    <col min="64" max="64" width="9.7109375" style="312" customWidth="1"/>
    <col min="65" max="66" width="8.7109375" style="312" customWidth="1"/>
    <col min="67" max="67" width="9.7109375" style="312" customWidth="1"/>
    <col min="68" max="69" width="8.7109375" style="312" customWidth="1"/>
    <col min="70" max="70" width="9.7109375" style="312" customWidth="1"/>
    <col min="71" max="72" width="8.7109375" style="312" customWidth="1"/>
    <col min="73" max="73" width="9.7109375" style="312" customWidth="1"/>
    <col min="74" max="75" width="8.7109375" style="312" customWidth="1"/>
    <col min="76" max="76" width="9.7109375" style="312" customWidth="1"/>
    <col min="77" max="78" width="8.7109375" style="312" customWidth="1"/>
    <col min="79" max="79" width="9.7109375" style="312" customWidth="1"/>
    <col min="80" max="81" width="8.7109375" style="312" customWidth="1"/>
    <col min="82" max="82" width="9.7109375" style="312" customWidth="1"/>
    <col min="83" max="84" width="8.7109375" style="312" customWidth="1"/>
    <col min="85" max="85" width="9.7109375" style="312" customWidth="1"/>
    <col min="86" max="87" width="8.7109375" style="312" customWidth="1"/>
    <col min="88" max="88" width="9.7109375" style="312" customWidth="1"/>
    <col min="89" max="90" width="8.7109375" style="312" customWidth="1"/>
    <col min="91" max="91" width="9.7109375" style="312" customWidth="1"/>
    <col min="92" max="93" width="8.7109375" style="312" customWidth="1"/>
    <col min="94" max="94" width="9.7109375" style="312" customWidth="1"/>
    <col min="95" max="96" width="8.7109375" style="312" customWidth="1"/>
    <col min="97" max="97" width="9.7109375" style="312" customWidth="1"/>
    <col min="98" max="99" width="8.7109375" style="312" customWidth="1"/>
    <col min="100" max="100" width="9.7109375" style="312" customWidth="1"/>
    <col min="101" max="16384" width="9.28515625" style="312"/>
  </cols>
  <sheetData>
    <row r="1" spans="1:131" ht="26.25" x14ac:dyDescent="0.25">
      <c r="A1" s="311" t="s">
        <v>220</v>
      </c>
      <c r="E1" s="932" t="str">
        <f>'0.기초및고정비'!C4&amp;'0.기초및고정비'!D4</f>
        <v>2026년4월</v>
      </c>
      <c r="F1" s="932"/>
    </row>
    <row r="3" spans="1:131" ht="26.25" x14ac:dyDescent="0.25">
      <c r="A3" s="313" t="s">
        <v>221</v>
      </c>
      <c r="G3" s="314"/>
      <c r="I3" s="315"/>
    </row>
    <row r="4" spans="1:131" ht="18" thickBot="1" x14ac:dyDescent="0.3">
      <c r="A4" s="316"/>
      <c r="B4" s="317" t="s">
        <v>222</v>
      </c>
      <c r="E4" s="318" t="s">
        <v>223</v>
      </c>
    </row>
    <row r="5" spans="1:131" ht="22.15" customHeight="1" x14ac:dyDescent="0.25">
      <c r="A5" s="319" t="s">
        <v>224</v>
      </c>
      <c r="E5" s="933" t="s">
        <v>15</v>
      </c>
      <c r="F5" s="935" t="s">
        <v>105</v>
      </c>
      <c r="G5" s="935" t="s">
        <v>225</v>
      </c>
      <c r="H5" s="929">
        <v>1</v>
      </c>
      <c r="I5" s="930"/>
      <c r="J5" s="931"/>
      <c r="K5" s="929">
        <v>2</v>
      </c>
      <c r="L5" s="930"/>
      <c r="M5" s="931"/>
      <c r="N5" s="929">
        <v>3</v>
      </c>
      <c r="O5" s="930"/>
      <c r="P5" s="931"/>
      <c r="Q5" s="929">
        <v>4</v>
      </c>
      <c r="R5" s="930"/>
      <c r="S5" s="931"/>
      <c r="T5" s="929">
        <v>5</v>
      </c>
      <c r="U5" s="930"/>
      <c r="V5" s="931"/>
      <c r="W5" s="929">
        <v>6</v>
      </c>
      <c r="X5" s="930"/>
      <c r="Y5" s="931"/>
      <c r="Z5" s="929">
        <v>7</v>
      </c>
      <c r="AA5" s="930"/>
      <c r="AB5" s="931"/>
      <c r="AC5" s="929">
        <v>8</v>
      </c>
      <c r="AD5" s="930"/>
      <c r="AE5" s="931"/>
      <c r="AF5" s="929">
        <v>9</v>
      </c>
      <c r="AG5" s="930"/>
      <c r="AH5" s="931"/>
      <c r="AI5" s="929">
        <v>10</v>
      </c>
      <c r="AJ5" s="930"/>
      <c r="AK5" s="931"/>
      <c r="AL5" s="929">
        <v>11</v>
      </c>
      <c r="AM5" s="930"/>
      <c r="AN5" s="931"/>
      <c r="AO5" s="929">
        <v>12</v>
      </c>
      <c r="AP5" s="930"/>
      <c r="AQ5" s="931"/>
      <c r="AR5" s="929">
        <v>13</v>
      </c>
      <c r="AS5" s="930"/>
      <c r="AT5" s="931"/>
      <c r="AU5" s="929">
        <v>14</v>
      </c>
      <c r="AV5" s="930"/>
      <c r="AW5" s="931"/>
      <c r="AX5" s="929">
        <v>15</v>
      </c>
      <c r="AY5" s="930"/>
      <c r="AZ5" s="931"/>
      <c r="BA5" s="929">
        <v>16</v>
      </c>
      <c r="BB5" s="930"/>
      <c r="BC5" s="931"/>
      <c r="BD5" s="929">
        <v>17</v>
      </c>
      <c r="BE5" s="930"/>
      <c r="BF5" s="931"/>
      <c r="BG5" s="929">
        <v>18</v>
      </c>
      <c r="BH5" s="930"/>
      <c r="BI5" s="931"/>
      <c r="BJ5" s="929">
        <v>19</v>
      </c>
      <c r="BK5" s="930"/>
      <c r="BL5" s="931"/>
      <c r="BM5" s="929">
        <v>20</v>
      </c>
      <c r="BN5" s="930"/>
      <c r="BO5" s="931"/>
      <c r="BP5" s="929">
        <v>21</v>
      </c>
      <c r="BQ5" s="930"/>
      <c r="BR5" s="931"/>
      <c r="BS5" s="929">
        <v>22</v>
      </c>
      <c r="BT5" s="930"/>
      <c r="BU5" s="931"/>
      <c r="BV5" s="929">
        <v>23</v>
      </c>
      <c r="BW5" s="930"/>
      <c r="BX5" s="931"/>
      <c r="BY5" s="929">
        <v>24</v>
      </c>
      <c r="BZ5" s="930"/>
      <c r="CA5" s="931"/>
      <c r="CB5" s="929">
        <v>25</v>
      </c>
      <c r="CC5" s="930"/>
      <c r="CD5" s="931"/>
      <c r="CE5" s="929">
        <v>26</v>
      </c>
      <c r="CF5" s="930"/>
      <c r="CG5" s="931"/>
      <c r="CH5" s="929">
        <v>27</v>
      </c>
      <c r="CI5" s="930"/>
      <c r="CJ5" s="931"/>
      <c r="CK5" s="929">
        <v>28</v>
      </c>
      <c r="CL5" s="930"/>
      <c r="CM5" s="931"/>
      <c r="CN5" s="929">
        <v>29</v>
      </c>
      <c r="CO5" s="930"/>
      <c r="CP5" s="931"/>
      <c r="CQ5" s="929">
        <v>30</v>
      </c>
      <c r="CR5" s="930"/>
      <c r="CS5" s="931"/>
      <c r="CT5" s="929">
        <v>31</v>
      </c>
      <c r="CU5" s="930"/>
      <c r="CV5" s="930"/>
    </row>
    <row r="6" spans="1:131" ht="22.15" customHeight="1" x14ac:dyDescent="0.25">
      <c r="A6" s="320"/>
      <c r="E6" s="934"/>
      <c r="F6" s="936"/>
      <c r="G6" s="936"/>
      <c r="H6" s="321" t="s">
        <v>226</v>
      </c>
      <c r="I6" s="322" t="s">
        <v>227</v>
      </c>
      <c r="J6" s="323" t="s">
        <v>228</v>
      </c>
      <c r="K6" s="321" t="s">
        <v>226</v>
      </c>
      <c r="L6" s="322" t="s">
        <v>227</v>
      </c>
      <c r="M6" s="323" t="s">
        <v>228</v>
      </c>
      <c r="N6" s="321" t="s">
        <v>226</v>
      </c>
      <c r="O6" s="322" t="s">
        <v>227</v>
      </c>
      <c r="P6" s="323" t="s">
        <v>228</v>
      </c>
      <c r="Q6" s="321" t="s">
        <v>226</v>
      </c>
      <c r="R6" s="322" t="s">
        <v>227</v>
      </c>
      <c r="S6" s="323" t="s">
        <v>228</v>
      </c>
      <c r="T6" s="321" t="s">
        <v>226</v>
      </c>
      <c r="U6" s="322" t="s">
        <v>227</v>
      </c>
      <c r="V6" s="323" t="s">
        <v>228</v>
      </c>
      <c r="W6" s="321" t="s">
        <v>226</v>
      </c>
      <c r="X6" s="322" t="s">
        <v>227</v>
      </c>
      <c r="Y6" s="323" t="s">
        <v>228</v>
      </c>
      <c r="Z6" s="321" t="s">
        <v>226</v>
      </c>
      <c r="AA6" s="322" t="s">
        <v>227</v>
      </c>
      <c r="AB6" s="323" t="s">
        <v>228</v>
      </c>
      <c r="AC6" s="321" t="s">
        <v>226</v>
      </c>
      <c r="AD6" s="322" t="s">
        <v>227</v>
      </c>
      <c r="AE6" s="323" t="s">
        <v>228</v>
      </c>
      <c r="AF6" s="321" t="s">
        <v>226</v>
      </c>
      <c r="AG6" s="322" t="s">
        <v>227</v>
      </c>
      <c r="AH6" s="323" t="s">
        <v>228</v>
      </c>
      <c r="AI6" s="321" t="s">
        <v>226</v>
      </c>
      <c r="AJ6" s="322" t="s">
        <v>227</v>
      </c>
      <c r="AK6" s="323" t="s">
        <v>228</v>
      </c>
      <c r="AL6" s="321" t="s">
        <v>226</v>
      </c>
      <c r="AM6" s="322" t="s">
        <v>227</v>
      </c>
      <c r="AN6" s="323" t="s">
        <v>228</v>
      </c>
      <c r="AO6" s="321" t="s">
        <v>226</v>
      </c>
      <c r="AP6" s="322" t="s">
        <v>227</v>
      </c>
      <c r="AQ6" s="323" t="s">
        <v>228</v>
      </c>
      <c r="AR6" s="321" t="s">
        <v>226</v>
      </c>
      <c r="AS6" s="322" t="s">
        <v>227</v>
      </c>
      <c r="AT6" s="323" t="s">
        <v>228</v>
      </c>
      <c r="AU6" s="321" t="s">
        <v>226</v>
      </c>
      <c r="AV6" s="322" t="s">
        <v>227</v>
      </c>
      <c r="AW6" s="323" t="s">
        <v>228</v>
      </c>
      <c r="AX6" s="321" t="s">
        <v>226</v>
      </c>
      <c r="AY6" s="322" t="s">
        <v>227</v>
      </c>
      <c r="AZ6" s="323" t="s">
        <v>228</v>
      </c>
      <c r="BA6" s="321" t="s">
        <v>226</v>
      </c>
      <c r="BB6" s="322" t="s">
        <v>227</v>
      </c>
      <c r="BC6" s="323" t="s">
        <v>228</v>
      </c>
      <c r="BD6" s="321" t="s">
        <v>226</v>
      </c>
      <c r="BE6" s="322" t="s">
        <v>227</v>
      </c>
      <c r="BF6" s="323" t="s">
        <v>228</v>
      </c>
      <c r="BG6" s="321" t="s">
        <v>226</v>
      </c>
      <c r="BH6" s="322" t="s">
        <v>227</v>
      </c>
      <c r="BI6" s="323" t="s">
        <v>228</v>
      </c>
      <c r="BJ6" s="321" t="s">
        <v>226</v>
      </c>
      <c r="BK6" s="322" t="s">
        <v>227</v>
      </c>
      <c r="BL6" s="323" t="s">
        <v>228</v>
      </c>
      <c r="BM6" s="321" t="s">
        <v>226</v>
      </c>
      <c r="BN6" s="322" t="s">
        <v>227</v>
      </c>
      <c r="BO6" s="323" t="s">
        <v>228</v>
      </c>
      <c r="BP6" s="321" t="s">
        <v>226</v>
      </c>
      <c r="BQ6" s="322" t="s">
        <v>227</v>
      </c>
      <c r="BR6" s="323" t="s">
        <v>228</v>
      </c>
      <c r="BS6" s="321" t="s">
        <v>226</v>
      </c>
      <c r="BT6" s="322" t="s">
        <v>227</v>
      </c>
      <c r="BU6" s="323" t="s">
        <v>228</v>
      </c>
      <c r="BV6" s="321" t="s">
        <v>226</v>
      </c>
      <c r="BW6" s="322" t="s">
        <v>227</v>
      </c>
      <c r="BX6" s="323" t="s">
        <v>228</v>
      </c>
      <c r="BY6" s="321" t="s">
        <v>226</v>
      </c>
      <c r="BZ6" s="322" t="s">
        <v>227</v>
      </c>
      <c r="CA6" s="323" t="s">
        <v>228</v>
      </c>
      <c r="CB6" s="321" t="s">
        <v>226</v>
      </c>
      <c r="CC6" s="322" t="s">
        <v>227</v>
      </c>
      <c r="CD6" s="323" t="s">
        <v>228</v>
      </c>
      <c r="CE6" s="321" t="s">
        <v>226</v>
      </c>
      <c r="CF6" s="322" t="s">
        <v>227</v>
      </c>
      <c r="CG6" s="323" t="s">
        <v>228</v>
      </c>
      <c r="CH6" s="321" t="s">
        <v>226</v>
      </c>
      <c r="CI6" s="322" t="s">
        <v>227</v>
      </c>
      <c r="CJ6" s="323" t="s">
        <v>228</v>
      </c>
      <c r="CK6" s="321" t="s">
        <v>226</v>
      </c>
      <c r="CL6" s="322" t="s">
        <v>227</v>
      </c>
      <c r="CM6" s="323" t="s">
        <v>228</v>
      </c>
      <c r="CN6" s="321" t="s">
        <v>226</v>
      </c>
      <c r="CO6" s="322" t="s">
        <v>227</v>
      </c>
      <c r="CP6" s="323" t="s">
        <v>228</v>
      </c>
      <c r="CQ6" s="321" t="s">
        <v>226</v>
      </c>
      <c r="CR6" s="322" t="s">
        <v>227</v>
      </c>
      <c r="CS6" s="323" t="s">
        <v>228</v>
      </c>
      <c r="CT6" s="321" t="s">
        <v>226</v>
      </c>
      <c r="CU6" s="322" t="s">
        <v>227</v>
      </c>
      <c r="CV6" s="324" t="s">
        <v>228</v>
      </c>
    </row>
    <row r="7" spans="1:131" ht="22.15" customHeight="1" x14ac:dyDescent="0.25">
      <c r="A7" s="939" t="s">
        <v>229</v>
      </c>
      <c r="B7" s="940"/>
      <c r="C7" s="325" t="s">
        <v>230</v>
      </c>
      <c r="E7" s="326" t="str">
        <f>'2-2.근무표'!B6</f>
        <v>박성배</v>
      </c>
      <c r="F7" s="326" t="str">
        <f>'2-2.근무표'!C6</f>
        <v>선택</v>
      </c>
      <c r="G7" s="326" t="str">
        <f>'2-2.근무표'!D6</f>
        <v>주방</v>
      </c>
      <c r="H7" s="332"/>
      <c r="I7" s="333"/>
      <c r="J7" s="330" t="str">
        <f t="shared" ref="J7:J26" si="0">IFERROR(IF(((I7-H7+(I7&lt;H7))*24)=0,"0",(I7-H7+(I7&lt;H7))*24),"")</f>
        <v>0</v>
      </c>
      <c r="K7" s="332"/>
      <c r="L7" s="333"/>
      <c r="M7" s="330" t="str">
        <f t="shared" ref="M7:M26" si="1">IFERROR(IF(((L7-K7+(L7&lt;K7))*24)=0,"0",(L7-K7+(L7&lt;K7))*24),"")</f>
        <v>0</v>
      </c>
      <c r="N7" s="332"/>
      <c r="O7" s="333"/>
      <c r="P7" s="330" t="str">
        <f t="shared" ref="P7:P26" si="2">IFERROR(IF(((O7-N7+(O7&lt;N7))*24)=0,"0",(O7-N7+(O7&lt;N7))*24),"")</f>
        <v>0</v>
      </c>
      <c r="Q7" s="332"/>
      <c r="R7" s="333"/>
      <c r="S7" s="330" t="str">
        <f t="shared" ref="S7:S26" si="3">IFERROR(IF(((R7-Q7+(R7&lt;Q7))*24)=0,"0",(R7-Q7+(R7&lt;Q7))*24),"")</f>
        <v>0</v>
      </c>
      <c r="T7" s="332"/>
      <c r="U7" s="333"/>
      <c r="V7" s="330" t="str">
        <f t="shared" ref="V7:V26" si="4">IFERROR(IF(((U7-T7+(U7&lt;T7))*24)=0,"0",(U7-T7+(U7&lt;T7))*24),"")</f>
        <v>0</v>
      </c>
      <c r="W7" s="332"/>
      <c r="X7" s="333"/>
      <c r="Y7" s="330" t="str">
        <f t="shared" ref="Y7:Y26" si="5">IFERROR(IF(((X7-W7+(X7&lt;W7))*24)=0,"0",(X7-W7+(X7&lt;W7))*24),"")</f>
        <v>0</v>
      </c>
      <c r="Z7" s="332"/>
      <c r="AA7" s="333"/>
      <c r="AB7" s="330" t="str">
        <f t="shared" ref="AB7:AB26" si="6">IFERROR(IF(((AA7-Z7+(AA7&lt;Z7))*24)=0,"0",(AA7-Z7+(AA7&lt;Z7))*24),"")</f>
        <v>0</v>
      </c>
      <c r="AC7" s="332"/>
      <c r="AD7" s="333"/>
      <c r="AE7" s="330" t="str">
        <f t="shared" ref="AE7:AE26" si="7">IFERROR(IF(((AD7-AC7+(AD7&lt;AC7))*24)=0,"0",(AD7-AC7+(AD7&lt;AC7))*24),"")</f>
        <v>0</v>
      </c>
      <c r="AF7" s="332"/>
      <c r="AG7" s="333"/>
      <c r="AH7" s="330" t="str">
        <f t="shared" ref="AH7:AH26" si="8">IFERROR(IF(((AG7-AF7+(AG7&lt;AF7))*24)=0,"0",(AG7-AF7+(AG7&lt;AF7))*24),"")</f>
        <v>0</v>
      </c>
      <c r="AI7" s="332"/>
      <c r="AJ7" s="333"/>
      <c r="AK7" s="330" t="str">
        <f t="shared" ref="AK7:AK26" si="9">IFERROR(IF(((AJ7-AI7+(AJ7&lt;AI7))*24)=0,"0",(AJ7-AI7+(AJ7&lt;AI7))*24),"")</f>
        <v>0</v>
      </c>
      <c r="AL7" s="332"/>
      <c r="AM7" s="333"/>
      <c r="AN7" s="330" t="str">
        <f t="shared" ref="AN7:AN26" si="10">IFERROR(IF(((AM7-AL7+(AM7&lt;AL7))*24)=0,"0",(AM7-AL7+(AM7&lt;AL7))*24),"")</f>
        <v>0</v>
      </c>
      <c r="AO7" s="332"/>
      <c r="AP7" s="333"/>
      <c r="AQ7" s="330" t="str">
        <f t="shared" ref="AQ7:AQ26" si="11">IFERROR(IF(((AP7-AO7+(AP7&lt;AO7))*24)=0,"0",(AP7-AO7+(AP7&lt;AO7))*24),"")</f>
        <v>0</v>
      </c>
      <c r="AR7" s="332"/>
      <c r="AS7" s="333"/>
      <c r="AT7" s="330" t="str">
        <f t="shared" ref="AT7:AT26" si="12">IFERROR(IF(((AS7-AR7+(AS7&lt;AR7))*24)=0,"0",(AS7-AR7+(AS7&lt;AR7))*24),"")</f>
        <v>0</v>
      </c>
      <c r="AU7" s="332"/>
      <c r="AV7" s="333"/>
      <c r="AW7" s="330" t="str">
        <f t="shared" ref="AW7:AW26" si="13">IFERROR(IF(((AV7-AU7+(AV7&lt;AU7))*24)=0,"0",(AV7-AU7+(AV7&lt;AU7))*24),"")</f>
        <v>0</v>
      </c>
      <c r="AX7" s="332"/>
      <c r="AY7" s="333"/>
      <c r="AZ7" s="330" t="str">
        <f t="shared" ref="AZ7:AZ26" si="14">IFERROR(IF(((AY7-AX7+(AY7&lt;AX7))*24)=0,"0",(AY7-AX7+(AY7&lt;AX7))*24),"")</f>
        <v>0</v>
      </c>
      <c r="BA7" s="332"/>
      <c r="BB7" s="333"/>
      <c r="BC7" s="330" t="str">
        <f t="shared" ref="BC7:BC26" si="15">IFERROR(IF(((BB7-BA7+(BB7&lt;BA7))*24)=0,"0",(BB7-BA7+(BB7&lt;BA7))*24),"")</f>
        <v>0</v>
      </c>
      <c r="BD7" s="332"/>
      <c r="BE7" s="333"/>
      <c r="BF7" s="330" t="str">
        <f t="shared" ref="BF7:BF26" si="16">IFERROR(IF(((BE7-BD7+(BE7&lt;BD7))*24)=0,"0",(BE7-BD7+(BE7&lt;BD7))*24),"")</f>
        <v>0</v>
      </c>
      <c r="BG7" s="332"/>
      <c r="BH7" s="333"/>
      <c r="BI7" s="330" t="str">
        <f t="shared" ref="BI7:BI26" si="17">IFERROR(IF(((BH7-BG7+(BH7&lt;BG7))*24)=0,"0",(BH7-BG7+(BH7&lt;BG7))*24),"")</f>
        <v>0</v>
      </c>
      <c r="BJ7" s="332"/>
      <c r="BK7" s="333"/>
      <c r="BL7" s="330" t="str">
        <f t="shared" ref="BL7:BL26" si="18">IFERROR(IF(((BK7-BJ7+(BK7&lt;BJ7))*24)=0,"0",(BK7-BJ7+(BK7&lt;BJ7))*24),"")</f>
        <v>0</v>
      </c>
      <c r="BM7" s="332"/>
      <c r="BN7" s="333"/>
      <c r="BO7" s="330" t="str">
        <f t="shared" ref="BO7:BO26" si="19">IFERROR(IF(((BN7-BM7+(BN7&lt;BM7))*24)=0,"0",(BN7-BM7+(BN7&lt;BM7))*24),"")</f>
        <v>0</v>
      </c>
      <c r="BP7" s="332"/>
      <c r="BQ7" s="333"/>
      <c r="BR7" s="330" t="str">
        <f t="shared" ref="BR7:BR26" si="20">IFERROR(IF(((BQ7-BP7+(BQ7&lt;BP7))*24)=0,"0",(BQ7-BP7+(BQ7&lt;BP7))*24),"")</f>
        <v>0</v>
      </c>
      <c r="BS7" s="332"/>
      <c r="BT7" s="333"/>
      <c r="BU7" s="330" t="str">
        <f t="shared" ref="BU7:BU26" si="21">IFERROR(IF(((BT7-BS7+(BT7&lt;BS7))*24)=0,"0",(BT7-BS7+(BT7&lt;BS7))*24),"")</f>
        <v>0</v>
      </c>
      <c r="BV7" s="332"/>
      <c r="BW7" s="333"/>
      <c r="BX7" s="330" t="str">
        <f t="shared" ref="BX7:BX26" si="22">IFERROR(IF(((BW7-BV7+(BW7&lt;BV7))*24)=0,"0",(BW7-BV7+(BW7&lt;BV7))*24),"")</f>
        <v>0</v>
      </c>
      <c r="BY7" s="332"/>
      <c r="BZ7" s="333"/>
      <c r="CA7" s="330" t="str">
        <f t="shared" ref="CA7:CA26" si="23">IFERROR(IF(((BZ7-BY7+(BZ7&lt;BY7))*24)=0,"0",(BZ7-BY7+(BZ7&lt;BY7))*24),"")</f>
        <v>0</v>
      </c>
      <c r="CB7" s="332"/>
      <c r="CC7" s="333"/>
      <c r="CD7" s="330" t="str">
        <f t="shared" ref="CD7:CD26" si="24">IFERROR(IF(((CC7-CB7+(CC7&lt;CB7))*24)=0,"0",(CC7-CB7+(CC7&lt;CB7))*24),"")</f>
        <v>0</v>
      </c>
      <c r="CE7" s="332"/>
      <c r="CF7" s="333"/>
      <c r="CG7" s="330" t="str">
        <f t="shared" ref="CG7:CG26" si="25">IFERROR(IF(((CF7-CE7+(CF7&lt;CE7))*24)=0,"0",(CF7-CE7+(CF7&lt;CE7))*24),"")</f>
        <v>0</v>
      </c>
      <c r="CH7" s="332"/>
      <c r="CI7" s="333"/>
      <c r="CJ7" s="330" t="str">
        <f t="shared" ref="CJ7:CJ26" si="26">IFERROR(IF(((CI7-CH7+(CI7&lt;CH7))*24)=0,"0",(CI7-CH7+(CI7&lt;CH7))*24),"")</f>
        <v>0</v>
      </c>
      <c r="CK7" s="332"/>
      <c r="CL7" s="333"/>
      <c r="CM7" s="330" t="str">
        <f t="shared" ref="CM7:CM26" si="27">IFERROR(IF(((CL7-CK7+(CL7&lt;CK7))*24)=0,"0",(CL7-CK7+(CL7&lt;CK7))*24),"")</f>
        <v>0</v>
      </c>
      <c r="CN7" s="332"/>
      <c r="CO7" s="333"/>
      <c r="CP7" s="330" t="str">
        <f t="shared" ref="CP7:CP26" si="28">IFERROR(IF(((CO7-CN7+(CO7&lt;CN7))*24)=0,"0",(CO7-CN7+(CO7&lt;CN7))*24),"")</f>
        <v>0</v>
      </c>
      <c r="CQ7" s="332"/>
      <c r="CR7" s="333"/>
      <c r="CS7" s="330" t="str">
        <f t="shared" ref="CS7:CS26" si="29">IFERROR(IF(((CR7-CQ7+(CR7&lt;CQ7))*24)=0,"0",(CR7-CQ7+(CR7&lt;CQ7))*24),"")</f>
        <v>0</v>
      </c>
      <c r="CT7" s="332"/>
      <c r="CU7" s="333"/>
      <c r="CV7" s="330" t="str">
        <f t="shared" ref="CV7:CV26" si="30">IFERROR(IF(((CU7-CT7+(CU7&lt;CT7))*24)=0,"0",(CU7-CT7+(CU7&lt;CT7))*24),"")</f>
        <v>0</v>
      </c>
    </row>
    <row r="8" spans="1:131" ht="22.15" customHeight="1" x14ac:dyDescent="0.25">
      <c r="A8" s="941" t="s">
        <v>231</v>
      </c>
      <c r="B8" s="942"/>
      <c r="C8" s="331" t="s">
        <v>232</v>
      </c>
      <c r="E8" s="326" t="str">
        <f>'2-2.근무표'!B7</f>
        <v>박참이</v>
      </c>
      <c r="F8" s="326" t="str">
        <f>'2-2.근무표'!C7</f>
        <v>선택</v>
      </c>
      <c r="G8" s="326" t="str">
        <f>'2-2.근무표'!D7</f>
        <v>주방</v>
      </c>
      <c r="H8" s="332"/>
      <c r="I8" s="333"/>
      <c r="J8" s="330" t="str">
        <f t="shared" si="0"/>
        <v>0</v>
      </c>
      <c r="K8" s="332"/>
      <c r="L8" s="333"/>
      <c r="M8" s="330" t="str">
        <f t="shared" si="1"/>
        <v>0</v>
      </c>
      <c r="N8" s="332"/>
      <c r="O8" s="333"/>
      <c r="P8" s="330" t="str">
        <f t="shared" si="2"/>
        <v>0</v>
      </c>
      <c r="Q8" s="332"/>
      <c r="R8" s="333"/>
      <c r="S8" s="330" t="str">
        <f t="shared" si="3"/>
        <v>0</v>
      </c>
      <c r="T8" s="332"/>
      <c r="U8" s="333"/>
      <c r="V8" s="330" t="str">
        <f t="shared" si="4"/>
        <v>0</v>
      </c>
      <c r="W8" s="332"/>
      <c r="X8" s="333"/>
      <c r="Y8" s="330" t="str">
        <f t="shared" si="5"/>
        <v>0</v>
      </c>
      <c r="Z8" s="332"/>
      <c r="AA8" s="333"/>
      <c r="AB8" s="330" t="str">
        <f t="shared" si="6"/>
        <v>0</v>
      </c>
      <c r="AC8" s="332"/>
      <c r="AD8" s="333"/>
      <c r="AE8" s="330" t="str">
        <f t="shared" si="7"/>
        <v>0</v>
      </c>
      <c r="AF8" s="332"/>
      <c r="AG8" s="333"/>
      <c r="AH8" s="330" t="str">
        <f t="shared" si="8"/>
        <v>0</v>
      </c>
      <c r="AI8" s="332"/>
      <c r="AJ8" s="333"/>
      <c r="AK8" s="330" t="str">
        <f t="shared" si="9"/>
        <v>0</v>
      </c>
      <c r="AL8" s="332"/>
      <c r="AM8" s="333"/>
      <c r="AN8" s="330" t="str">
        <f t="shared" si="10"/>
        <v>0</v>
      </c>
      <c r="AO8" s="332"/>
      <c r="AP8" s="333"/>
      <c r="AQ8" s="330" t="str">
        <f t="shared" si="11"/>
        <v>0</v>
      </c>
      <c r="AR8" s="332"/>
      <c r="AS8" s="333"/>
      <c r="AT8" s="330" t="str">
        <f t="shared" si="12"/>
        <v>0</v>
      </c>
      <c r="AU8" s="332"/>
      <c r="AV8" s="333"/>
      <c r="AW8" s="330" t="str">
        <f t="shared" si="13"/>
        <v>0</v>
      </c>
      <c r="AX8" s="332"/>
      <c r="AY8" s="333"/>
      <c r="AZ8" s="330" t="str">
        <f t="shared" si="14"/>
        <v>0</v>
      </c>
      <c r="BA8" s="332"/>
      <c r="BB8" s="333"/>
      <c r="BC8" s="330" t="str">
        <f t="shared" si="15"/>
        <v>0</v>
      </c>
      <c r="BD8" s="332"/>
      <c r="BE8" s="333"/>
      <c r="BF8" s="330" t="str">
        <f t="shared" si="16"/>
        <v>0</v>
      </c>
      <c r="BG8" s="332"/>
      <c r="BH8" s="333"/>
      <c r="BI8" s="330" t="str">
        <f t="shared" si="17"/>
        <v>0</v>
      </c>
      <c r="BJ8" s="332"/>
      <c r="BK8" s="333"/>
      <c r="BL8" s="330" t="str">
        <f t="shared" si="18"/>
        <v>0</v>
      </c>
      <c r="BM8" s="332"/>
      <c r="BN8" s="333"/>
      <c r="BO8" s="330" t="str">
        <f t="shared" si="19"/>
        <v>0</v>
      </c>
      <c r="BP8" s="332"/>
      <c r="BQ8" s="333"/>
      <c r="BR8" s="330" t="str">
        <f t="shared" si="20"/>
        <v>0</v>
      </c>
      <c r="BS8" s="332"/>
      <c r="BT8" s="333"/>
      <c r="BU8" s="330" t="str">
        <f t="shared" si="21"/>
        <v>0</v>
      </c>
      <c r="BV8" s="332"/>
      <c r="BW8" s="333"/>
      <c r="BX8" s="330" t="str">
        <f t="shared" si="22"/>
        <v>0</v>
      </c>
      <c r="BY8" s="332"/>
      <c r="BZ8" s="333"/>
      <c r="CA8" s="330" t="str">
        <f t="shared" si="23"/>
        <v>0</v>
      </c>
      <c r="CB8" s="332"/>
      <c r="CC8" s="333"/>
      <c r="CD8" s="330" t="str">
        <f t="shared" si="24"/>
        <v>0</v>
      </c>
      <c r="CE8" s="332"/>
      <c r="CF8" s="333"/>
      <c r="CG8" s="330" t="str">
        <f t="shared" si="25"/>
        <v>0</v>
      </c>
      <c r="CH8" s="332"/>
      <c r="CI8" s="333"/>
      <c r="CJ8" s="330" t="str">
        <f t="shared" si="26"/>
        <v>0</v>
      </c>
      <c r="CK8" s="332"/>
      <c r="CL8" s="333"/>
      <c r="CM8" s="330" t="str">
        <f t="shared" si="27"/>
        <v>0</v>
      </c>
      <c r="CN8" s="332"/>
      <c r="CO8" s="333"/>
      <c r="CP8" s="330" t="str">
        <f t="shared" si="28"/>
        <v>0</v>
      </c>
      <c r="CQ8" s="332"/>
      <c r="CR8" s="333"/>
      <c r="CS8" s="330" t="str">
        <f t="shared" si="29"/>
        <v>0</v>
      </c>
      <c r="CT8" s="332"/>
      <c r="CU8" s="333"/>
      <c r="CV8" s="330" t="str">
        <f t="shared" si="30"/>
        <v>0</v>
      </c>
    </row>
    <row r="9" spans="1:131" ht="22.15" customHeight="1" x14ac:dyDescent="0.25">
      <c r="A9" s="941" t="s">
        <v>233</v>
      </c>
      <c r="B9" s="942"/>
      <c r="C9" s="331" t="s">
        <v>232</v>
      </c>
      <c r="E9" s="326" t="str">
        <f>'2-2.근무표'!B8</f>
        <v>이건호</v>
      </c>
      <c r="F9" s="326" t="str">
        <f>'2-2.근무표'!C8</f>
        <v>선택</v>
      </c>
      <c r="G9" s="326" t="str">
        <f>'2-2.근무표'!D8</f>
        <v>홀</v>
      </c>
      <c r="H9" s="332"/>
      <c r="I9" s="333"/>
      <c r="J9" s="330" t="str">
        <f t="shared" si="0"/>
        <v>0</v>
      </c>
      <c r="K9" s="332"/>
      <c r="L9" s="333"/>
      <c r="M9" s="330" t="str">
        <f t="shared" si="1"/>
        <v>0</v>
      </c>
      <c r="N9" s="332"/>
      <c r="O9" s="333"/>
      <c r="P9" s="330" t="str">
        <f t="shared" si="2"/>
        <v>0</v>
      </c>
      <c r="Q9" s="332"/>
      <c r="R9" s="333"/>
      <c r="S9" s="330" t="str">
        <f t="shared" si="3"/>
        <v>0</v>
      </c>
      <c r="T9" s="332"/>
      <c r="U9" s="333"/>
      <c r="V9" s="330" t="str">
        <f t="shared" si="4"/>
        <v>0</v>
      </c>
      <c r="W9" s="332"/>
      <c r="X9" s="333"/>
      <c r="Y9" s="330" t="str">
        <f t="shared" si="5"/>
        <v>0</v>
      </c>
      <c r="Z9" s="332"/>
      <c r="AA9" s="333"/>
      <c r="AB9" s="330" t="str">
        <f t="shared" si="6"/>
        <v>0</v>
      </c>
      <c r="AC9" s="332"/>
      <c r="AD9" s="333"/>
      <c r="AE9" s="330" t="str">
        <f t="shared" si="7"/>
        <v>0</v>
      </c>
      <c r="AF9" s="332"/>
      <c r="AG9" s="333"/>
      <c r="AH9" s="330" t="str">
        <f t="shared" si="8"/>
        <v>0</v>
      </c>
      <c r="AI9" s="332"/>
      <c r="AJ9" s="333"/>
      <c r="AK9" s="330" t="str">
        <f t="shared" si="9"/>
        <v>0</v>
      </c>
      <c r="AL9" s="332"/>
      <c r="AM9" s="333"/>
      <c r="AN9" s="330" t="str">
        <f t="shared" si="10"/>
        <v>0</v>
      </c>
      <c r="AO9" s="332"/>
      <c r="AP9" s="333"/>
      <c r="AQ9" s="330" t="str">
        <f t="shared" si="11"/>
        <v>0</v>
      </c>
      <c r="AR9" s="332"/>
      <c r="AS9" s="333"/>
      <c r="AT9" s="330" t="str">
        <f t="shared" si="12"/>
        <v>0</v>
      </c>
      <c r="AU9" s="332"/>
      <c r="AV9" s="333"/>
      <c r="AW9" s="330" t="str">
        <f t="shared" si="13"/>
        <v>0</v>
      </c>
      <c r="AX9" s="332"/>
      <c r="AY9" s="333"/>
      <c r="AZ9" s="330" t="str">
        <f t="shared" si="14"/>
        <v>0</v>
      </c>
      <c r="BA9" s="332"/>
      <c r="BB9" s="333"/>
      <c r="BC9" s="330" t="str">
        <f t="shared" si="15"/>
        <v>0</v>
      </c>
      <c r="BD9" s="332"/>
      <c r="BE9" s="333"/>
      <c r="BF9" s="330" t="str">
        <f t="shared" si="16"/>
        <v>0</v>
      </c>
      <c r="BG9" s="332"/>
      <c r="BH9" s="333"/>
      <c r="BI9" s="330" t="str">
        <f t="shared" si="17"/>
        <v>0</v>
      </c>
      <c r="BJ9" s="332"/>
      <c r="BK9" s="333"/>
      <c r="BL9" s="330" t="str">
        <f t="shared" si="18"/>
        <v>0</v>
      </c>
      <c r="BM9" s="332"/>
      <c r="BN9" s="333"/>
      <c r="BO9" s="330" t="str">
        <f t="shared" si="19"/>
        <v>0</v>
      </c>
      <c r="BP9" s="332"/>
      <c r="BQ9" s="333"/>
      <c r="BR9" s="330" t="str">
        <f t="shared" si="20"/>
        <v>0</v>
      </c>
      <c r="BS9" s="332"/>
      <c r="BT9" s="333"/>
      <c r="BU9" s="330" t="str">
        <f t="shared" si="21"/>
        <v>0</v>
      </c>
      <c r="BV9" s="332"/>
      <c r="BW9" s="333"/>
      <c r="BX9" s="330" t="str">
        <f t="shared" si="22"/>
        <v>0</v>
      </c>
      <c r="BY9" s="332"/>
      <c r="BZ9" s="333"/>
      <c r="CA9" s="330" t="str">
        <f t="shared" si="23"/>
        <v>0</v>
      </c>
      <c r="CB9" s="332"/>
      <c r="CC9" s="333"/>
      <c r="CD9" s="330" t="str">
        <f t="shared" si="24"/>
        <v>0</v>
      </c>
      <c r="CE9" s="332"/>
      <c r="CF9" s="333"/>
      <c r="CG9" s="330" t="str">
        <f t="shared" si="25"/>
        <v>0</v>
      </c>
      <c r="CH9" s="332"/>
      <c r="CI9" s="333"/>
      <c r="CJ9" s="330" t="str">
        <f t="shared" si="26"/>
        <v>0</v>
      </c>
      <c r="CK9" s="332"/>
      <c r="CL9" s="333"/>
      <c r="CM9" s="330" t="str">
        <f t="shared" si="27"/>
        <v>0</v>
      </c>
      <c r="CN9" s="332"/>
      <c r="CO9" s="333"/>
      <c r="CP9" s="330" t="str">
        <f t="shared" si="28"/>
        <v>0</v>
      </c>
      <c r="CQ9" s="332"/>
      <c r="CR9" s="333"/>
      <c r="CS9" s="330" t="str">
        <f t="shared" si="29"/>
        <v>0</v>
      </c>
      <c r="CT9" s="332"/>
      <c r="CU9" s="333"/>
      <c r="CV9" s="330" t="str">
        <f t="shared" si="30"/>
        <v>0</v>
      </c>
    </row>
    <row r="10" spans="1:131" ht="22.15" customHeight="1" x14ac:dyDescent="0.25">
      <c r="A10" s="937" t="s">
        <v>234</v>
      </c>
      <c r="B10" s="938"/>
      <c r="C10" s="334"/>
      <c r="E10" s="326">
        <f>'2-2.근무표'!B9</f>
        <v>0</v>
      </c>
      <c r="F10" s="326" t="str">
        <f>'2-2.근무표'!C9</f>
        <v>선택</v>
      </c>
      <c r="G10" s="326">
        <f>'2-2.근무표'!D9</f>
        <v>0</v>
      </c>
      <c r="H10" s="332"/>
      <c r="I10" s="333"/>
      <c r="J10" s="330" t="str">
        <f t="shared" si="0"/>
        <v>0</v>
      </c>
      <c r="K10" s="332"/>
      <c r="L10" s="333"/>
      <c r="M10" s="330" t="str">
        <f t="shared" si="1"/>
        <v>0</v>
      </c>
      <c r="N10" s="332"/>
      <c r="O10" s="333"/>
      <c r="P10" s="330" t="str">
        <f t="shared" si="2"/>
        <v>0</v>
      </c>
      <c r="Q10" s="332"/>
      <c r="R10" s="333"/>
      <c r="S10" s="330" t="str">
        <f t="shared" si="3"/>
        <v>0</v>
      </c>
      <c r="T10" s="332"/>
      <c r="U10" s="333"/>
      <c r="V10" s="330" t="str">
        <f t="shared" si="4"/>
        <v>0</v>
      </c>
      <c r="W10" s="332"/>
      <c r="X10" s="333"/>
      <c r="Y10" s="330" t="str">
        <f t="shared" si="5"/>
        <v>0</v>
      </c>
      <c r="Z10" s="332"/>
      <c r="AA10" s="333"/>
      <c r="AB10" s="330" t="str">
        <f t="shared" si="6"/>
        <v>0</v>
      </c>
      <c r="AC10" s="332"/>
      <c r="AD10" s="333"/>
      <c r="AE10" s="330" t="str">
        <f t="shared" si="7"/>
        <v>0</v>
      </c>
      <c r="AF10" s="332"/>
      <c r="AG10" s="333"/>
      <c r="AH10" s="330" t="str">
        <f t="shared" si="8"/>
        <v>0</v>
      </c>
      <c r="AI10" s="332"/>
      <c r="AJ10" s="333"/>
      <c r="AK10" s="330" t="str">
        <f t="shared" si="9"/>
        <v>0</v>
      </c>
      <c r="AL10" s="332"/>
      <c r="AM10" s="333"/>
      <c r="AN10" s="330" t="str">
        <f t="shared" si="10"/>
        <v>0</v>
      </c>
      <c r="AO10" s="332"/>
      <c r="AP10" s="333"/>
      <c r="AQ10" s="330" t="str">
        <f t="shared" si="11"/>
        <v>0</v>
      </c>
      <c r="AR10" s="332"/>
      <c r="AS10" s="333"/>
      <c r="AT10" s="330" t="str">
        <f t="shared" si="12"/>
        <v>0</v>
      </c>
      <c r="AU10" s="332"/>
      <c r="AV10" s="333"/>
      <c r="AW10" s="330" t="str">
        <f t="shared" si="13"/>
        <v>0</v>
      </c>
      <c r="AX10" s="332"/>
      <c r="AY10" s="333"/>
      <c r="AZ10" s="330" t="str">
        <f t="shared" si="14"/>
        <v>0</v>
      </c>
      <c r="BA10" s="332"/>
      <c r="BB10" s="333"/>
      <c r="BC10" s="330" t="str">
        <f t="shared" si="15"/>
        <v>0</v>
      </c>
      <c r="BD10" s="332"/>
      <c r="BE10" s="333"/>
      <c r="BF10" s="330" t="str">
        <f t="shared" si="16"/>
        <v>0</v>
      </c>
      <c r="BG10" s="332"/>
      <c r="BH10" s="333"/>
      <c r="BI10" s="330" t="str">
        <f t="shared" si="17"/>
        <v>0</v>
      </c>
      <c r="BJ10" s="332"/>
      <c r="BK10" s="333"/>
      <c r="BL10" s="330" t="str">
        <f t="shared" si="18"/>
        <v>0</v>
      </c>
      <c r="BM10" s="332"/>
      <c r="BN10" s="333"/>
      <c r="BO10" s="330" t="str">
        <f t="shared" si="19"/>
        <v>0</v>
      </c>
      <c r="BP10" s="332"/>
      <c r="BQ10" s="333"/>
      <c r="BR10" s="330" t="str">
        <f t="shared" si="20"/>
        <v>0</v>
      </c>
      <c r="BS10" s="332"/>
      <c r="BT10" s="333"/>
      <c r="BU10" s="330" t="str">
        <f t="shared" si="21"/>
        <v>0</v>
      </c>
      <c r="BV10" s="332"/>
      <c r="BW10" s="333"/>
      <c r="BX10" s="330" t="str">
        <f t="shared" si="22"/>
        <v>0</v>
      </c>
      <c r="BY10" s="332"/>
      <c r="BZ10" s="333"/>
      <c r="CA10" s="330" t="str">
        <f t="shared" si="23"/>
        <v>0</v>
      </c>
      <c r="CB10" s="332"/>
      <c r="CC10" s="333"/>
      <c r="CD10" s="330" t="str">
        <f t="shared" si="24"/>
        <v>0</v>
      </c>
      <c r="CE10" s="332"/>
      <c r="CF10" s="333"/>
      <c r="CG10" s="330" t="str">
        <f t="shared" si="25"/>
        <v>0</v>
      </c>
      <c r="CH10" s="332"/>
      <c r="CI10" s="333"/>
      <c r="CJ10" s="330" t="str">
        <f t="shared" si="26"/>
        <v>0</v>
      </c>
      <c r="CK10" s="332"/>
      <c r="CL10" s="333"/>
      <c r="CM10" s="330" t="str">
        <f t="shared" si="27"/>
        <v>0</v>
      </c>
      <c r="CN10" s="332"/>
      <c r="CO10" s="333"/>
      <c r="CP10" s="330" t="str">
        <f t="shared" si="28"/>
        <v>0</v>
      </c>
      <c r="CQ10" s="332"/>
      <c r="CR10" s="333"/>
      <c r="CS10" s="330" t="str">
        <f t="shared" si="29"/>
        <v>0</v>
      </c>
      <c r="CT10" s="332"/>
      <c r="CU10" s="333"/>
      <c r="CV10" s="330" t="str">
        <f t="shared" si="30"/>
        <v>0</v>
      </c>
      <c r="CY10" s="335"/>
      <c r="CZ10" s="335"/>
      <c r="DA10" s="335"/>
      <c r="DB10" s="335"/>
      <c r="DC10" s="335"/>
      <c r="DD10" s="335"/>
      <c r="DE10" s="335"/>
      <c r="DF10" s="335"/>
      <c r="DG10" s="335"/>
      <c r="DH10" s="335"/>
      <c r="DI10" s="335"/>
      <c r="DJ10" s="335"/>
      <c r="DK10" s="335"/>
      <c r="DL10" s="335"/>
      <c r="DM10" s="335"/>
      <c r="DN10" s="335"/>
      <c r="DO10" s="335"/>
      <c r="DP10" s="335"/>
      <c r="DQ10" s="335"/>
      <c r="DR10" s="335"/>
      <c r="DS10" s="335"/>
      <c r="DT10" s="335"/>
      <c r="DU10" s="335"/>
      <c r="DV10" s="335"/>
      <c r="DW10" s="335"/>
      <c r="DX10" s="335"/>
      <c r="DY10" s="335"/>
      <c r="DZ10" s="335"/>
      <c r="EA10" s="335"/>
    </row>
    <row r="11" spans="1:131" ht="22.15" customHeight="1" x14ac:dyDescent="0.25">
      <c r="A11" s="937" t="s">
        <v>235</v>
      </c>
      <c r="B11" s="938"/>
      <c r="C11" s="336"/>
      <c r="E11" s="326">
        <f>'2-2.근무표'!B10</f>
        <v>0</v>
      </c>
      <c r="F11" s="326" t="str">
        <f>'2-2.근무표'!C10</f>
        <v>선택</v>
      </c>
      <c r="G11" s="326">
        <f>'2-2.근무표'!D10</f>
        <v>0</v>
      </c>
      <c r="H11" s="332"/>
      <c r="I11" s="333"/>
      <c r="J11" s="330" t="str">
        <f t="shared" si="0"/>
        <v>0</v>
      </c>
      <c r="K11" s="332"/>
      <c r="L11" s="333"/>
      <c r="M11" s="330" t="str">
        <f t="shared" si="1"/>
        <v>0</v>
      </c>
      <c r="N11" s="332"/>
      <c r="O11" s="333"/>
      <c r="P11" s="330" t="str">
        <f t="shared" si="2"/>
        <v>0</v>
      </c>
      <c r="Q11" s="332"/>
      <c r="R11" s="333"/>
      <c r="S11" s="330" t="str">
        <f t="shared" si="3"/>
        <v>0</v>
      </c>
      <c r="T11" s="332"/>
      <c r="U11" s="333"/>
      <c r="V11" s="330" t="str">
        <f t="shared" si="4"/>
        <v>0</v>
      </c>
      <c r="W11" s="332"/>
      <c r="X11" s="333"/>
      <c r="Y11" s="330" t="str">
        <f t="shared" si="5"/>
        <v>0</v>
      </c>
      <c r="Z11" s="332"/>
      <c r="AA11" s="333"/>
      <c r="AB11" s="330" t="str">
        <f t="shared" si="6"/>
        <v>0</v>
      </c>
      <c r="AC11" s="332"/>
      <c r="AD11" s="333"/>
      <c r="AE11" s="330" t="str">
        <f t="shared" si="7"/>
        <v>0</v>
      </c>
      <c r="AF11" s="332"/>
      <c r="AG11" s="333"/>
      <c r="AH11" s="330" t="str">
        <f t="shared" si="8"/>
        <v>0</v>
      </c>
      <c r="AI11" s="332"/>
      <c r="AJ11" s="333"/>
      <c r="AK11" s="330" t="str">
        <f t="shared" si="9"/>
        <v>0</v>
      </c>
      <c r="AL11" s="332"/>
      <c r="AM11" s="333"/>
      <c r="AN11" s="330" t="str">
        <f t="shared" si="10"/>
        <v>0</v>
      </c>
      <c r="AO11" s="332"/>
      <c r="AP11" s="333"/>
      <c r="AQ11" s="330" t="str">
        <f t="shared" si="11"/>
        <v>0</v>
      </c>
      <c r="AR11" s="332"/>
      <c r="AS11" s="333"/>
      <c r="AT11" s="330" t="str">
        <f t="shared" si="12"/>
        <v>0</v>
      </c>
      <c r="AU11" s="332"/>
      <c r="AV11" s="333"/>
      <c r="AW11" s="330" t="str">
        <f t="shared" si="13"/>
        <v>0</v>
      </c>
      <c r="AX11" s="332"/>
      <c r="AY11" s="333"/>
      <c r="AZ11" s="330" t="str">
        <f t="shared" si="14"/>
        <v>0</v>
      </c>
      <c r="BA11" s="332"/>
      <c r="BB11" s="333"/>
      <c r="BC11" s="330" t="str">
        <f t="shared" si="15"/>
        <v>0</v>
      </c>
      <c r="BD11" s="332"/>
      <c r="BE11" s="333"/>
      <c r="BF11" s="330" t="str">
        <f t="shared" si="16"/>
        <v>0</v>
      </c>
      <c r="BG11" s="332"/>
      <c r="BH11" s="333"/>
      <c r="BI11" s="330" t="str">
        <f t="shared" si="17"/>
        <v>0</v>
      </c>
      <c r="BJ11" s="332"/>
      <c r="BK11" s="333"/>
      <c r="BL11" s="330" t="str">
        <f t="shared" si="18"/>
        <v>0</v>
      </c>
      <c r="BM11" s="332"/>
      <c r="BN11" s="333"/>
      <c r="BO11" s="330" t="str">
        <f t="shared" si="19"/>
        <v>0</v>
      </c>
      <c r="BP11" s="332"/>
      <c r="BQ11" s="333"/>
      <c r="BR11" s="330" t="str">
        <f t="shared" si="20"/>
        <v>0</v>
      </c>
      <c r="BS11" s="332"/>
      <c r="BT11" s="333"/>
      <c r="BU11" s="330" t="str">
        <f t="shared" si="21"/>
        <v>0</v>
      </c>
      <c r="BV11" s="332"/>
      <c r="BW11" s="333"/>
      <c r="BX11" s="330" t="str">
        <f t="shared" si="22"/>
        <v>0</v>
      </c>
      <c r="BY11" s="332"/>
      <c r="BZ11" s="333"/>
      <c r="CA11" s="330" t="str">
        <f t="shared" si="23"/>
        <v>0</v>
      </c>
      <c r="CB11" s="332"/>
      <c r="CC11" s="333"/>
      <c r="CD11" s="330" t="str">
        <f t="shared" si="24"/>
        <v>0</v>
      </c>
      <c r="CE11" s="332"/>
      <c r="CF11" s="333"/>
      <c r="CG11" s="330" t="str">
        <f t="shared" si="25"/>
        <v>0</v>
      </c>
      <c r="CH11" s="332"/>
      <c r="CI11" s="333"/>
      <c r="CJ11" s="330" t="str">
        <f t="shared" si="26"/>
        <v>0</v>
      </c>
      <c r="CK11" s="332"/>
      <c r="CL11" s="333"/>
      <c r="CM11" s="330" t="str">
        <f t="shared" si="27"/>
        <v>0</v>
      </c>
      <c r="CN11" s="332"/>
      <c r="CO11" s="333"/>
      <c r="CP11" s="330" t="str">
        <f t="shared" si="28"/>
        <v>0</v>
      </c>
      <c r="CQ11" s="332"/>
      <c r="CR11" s="333"/>
      <c r="CS11" s="330" t="str">
        <f t="shared" si="29"/>
        <v>0</v>
      </c>
      <c r="CT11" s="332"/>
      <c r="CU11" s="333"/>
      <c r="CV11" s="330" t="str">
        <f t="shared" si="30"/>
        <v>0</v>
      </c>
      <c r="CY11" s="335"/>
      <c r="CZ11" s="335"/>
      <c r="DA11" s="335"/>
      <c r="DB11" s="335"/>
      <c r="DC11" s="335"/>
      <c r="DD11" s="335"/>
      <c r="DE11" s="335"/>
      <c r="DF11" s="335"/>
      <c r="DG11" s="335"/>
      <c r="DH11" s="335"/>
      <c r="DI11" s="335"/>
      <c r="DJ11" s="335"/>
      <c r="DK11" s="335"/>
      <c r="DL11" s="335"/>
      <c r="DM11" s="335"/>
      <c r="DN11" s="335"/>
      <c r="DO11" s="335"/>
      <c r="DP11" s="335"/>
      <c r="DQ11" s="335"/>
      <c r="DR11" s="335"/>
      <c r="DS11" s="335"/>
      <c r="DT11" s="335"/>
      <c r="DU11" s="335"/>
      <c r="DV11" s="335"/>
      <c r="DW11" s="335"/>
      <c r="DX11" s="335"/>
      <c r="DY11" s="335"/>
      <c r="DZ11" s="335"/>
      <c r="EA11" s="335"/>
    </row>
    <row r="12" spans="1:131" s="335" customFormat="1" ht="22.15" customHeight="1" x14ac:dyDescent="0.25">
      <c r="A12" s="937" t="s">
        <v>236</v>
      </c>
      <c r="B12" s="938"/>
      <c r="C12" s="337"/>
      <c r="E12" s="326">
        <f>'2-2.근무표'!B11</f>
        <v>0</v>
      </c>
      <c r="F12" s="326" t="str">
        <f>'2-2.근무표'!C11</f>
        <v>선택</v>
      </c>
      <c r="G12" s="326">
        <f>'2-2.근무표'!D11</f>
        <v>0</v>
      </c>
      <c r="H12" s="332"/>
      <c r="I12" s="333"/>
      <c r="J12" s="330" t="str">
        <f t="shared" si="0"/>
        <v>0</v>
      </c>
      <c r="K12" s="332"/>
      <c r="L12" s="333"/>
      <c r="M12" s="330" t="str">
        <f t="shared" si="1"/>
        <v>0</v>
      </c>
      <c r="N12" s="332"/>
      <c r="O12" s="333"/>
      <c r="P12" s="330" t="str">
        <f t="shared" si="2"/>
        <v>0</v>
      </c>
      <c r="Q12" s="332"/>
      <c r="R12" s="333"/>
      <c r="S12" s="330" t="str">
        <f t="shared" si="3"/>
        <v>0</v>
      </c>
      <c r="T12" s="332"/>
      <c r="U12" s="333"/>
      <c r="V12" s="330" t="str">
        <f t="shared" si="4"/>
        <v>0</v>
      </c>
      <c r="W12" s="332"/>
      <c r="X12" s="333"/>
      <c r="Y12" s="330" t="str">
        <f t="shared" si="5"/>
        <v>0</v>
      </c>
      <c r="Z12" s="332"/>
      <c r="AA12" s="333"/>
      <c r="AB12" s="330" t="str">
        <f t="shared" si="6"/>
        <v>0</v>
      </c>
      <c r="AC12" s="332"/>
      <c r="AD12" s="333"/>
      <c r="AE12" s="330" t="str">
        <f t="shared" si="7"/>
        <v>0</v>
      </c>
      <c r="AF12" s="332"/>
      <c r="AG12" s="333"/>
      <c r="AH12" s="330" t="str">
        <f t="shared" si="8"/>
        <v>0</v>
      </c>
      <c r="AI12" s="332"/>
      <c r="AJ12" s="333"/>
      <c r="AK12" s="330" t="str">
        <f t="shared" si="9"/>
        <v>0</v>
      </c>
      <c r="AL12" s="332"/>
      <c r="AM12" s="333"/>
      <c r="AN12" s="330" t="str">
        <f t="shared" si="10"/>
        <v>0</v>
      </c>
      <c r="AO12" s="332"/>
      <c r="AP12" s="333"/>
      <c r="AQ12" s="330" t="str">
        <f t="shared" si="11"/>
        <v>0</v>
      </c>
      <c r="AR12" s="332"/>
      <c r="AS12" s="333"/>
      <c r="AT12" s="330" t="str">
        <f t="shared" si="12"/>
        <v>0</v>
      </c>
      <c r="AU12" s="332"/>
      <c r="AV12" s="333"/>
      <c r="AW12" s="330" t="str">
        <f t="shared" si="13"/>
        <v>0</v>
      </c>
      <c r="AX12" s="332"/>
      <c r="AY12" s="333"/>
      <c r="AZ12" s="330" t="str">
        <f t="shared" si="14"/>
        <v>0</v>
      </c>
      <c r="BA12" s="332"/>
      <c r="BB12" s="333"/>
      <c r="BC12" s="330" t="str">
        <f t="shared" si="15"/>
        <v>0</v>
      </c>
      <c r="BD12" s="332"/>
      <c r="BE12" s="333"/>
      <c r="BF12" s="330" t="str">
        <f t="shared" si="16"/>
        <v>0</v>
      </c>
      <c r="BG12" s="332"/>
      <c r="BH12" s="333"/>
      <c r="BI12" s="330" t="str">
        <f t="shared" si="17"/>
        <v>0</v>
      </c>
      <c r="BJ12" s="332"/>
      <c r="BK12" s="333"/>
      <c r="BL12" s="330" t="str">
        <f t="shared" si="18"/>
        <v>0</v>
      </c>
      <c r="BM12" s="332"/>
      <c r="BN12" s="333"/>
      <c r="BO12" s="330" t="str">
        <f t="shared" si="19"/>
        <v>0</v>
      </c>
      <c r="BP12" s="332"/>
      <c r="BQ12" s="333"/>
      <c r="BR12" s="330" t="str">
        <f t="shared" si="20"/>
        <v>0</v>
      </c>
      <c r="BS12" s="332"/>
      <c r="BT12" s="333"/>
      <c r="BU12" s="330" t="str">
        <f t="shared" si="21"/>
        <v>0</v>
      </c>
      <c r="BV12" s="332"/>
      <c r="BW12" s="333"/>
      <c r="BX12" s="330" t="str">
        <f t="shared" si="22"/>
        <v>0</v>
      </c>
      <c r="BY12" s="332"/>
      <c r="BZ12" s="333"/>
      <c r="CA12" s="330" t="str">
        <f t="shared" si="23"/>
        <v>0</v>
      </c>
      <c r="CB12" s="332"/>
      <c r="CC12" s="333"/>
      <c r="CD12" s="330" t="str">
        <f t="shared" si="24"/>
        <v>0</v>
      </c>
      <c r="CE12" s="332"/>
      <c r="CF12" s="333"/>
      <c r="CG12" s="330" t="str">
        <f t="shared" si="25"/>
        <v>0</v>
      </c>
      <c r="CH12" s="332"/>
      <c r="CI12" s="333"/>
      <c r="CJ12" s="330" t="str">
        <f t="shared" si="26"/>
        <v>0</v>
      </c>
      <c r="CK12" s="332"/>
      <c r="CL12" s="333"/>
      <c r="CM12" s="330" t="str">
        <f t="shared" si="27"/>
        <v>0</v>
      </c>
      <c r="CN12" s="332"/>
      <c r="CO12" s="333"/>
      <c r="CP12" s="330" t="str">
        <f t="shared" si="28"/>
        <v>0</v>
      </c>
      <c r="CQ12" s="332"/>
      <c r="CR12" s="333"/>
      <c r="CS12" s="330" t="str">
        <f t="shared" si="29"/>
        <v>0</v>
      </c>
      <c r="CT12" s="332"/>
      <c r="CU12" s="333"/>
      <c r="CV12" s="330" t="str">
        <f t="shared" si="30"/>
        <v>0</v>
      </c>
    </row>
    <row r="13" spans="1:131" s="335" customFormat="1" ht="22.15" customHeight="1" x14ac:dyDescent="0.25">
      <c r="A13" s="937" t="s">
        <v>237</v>
      </c>
      <c r="B13" s="938"/>
      <c r="C13" s="338"/>
      <c r="E13" s="326">
        <f>'2-2.근무표'!B12</f>
        <v>0</v>
      </c>
      <c r="F13" s="326" t="str">
        <f>'2-2.근무표'!C12</f>
        <v>선택</v>
      </c>
      <c r="G13" s="326">
        <f>'2-2.근무표'!D12</f>
        <v>0</v>
      </c>
      <c r="H13" s="332"/>
      <c r="I13" s="333"/>
      <c r="J13" s="330" t="str">
        <f t="shared" si="0"/>
        <v>0</v>
      </c>
      <c r="K13" s="332"/>
      <c r="L13" s="333"/>
      <c r="M13" s="330" t="str">
        <f t="shared" si="1"/>
        <v>0</v>
      </c>
      <c r="N13" s="332"/>
      <c r="O13" s="333"/>
      <c r="P13" s="330" t="str">
        <f t="shared" si="2"/>
        <v>0</v>
      </c>
      <c r="Q13" s="332"/>
      <c r="R13" s="333"/>
      <c r="S13" s="330" t="str">
        <f t="shared" si="3"/>
        <v>0</v>
      </c>
      <c r="T13" s="332"/>
      <c r="U13" s="333"/>
      <c r="V13" s="330" t="str">
        <f t="shared" si="4"/>
        <v>0</v>
      </c>
      <c r="W13" s="332"/>
      <c r="X13" s="333"/>
      <c r="Y13" s="330" t="str">
        <f t="shared" si="5"/>
        <v>0</v>
      </c>
      <c r="Z13" s="332"/>
      <c r="AA13" s="333"/>
      <c r="AB13" s="330" t="str">
        <f t="shared" si="6"/>
        <v>0</v>
      </c>
      <c r="AC13" s="332"/>
      <c r="AD13" s="333"/>
      <c r="AE13" s="330" t="str">
        <f t="shared" si="7"/>
        <v>0</v>
      </c>
      <c r="AF13" s="332"/>
      <c r="AG13" s="333"/>
      <c r="AH13" s="330" t="str">
        <f t="shared" si="8"/>
        <v>0</v>
      </c>
      <c r="AI13" s="332"/>
      <c r="AJ13" s="333"/>
      <c r="AK13" s="330" t="str">
        <f t="shared" si="9"/>
        <v>0</v>
      </c>
      <c r="AL13" s="332"/>
      <c r="AM13" s="333"/>
      <c r="AN13" s="330" t="str">
        <f t="shared" si="10"/>
        <v>0</v>
      </c>
      <c r="AO13" s="332"/>
      <c r="AP13" s="333"/>
      <c r="AQ13" s="330" t="str">
        <f t="shared" si="11"/>
        <v>0</v>
      </c>
      <c r="AR13" s="332"/>
      <c r="AS13" s="333"/>
      <c r="AT13" s="330" t="str">
        <f t="shared" si="12"/>
        <v>0</v>
      </c>
      <c r="AU13" s="332"/>
      <c r="AV13" s="333"/>
      <c r="AW13" s="330" t="str">
        <f t="shared" si="13"/>
        <v>0</v>
      </c>
      <c r="AX13" s="332"/>
      <c r="AY13" s="333"/>
      <c r="AZ13" s="330" t="str">
        <f t="shared" si="14"/>
        <v>0</v>
      </c>
      <c r="BA13" s="332"/>
      <c r="BB13" s="333"/>
      <c r="BC13" s="330" t="str">
        <f t="shared" si="15"/>
        <v>0</v>
      </c>
      <c r="BD13" s="332"/>
      <c r="BE13" s="333"/>
      <c r="BF13" s="330" t="str">
        <f t="shared" si="16"/>
        <v>0</v>
      </c>
      <c r="BG13" s="332"/>
      <c r="BH13" s="333"/>
      <c r="BI13" s="330" t="str">
        <f t="shared" si="17"/>
        <v>0</v>
      </c>
      <c r="BJ13" s="332"/>
      <c r="BK13" s="333"/>
      <c r="BL13" s="330" t="str">
        <f t="shared" si="18"/>
        <v>0</v>
      </c>
      <c r="BM13" s="332"/>
      <c r="BN13" s="333"/>
      <c r="BO13" s="330" t="str">
        <f t="shared" si="19"/>
        <v>0</v>
      </c>
      <c r="BP13" s="332"/>
      <c r="BQ13" s="333"/>
      <c r="BR13" s="330" t="str">
        <f t="shared" si="20"/>
        <v>0</v>
      </c>
      <c r="BS13" s="332"/>
      <c r="BT13" s="333"/>
      <c r="BU13" s="330" t="str">
        <f t="shared" si="21"/>
        <v>0</v>
      </c>
      <c r="BV13" s="332"/>
      <c r="BW13" s="333"/>
      <c r="BX13" s="330" t="str">
        <f t="shared" si="22"/>
        <v>0</v>
      </c>
      <c r="BY13" s="332"/>
      <c r="BZ13" s="333"/>
      <c r="CA13" s="330" t="str">
        <f t="shared" si="23"/>
        <v>0</v>
      </c>
      <c r="CB13" s="332"/>
      <c r="CC13" s="333"/>
      <c r="CD13" s="330" t="str">
        <f t="shared" si="24"/>
        <v>0</v>
      </c>
      <c r="CE13" s="332"/>
      <c r="CF13" s="333"/>
      <c r="CG13" s="330" t="str">
        <f t="shared" si="25"/>
        <v>0</v>
      </c>
      <c r="CH13" s="332"/>
      <c r="CI13" s="333"/>
      <c r="CJ13" s="330" t="str">
        <f t="shared" si="26"/>
        <v>0</v>
      </c>
      <c r="CK13" s="332"/>
      <c r="CL13" s="333"/>
      <c r="CM13" s="330" t="str">
        <f t="shared" si="27"/>
        <v>0</v>
      </c>
      <c r="CN13" s="332"/>
      <c r="CO13" s="333"/>
      <c r="CP13" s="330" t="str">
        <f t="shared" si="28"/>
        <v>0</v>
      </c>
      <c r="CQ13" s="332"/>
      <c r="CR13" s="333"/>
      <c r="CS13" s="330" t="str">
        <f t="shared" si="29"/>
        <v>0</v>
      </c>
      <c r="CT13" s="332"/>
      <c r="CU13" s="333"/>
      <c r="CV13" s="330" t="str">
        <f t="shared" si="30"/>
        <v>0</v>
      </c>
    </row>
    <row r="14" spans="1:131" s="335" customFormat="1" ht="22.15" customHeight="1" x14ac:dyDescent="0.25">
      <c r="A14" s="937" t="s">
        <v>238</v>
      </c>
      <c r="B14" s="938"/>
      <c r="C14" s="339"/>
      <c r="E14" s="326">
        <f>'2-2.근무표'!B13</f>
        <v>0</v>
      </c>
      <c r="F14" s="326" t="str">
        <f>'2-2.근무표'!C13</f>
        <v>선택</v>
      </c>
      <c r="G14" s="326">
        <f>'2-2.근무표'!D13</f>
        <v>0</v>
      </c>
      <c r="H14" s="332"/>
      <c r="I14" s="333"/>
      <c r="J14" s="330" t="str">
        <f t="shared" si="0"/>
        <v>0</v>
      </c>
      <c r="K14" s="332"/>
      <c r="L14" s="333"/>
      <c r="M14" s="330" t="str">
        <f t="shared" si="1"/>
        <v>0</v>
      </c>
      <c r="N14" s="332"/>
      <c r="O14" s="333"/>
      <c r="P14" s="330" t="str">
        <f t="shared" si="2"/>
        <v>0</v>
      </c>
      <c r="Q14" s="332"/>
      <c r="R14" s="333"/>
      <c r="S14" s="330" t="str">
        <f t="shared" si="3"/>
        <v>0</v>
      </c>
      <c r="T14" s="332"/>
      <c r="U14" s="333"/>
      <c r="V14" s="330" t="str">
        <f t="shared" si="4"/>
        <v>0</v>
      </c>
      <c r="W14" s="332"/>
      <c r="X14" s="333"/>
      <c r="Y14" s="330" t="str">
        <f t="shared" si="5"/>
        <v>0</v>
      </c>
      <c r="Z14" s="332"/>
      <c r="AA14" s="333"/>
      <c r="AB14" s="330" t="str">
        <f t="shared" si="6"/>
        <v>0</v>
      </c>
      <c r="AC14" s="332"/>
      <c r="AD14" s="333"/>
      <c r="AE14" s="330" t="str">
        <f t="shared" si="7"/>
        <v>0</v>
      </c>
      <c r="AF14" s="332"/>
      <c r="AG14" s="333"/>
      <c r="AH14" s="330" t="str">
        <f t="shared" si="8"/>
        <v>0</v>
      </c>
      <c r="AI14" s="332"/>
      <c r="AJ14" s="333"/>
      <c r="AK14" s="330" t="str">
        <f t="shared" si="9"/>
        <v>0</v>
      </c>
      <c r="AL14" s="332"/>
      <c r="AM14" s="333"/>
      <c r="AN14" s="330" t="str">
        <f t="shared" si="10"/>
        <v>0</v>
      </c>
      <c r="AO14" s="332"/>
      <c r="AP14" s="333"/>
      <c r="AQ14" s="330" t="str">
        <f t="shared" si="11"/>
        <v>0</v>
      </c>
      <c r="AR14" s="332"/>
      <c r="AS14" s="333"/>
      <c r="AT14" s="330" t="str">
        <f t="shared" si="12"/>
        <v>0</v>
      </c>
      <c r="AU14" s="332"/>
      <c r="AV14" s="333"/>
      <c r="AW14" s="330" t="str">
        <f t="shared" si="13"/>
        <v>0</v>
      </c>
      <c r="AX14" s="332"/>
      <c r="AY14" s="333"/>
      <c r="AZ14" s="330" t="str">
        <f t="shared" si="14"/>
        <v>0</v>
      </c>
      <c r="BA14" s="332"/>
      <c r="BB14" s="333"/>
      <c r="BC14" s="330" t="str">
        <f t="shared" si="15"/>
        <v>0</v>
      </c>
      <c r="BD14" s="332"/>
      <c r="BE14" s="333"/>
      <c r="BF14" s="330" t="str">
        <f t="shared" si="16"/>
        <v>0</v>
      </c>
      <c r="BG14" s="332"/>
      <c r="BH14" s="333"/>
      <c r="BI14" s="330" t="str">
        <f t="shared" si="17"/>
        <v>0</v>
      </c>
      <c r="BJ14" s="332"/>
      <c r="BK14" s="333"/>
      <c r="BL14" s="330" t="str">
        <f t="shared" si="18"/>
        <v>0</v>
      </c>
      <c r="BM14" s="332"/>
      <c r="BN14" s="333"/>
      <c r="BO14" s="330" t="str">
        <f t="shared" si="19"/>
        <v>0</v>
      </c>
      <c r="BP14" s="332"/>
      <c r="BQ14" s="333"/>
      <c r="BR14" s="330" t="str">
        <f t="shared" si="20"/>
        <v>0</v>
      </c>
      <c r="BS14" s="332"/>
      <c r="BT14" s="333"/>
      <c r="BU14" s="330" t="str">
        <f t="shared" si="21"/>
        <v>0</v>
      </c>
      <c r="BV14" s="332"/>
      <c r="BW14" s="333"/>
      <c r="BX14" s="330" t="str">
        <f t="shared" si="22"/>
        <v>0</v>
      </c>
      <c r="BY14" s="332"/>
      <c r="BZ14" s="333"/>
      <c r="CA14" s="330" t="str">
        <f t="shared" si="23"/>
        <v>0</v>
      </c>
      <c r="CB14" s="332"/>
      <c r="CC14" s="333"/>
      <c r="CD14" s="330" t="str">
        <f t="shared" si="24"/>
        <v>0</v>
      </c>
      <c r="CE14" s="332"/>
      <c r="CF14" s="333"/>
      <c r="CG14" s="330" t="str">
        <f t="shared" si="25"/>
        <v>0</v>
      </c>
      <c r="CH14" s="332"/>
      <c r="CI14" s="333"/>
      <c r="CJ14" s="330" t="str">
        <f t="shared" si="26"/>
        <v>0</v>
      </c>
      <c r="CK14" s="332"/>
      <c r="CL14" s="333"/>
      <c r="CM14" s="330" t="str">
        <f t="shared" si="27"/>
        <v>0</v>
      </c>
      <c r="CN14" s="332"/>
      <c r="CO14" s="333"/>
      <c r="CP14" s="330" t="str">
        <f t="shared" si="28"/>
        <v>0</v>
      </c>
      <c r="CQ14" s="332"/>
      <c r="CR14" s="333"/>
      <c r="CS14" s="330" t="str">
        <f t="shared" si="29"/>
        <v>0</v>
      </c>
      <c r="CT14" s="332"/>
      <c r="CU14" s="333"/>
      <c r="CV14" s="330" t="str">
        <f t="shared" si="30"/>
        <v>0</v>
      </c>
    </row>
    <row r="15" spans="1:131" s="335" customFormat="1" ht="22.15" customHeight="1" x14ac:dyDescent="0.25">
      <c r="A15" s="943" t="s">
        <v>239</v>
      </c>
      <c r="B15" s="943"/>
      <c r="C15" s="340"/>
      <c r="E15" s="326">
        <f>'2-2.근무표'!B14</f>
        <v>0</v>
      </c>
      <c r="F15" s="326" t="str">
        <f>'2-2.근무표'!C14</f>
        <v>선택</v>
      </c>
      <c r="G15" s="326">
        <f>'2-2.근무표'!D14</f>
        <v>0</v>
      </c>
      <c r="H15" s="332"/>
      <c r="I15" s="333"/>
      <c r="J15" s="330" t="str">
        <f t="shared" si="0"/>
        <v>0</v>
      </c>
      <c r="K15" s="332"/>
      <c r="L15" s="333"/>
      <c r="M15" s="330" t="str">
        <f t="shared" si="1"/>
        <v>0</v>
      </c>
      <c r="N15" s="332"/>
      <c r="O15" s="333"/>
      <c r="P15" s="330" t="str">
        <f t="shared" si="2"/>
        <v>0</v>
      </c>
      <c r="Q15" s="332"/>
      <c r="R15" s="333"/>
      <c r="S15" s="330" t="str">
        <f t="shared" si="3"/>
        <v>0</v>
      </c>
      <c r="T15" s="332"/>
      <c r="U15" s="333"/>
      <c r="V15" s="330" t="str">
        <f t="shared" si="4"/>
        <v>0</v>
      </c>
      <c r="W15" s="332"/>
      <c r="X15" s="333"/>
      <c r="Y15" s="330" t="str">
        <f t="shared" si="5"/>
        <v>0</v>
      </c>
      <c r="Z15" s="332"/>
      <c r="AA15" s="333"/>
      <c r="AB15" s="330" t="str">
        <f t="shared" si="6"/>
        <v>0</v>
      </c>
      <c r="AC15" s="332"/>
      <c r="AD15" s="333"/>
      <c r="AE15" s="330" t="str">
        <f t="shared" si="7"/>
        <v>0</v>
      </c>
      <c r="AF15" s="332"/>
      <c r="AG15" s="333"/>
      <c r="AH15" s="330" t="str">
        <f t="shared" si="8"/>
        <v>0</v>
      </c>
      <c r="AI15" s="332"/>
      <c r="AJ15" s="333"/>
      <c r="AK15" s="330" t="str">
        <f t="shared" si="9"/>
        <v>0</v>
      </c>
      <c r="AL15" s="332"/>
      <c r="AM15" s="333"/>
      <c r="AN15" s="330" t="str">
        <f t="shared" si="10"/>
        <v>0</v>
      </c>
      <c r="AO15" s="332"/>
      <c r="AP15" s="333"/>
      <c r="AQ15" s="330" t="str">
        <f t="shared" si="11"/>
        <v>0</v>
      </c>
      <c r="AR15" s="332"/>
      <c r="AS15" s="333"/>
      <c r="AT15" s="330" t="str">
        <f t="shared" si="12"/>
        <v>0</v>
      </c>
      <c r="AU15" s="332"/>
      <c r="AV15" s="333"/>
      <c r="AW15" s="330" t="str">
        <f t="shared" si="13"/>
        <v>0</v>
      </c>
      <c r="AX15" s="332"/>
      <c r="AY15" s="333"/>
      <c r="AZ15" s="330" t="str">
        <f t="shared" si="14"/>
        <v>0</v>
      </c>
      <c r="BA15" s="332"/>
      <c r="BB15" s="333"/>
      <c r="BC15" s="330" t="str">
        <f t="shared" si="15"/>
        <v>0</v>
      </c>
      <c r="BD15" s="332"/>
      <c r="BE15" s="333"/>
      <c r="BF15" s="330" t="str">
        <f t="shared" si="16"/>
        <v>0</v>
      </c>
      <c r="BG15" s="332"/>
      <c r="BH15" s="333"/>
      <c r="BI15" s="330" t="str">
        <f t="shared" si="17"/>
        <v>0</v>
      </c>
      <c r="BJ15" s="332"/>
      <c r="BK15" s="333"/>
      <c r="BL15" s="330" t="str">
        <f t="shared" si="18"/>
        <v>0</v>
      </c>
      <c r="BM15" s="332"/>
      <c r="BN15" s="333"/>
      <c r="BO15" s="330" t="str">
        <f t="shared" si="19"/>
        <v>0</v>
      </c>
      <c r="BP15" s="332"/>
      <c r="BQ15" s="333"/>
      <c r="BR15" s="330" t="str">
        <f t="shared" si="20"/>
        <v>0</v>
      </c>
      <c r="BS15" s="332"/>
      <c r="BT15" s="333"/>
      <c r="BU15" s="330" t="str">
        <f t="shared" si="21"/>
        <v>0</v>
      </c>
      <c r="BV15" s="332"/>
      <c r="BW15" s="333"/>
      <c r="BX15" s="330" t="str">
        <f t="shared" si="22"/>
        <v>0</v>
      </c>
      <c r="BY15" s="332"/>
      <c r="BZ15" s="333"/>
      <c r="CA15" s="330" t="str">
        <f t="shared" si="23"/>
        <v>0</v>
      </c>
      <c r="CB15" s="332"/>
      <c r="CC15" s="333"/>
      <c r="CD15" s="330" t="str">
        <f t="shared" si="24"/>
        <v>0</v>
      </c>
      <c r="CE15" s="332"/>
      <c r="CF15" s="333"/>
      <c r="CG15" s="330" t="str">
        <f t="shared" si="25"/>
        <v>0</v>
      </c>
      <c r="CH15" s="332"/>
      <c r="CI15" s="333"/>
      <c r="CJ15" s="330" t="str">
        <f t="shared" si="26"/>
        <v>0</v>
      </c>
      <c r="CK15" s="332"/>
      <c r="CL15" s="333"/>
      <c r="CM15" s="330" t="str">
        <f t="shared" si="27"/>
        <v>0</v>
      </c>
      <c r="CN15" s="332"/>
      <c r="CO15" s="333"/>
      <c r="CP15" s="330" t="str">
        <f t="shared" si="28"/>
        <v>0</v>
      </c>
      <c r="CQ15" s="332"/>
      <c r="CR15" s="333"/>
      <c r="CS15" s="330" t="str">
        <f t="shared" si="29"/>
        <v>0</v>
      </c>
      <c r="CT15" s="332"/>
      <c r="CU15" s="333"/>
      <c r="CV15" s="330" t="str">
        <f t="shared" si="30"/>
        <v>0</v>
      </c>
    </row>
    <row r="16" spans="1:131" s="335" customFormat="1" ht="22.15" customHeight="1" x14ac:dyDescent="0.25">
      <c r="A16" s="320"/>
      <c r="E16" s="326">
        <f>'2-2.근무표'!B15</f>
        <v>0</v>
      </c>
      <c r="F16" s="326" t="str">
        <f>'2-2.근무표'!C15</f>
        <v>선택</v>
      </c>
      <c r="G16" s="326">
        <f>'2-2.근무표'!D15</f>
        <v>0</v>
      </c>
      <c r="H16" s="332"/>
      <c r="I16" s="333"/>
      <c r="J16" s="330" t="str">
        <f t="shared" si="0"/>
        <v>0</v>
      </c>
      <c r="K16" s="332"/>
      <c r="L16" s="333"/>
      <c r="M16" s="330" t="str">
        <f t="shared" si="1"/>
        <v>0</v>
      </c>
      <c r="N16" s="332"/>
      <c r="O16" s="333"/>
      <c r="P16" s="330" t="str">
        <f t="shared" si="2"/>
        <v>0</v>
      </c>
      <c r="Q16" s="332"/>
      <c r="R16" s="333"/>
      <c r="S16" s="330" t="str">
        <f t="shared" si="3"/>
        <v>0</v>
      </c>
      <c r="T16" s="332"/>
      <c r="U16" s="333"/>
      <c r="V16" s="330" t="str">
        <f t="shared" si="4"/>
        <v>0</v>
      </c>
      <c r="W16" s="332"/>
      <c r="X16" s="333"/>
      <c r="Y16" s="330" t="str">
        <f t="shared" si="5"/>
        <v>0</v>
      </c>
      <c r="Z16" s="332"/>
      <c r="AA16" s="333"/>
      <c r="AB16" s="330" t="str">
        <f t="shared" si="6"/>
        <v>0</v>
      </c>
      <c r="AC16" s="332"/>
      <c r="AD16" s="333"/>
      <c r="AE16" s="330" t="str">
        <f t="shared" si="7"/>
        <v>0</v>
      </c>
      <c r="AF16" s="332"/>
      <c r="AG16" s="333"/>
      <c r="AH16" s="330" t="str">
        <f t="shared" si="8"/>
        <v>0</v>
      </c>
      <c r="AI16" s="332"/>
      <c r="AJ16" s="333"/>
      <c r="AK16" s="330" t="str">
        <f t="shared" si="9"/>
        <v>0</v>
      </c>
      <c r="AL16" s="332"/>
      <c r="AM16" s="333"/>
      <c r="AN16" s="330" t="str">
        <f t="shared" si="10"/>
        <v>0</v>
      </c>
      <c r="AO16" s="332"/>
      <c r="AP16" s="333"/>
      <c r="AQ16" s="330" t="str">
        <f t="shared" si="11"/>
        <v>0</v>
      </c>
      <c r="AR16" s="332"/>
      <c r="AS16" s="333"/>
      <c r="AT16" s="330" t="str">
        <f t="shared" si="12"/>
        <v>0</v>
      </c>
      <c r="AU16" s="332"/>
      <c r="AV16" s="333"/>
      <c r="AW16" s="330" t="str">
        <f t="shared" si="13"/>
        <v>0</v>
      </c>
      <c r="AX16" s="332"/>
      <c r="AY16" s="333"/>
      <c r="AZ16" s="330" t="str">
        <f t="shared" si="14"/>
        <v>0</v>
      </c>
      <c r="BA16" s="332"/>
      <c r="BB16" s="333"/>
      <c r="BC16" s="330" t="str">
        <f t="shared" si="15"/>
        <v>0</v>
      </c>
      <c r="BD16" s="332"/>
      <c r="BE16" s="333"/>
      <c r="BF16" s="330" t="str">
        <f t="shared" si="16"/>
        <v>0</v>
      </c>
      <c r="BG16" s="332"/>
      <c r="BH16" s="333"/>
      <c r="BI16" s="330" t="str">
        <f t="shared" si="17"/>
        <v>0</v>
      </c>
      <c r="BJ16" s="332"/>
      <c r="BK16" s="333"/>
      <c r="BL16" s="330" t="str">
        <f t="shared" si="18"/>
        <v>0</v>
      </c>
      <c r="BM16" s="332"/>
      <c r="BN16" s="333"/>
      <c r="BO16" s="330" t="str">
        <f t="shared" si="19"/>
        <v>0</v>
      </c>
      <c r="BP16" s="332"/>
      <c r="BQ16" s="333"/>
      <c r="BR16" s="330" t="str">
        <f t="shared" si="20"/>
        <v>0</v>
      </c>
      <c r="BS16" s="332"/>
      <c r="BT16" s="333"/>
      <c r="BU16" s="330" t="str">
        <f t="shared" si="21"/>
        <v>0</v>
      </c>
      <c r="BV16" s="332"/>
      <c r="BW16" s="333"/>
      <c r="BX16" s="330" t="str">
        <f t="shared" si="22"/>
        <v>0</v>
      </c>
      <c r="BY16" s="332"/>
      <c r="BZ16" s="333"/>
      <c r="CA16" s="330" t="str">
        <f t="shared" si="23"/>
        <v>0</v>
      </c>
      <c r="CB16" s="332"/>
      <c r="CC16" s="333"/>
      <c r="CD16" s="330" t="str">
        <f t="shared" si="24"/>
        <v>0</v>
      </c>
      <c r="CE16" s="332"/>
      <c r="CF16" s="333"/>
      <c r="CG16" s="330" t="str">
        <f t="shared" si="25"/>
        <v>0</v>
      </c>
      <c r="CH16" s="332"/>
      <c r="CI16" s="333"/>
      <c r="CJ16" s="330" t="str">
        <f t="shared" si="26"/>
        <v>0</v>
      </c>
      <c r="CK16" s="332"/>
      <c r="CL16" s="333"/>
      <c r="CM16" s="330" t="str">
        <f t="shared" si="27"/>
        <v>0</v>
      </c>
      <c r="CN16" s="332"/>
      <c r="CO16" s="333"/>
      <c r="CP16" s="330" t="str">
        <f t="shared" si="28"/>
        <v>0</v>
      </c>
      <c r="CQ16" s="332"/>
      <c r="CR16" s="333"/>
      <c r="CS16" s="330" t="str">
        <f t="shared" si="29"/>
        <v>0</v>
      </c>
      <c r="CT16" s="332"/>
      <c r="CU16" s="333"/>
      <c r="CV16" s="330" t="str">
        <f t="shared" si="30"/>
        <v>0</v>
      </c>
    </row>
    <row r="17" spans="1:100" s="335" customFormat="1" ht="22.15" customHeight="1" x14ac:dyDescent="0.25">
      <c r="A17" s="320"/>
      <c r="E17" s="326" t="str">
        <f>'2-2.근무표'!B16</f>
        <v>김지용</v>
      </c>
      <c r="F17" s="326" t="str">
        <f>'2-2.근무표'!C16</f>
        <v>선택</v>
      </c>
      <c r="G17" s="327">
        <f>'2-2.근무표'!D16</f>
        <v>0</v>
      </c>
      <c r="H17" s="332"/>
      <c r="I17" s="333"/>
      <c r="J17" s="330" t="str">
        <f t="shared" si="0"/>
        <v>0</v>
      </c>
      <c r="K17" s="332"/>
      <c r="L17" s="333"/>
      <c r="M17" s="330" t="str">
        <f t="shared" si="1"/>
        <v>0</v>
      </c>
      <c r="N17" s="332"/>
      <c r="O17" s="333"/>
      <c r="P17" s="330" t="str">
        <f t="shared" si="2"/>
        <v>0</v>
      </c>
      <c r="Q17" s="332"/>
      <c r="R17" s="333"/>
      <c r="S17" s="330" t="str">
        <f t="shared" si="3"/>
        <v>0</v>
      </c>
      <c r="T17" s="332"/>
      <c r="U17" s="333"/>
      <c r="V17" s="330" t="str">
        <f t="shared" si="4"/>
        <v>0</v>
      </c>
      <c r="W17" s="332"/>
      <c r="X17" s="333"/>
      <c r="Y17" s="330" t="str">
        <f t="shared" si="5"/>
        <v>0</v>
      </c>
      <c r="Z17" s="332"/>
      <c r="AA17" s="333"/>
      <c r="AB17" s="330" t="str">
        <f t="shared" si="6"/>
        <v>0</v>
      </c>
      <c r="AC17" s="332"/>
      <c r="AD17" s="333"/>
      <c r="AE17" s="330" t="str">
        <f t="shared" si="7"/>
        <v>0</v>
      </c>
      <c r="AF17" s="332"/>
      <c r="AG17" s="333"/>
      <c r="AH17" s="330" t="str">
        <f t="shared" si="8"/>
        <v>0</v>
      </c>
      <c r="AI17" s="332"/>
      <c r="AJ17" s="333"/>
      <c r="AK17" s="330" t="str">
        <f t="shared" si="9"/>
        <v>0</v>
      </c>
      <c r="AL17" s="332"/>
      <c r="AM17" s="333"/>
      <c r="AN17" s="330" t="str">
        <f t="shared" si="10"/>
        <v>0</v>
      </c>
      <c r="AO17" s="332"/>
      <c r="AP17" s="333"/>
      <c r="AQ17" s="330" t="str">
        <f t="shared" si="11"/>
        <v>0</v>
      </c>
      <c r="AR17" s="332"/>
      <c r="AS17" s="333"/>
      <c r="AT17" s="330" t="str">
        <f t="shared" si="12"/>
        <v>0</v>
      </c>
      <c r="AU17" s="332"/>
      <c r="AV17" s="333"/>
      <c r="AW17" s="330" t="str">
        <f t="shared" si="13"/>
        <v>0</v>
      </c>
      <c r="AX17" s="332"/>
      <c r="AY17" s="333"/>
      <c r="AZ17" s="330" t="str">
        <f t="shared" si="14"/>
        <v>0</v>
      </c>
      <c r="BA17" s="332"/>
      <c r="BB17" s="333"/>
      <c r="BC17" s="330" t="str">
        <f t="shared" si="15"/>
        <v>0</v>
      </c>
      <c r="BD17" s="332"/>
      <c r="BE17" s="333"/>
      <c r="BF17" s="330" t="str">
        <f t="shared" si="16"/>
        <v>0</v>
      </c>
      <c r="BG17" s="332"/>
      <c r="BH17" s="333"/>
      <c r="BI17" s="330" t="str">
        <f t="shared" si="17"/>
        <v>0</v>
      </c>
      <c r="BJ17" s="332"/>
      <c r="BK17" s="333"/>
      <c r="BL17" s="330" t="str">
        <f t="shared" si="18"/>
        <v>0</v>
      </c>
      <c r="BM17" s="332"/>
      <c r="BN17" s="333"/>
      <c r="BO17" s="330" t="str">
        <f t="shared" si="19"/>
        <v>0</v>
      </c>
      <c r="BP17" s="332"/>
      <c r="BQ17" s="333"/>
      <c r="BR17" s="330" t="str">
        <f t="shared" si="20"/>
        <v>0</v>
      </c>
      <c r="BS17" s="332"/>
      <c r="BT17" s="333"/>
      <c r="BU17" s="330" t="str">
        <f t="shared" si="21"/>
        <v>0</v>
      </c>
      <c r="BV17" s="332"/>
      <c r="BW17" s="333"/>
      <c r="BX17" s="330" t="str">
        <f t="shared" si="22"/>
        <v>0</v>
      </c>
      <c r="BY17" s="332"/>
      <c r="BZ17" s="333"/>
      <c r="CA17" s="330" t="str">
        <f t="shared" si="23"/>
        <v>0</v>
      </c>
      <c r="CB17" s="332"/>
      <c r="CC17" s="333"/>
      <c r="CD17" s="330" t="str">
        <f t="shared" si="24"/>
        <v>0</v>
      </c>
      <c r="CE17" s="332"/>
      <c r="CF17" s="333"/>
      <c r="CG17" s="330" t="str">
        <f t="shared" si="25"/>
        <v>0</v>
      </c>
      <c r="CH17" s="332"/>
      <c r="CI17" s="333"/>
      <c r="CJ17" s="330" t="str">
        <f t="shared" si="26"/>
        <v>0</v>
      </c>
      <c r="CK17" s="332"/>
      <c r="CL17" s="333"/>
      <c r="CM17" s="330" t="str">
        <f t="shared" si="27"/>
        <v>0</v>
      </c>
      <c r="CN17" s="332"/>
      <c r="CO17" s="333"/>
      <c r="CP17" s="330" t="str">
        <f>IFERROR(IF(((CO17-CN17+(CO17&lt;CN17))*24)=0,"0",(CO17-CN17+(CO17&lt;CN17))*24),"")</f>
        <v>0</v>
      </c>
      <c r="CQ17" s="332"/>
      <c r="CR17" s="333"/>
      <c r="CS17" s="330" t="str">
        <f t="shared" si="29"/>
        <v>0</v>
      </c>
      <c r="CT17" s="332"/>
      <c r="CU17" s="333"/>
      <c r="CV17" s="330" t="str">
        <f t="shared" si="30"/>
        <v>0</v>
      </c>
    </row>
    <row r="18" spans="1:100" s="335" customFormat="1" ht="22.15" customHeight="1" x14ac:dyDescent="0.25">
      <c r="A18" s="320"/>
      <c r="E18" s="326" t="str">
        <f>'2-2.근무표'!B17</f>
        <v>이도형</v>
      </c>
      <c r="F18" s="326" t="str">
        <f>'2-2.근무표'!C17</f>
        <v>선택</v>
      </c>
      <c r="G18" s="327">
        <f>'2-2.근무표'!D17</f>
        <v>0</v>
      </c>
      <c r="H18" s="332"/>
      <c r="I18" s="333"/>
      <c r="J18" s="330" t="str">
        <f t="shared" si="0"/>
        <v>0</v>
      </c>
      <c r="K18" s="332"/>
      <c r="L18" s="333"/>
      <c r="M18" s="330" t="str">
        <f t="shared" si="1"/>
        <v>0</v>
      </c>
      <c r="N18" s="332"/>
      <c r="O18" s="333"/>
      <c r="P18" s="330" t="str">
        <f t="shared" si="2"/>
        <v>0</v>
      </c>
      <c r="Q18" s="332"/>
      <c r="R18" s="333"/>
      <c r="S18" s="330" t="str">
        <f t="shared" si="3"/>
        <v>0</v>
      </c>
      <c r="T18" s="332"/>
      <c r="U18" s="333"/>
      <c r="V18" s="330" t="str">
        <f t="shared" si="4"/>
        <v>0</v>
      </c>
      <c r="W18" s="332"/>
      <c r="X18" s="333"/>
      <c r="Y18" s="330" t="str">
        <f t="shared" si="5"/>
        <v>0</v>
      </c>
      <c r="Z18" s="332"/>
      <c r="AA18" s="333"/>
      <c r="AB18" s="330" t="str">
        <f t="shared" si="6"/>
        <v>0</v>
      </c>
      <c r="AC18" s="332"/>
      <c r="AD18" s="333"/>
      <c r="AE18" s="330" t="str">
        <f t="shared" si="7"/>
        <v>0</v>
      </c>
      <c r="AF18" s="332"/>
      <c r="AG18" s="333"/>
      <c r="AH18" s="330" t="str">
        <f t="shared" si="8"/>
        <v>0</v>
      </c>
      <c r="AI18" s="332"/>
      <c r="AJ18" s="333"/>
      <c r="AK18" s="330" t="str">
        <f t="shared" si="9"/>
        <v>0</v>
      </c>
      <c r="AL18" s="332"/>
      <c r="AM18" s="333"/>
      <c r="AN18" s="330" t="str">
        <f t="shared" si="10"/>
        <v>0</v>
      </c>
      <c r="AO18" s="332"/>
      <c r="AP18" s="333"/>
      <c r="AQ18" s="330" t="str">
        <f t="shared" si="11"/>
        <v>0</v>
      </c>
      <c r="AR18" s="332"/>
      <c r="AS18" s="333"/>
      <c r="AT18" s="330" t="str">
        <f t="shared" si="12"/>
        <v>0</v>
      </c>
      <c r="AU18" s="332"/>
      <c r="AV18" s="333"/>
      <c r="AW18" s="330" t="str">
        <f t="shared" si="13"/>
        <v>0</v>
      </c>
      <c r="AX18" s="332"/>
      <c r="AY18" s="333"/>
      <c r="AZ18" s="330" t="str">
        <f t="shared" si="14"/>
        <v>0</v>
      </c>
      <c r="BA18" s="332"/>
      <c r="BB18" s="333"/>
      <c r="BC18" s="330" t="str">
        <f t="shared" si="15"/>
        <v>0</v>
      </c>
      <c r="BD18" s="332"/>
      <c r="BE18" s="333"/>
      <c r="BF18" s="330" t="str">
        <f t="shared" si="16"/>
        <v>0</v>
      </c>
      <c r="BG18" s="332"/>
      <c r="BH18" s="333"/>
      <c r="BI18" s="330" t="str">
        <f t="shared" si="17"/>
        <v>0</v>
      </c>
      <c r="BJ18" s="332"/>
      <c r="BK18" s="333"/>
      <c r="BL18" s="330" t="str">
        <f t="shared" si="18"/>
        <v>0</v>
      </c>
      <c r="BM18" s="332"/>
      <c r="BN18" s="333"/>
      <c r="BO18" s="330" t="str">
        <f t="shared" si="19"/>
        <v>0</v>
      </c>
      <c r="BP18" s="332"/>
      <c r="BQ18" s="333"/>
      <c r="BR18" s="330" t="str">
        <f t="shared" si="20"/>
        <v>0</v>
      </c>
      <c r="BS18" s="332"/>
      <c r="BT18" s="333"/>
      <c r="BU18" s="330" t="str">
        <f t="shared" si="21"/>
        <v>0</v>
      </c>
      <c r="BV18" s="332"/>
      <c r="BW18" s="333"/>
      <c r="BX18" s="330" t="str">
        <f t="shared" si="22"/>
        <v>0</v>
      </c>
      <c r="BY18" s="332"/>
      <c r="BZ18" s="333"/>
      <c r="CA18" s="330" t="str">
        <f t="shared" si="23"/>
        <v>0</v>
      </c>
      <c r="CB18" s="332"/>
      <c r="CC18" s="333"/>
      <c r="CD18" s="330" t="str">
        <f t="shared" si="24"/>
        <v>0</v>
      </c>
      <c r="CE18" s="332"/>
      <c r="CF18" s="333"/>
      <c r="CG18" s="330" t="str">
        <f t="shared" si="25"/>
        <v>0</v>
      </c>
      <c r="CH18" s="332"/>
      <c r="CI18" s="333"/>
      <c r="CJ18" s="330" t="str">
        <f t="shared" si="26"/>
        <v>0</v>
      </c>
      <c r="CK18" s="332"/>
      <c r="CL18" s="333"/>
      <c r="CM18" s="330" t="str">
        <f t="shared" si="27"/>
        <v>0</v>
      </c>
      <c r="CN18" s="332"/>
      <c r="CO18" s="333"/>
      <c r="CP18" s="330" t="str">
        <f>IFERROR(IF(((CO18-CN18+(CO18&lt;CN18))*24)=0,"0",(CO18-CN18+(CO18&lt;CN18))*24),"")</f>
        <v>0</v>
      </c>
      <c r="CQ18" s="332"/>
      <c r="CR18" s="333"/>
      <c r="CS18" s="330" t="str">
        <f t="shared" si="29"/>
        <v>0</v>
      </c>
      <c r="CT18" s="332"/>
      <c r="CU18" s="333"/>
      <c r="CV18" s="330" t="str">
        <f t="shared" si="30"/>
        <v>0</v>
      </c>
    </row>
    <row r="19" spans="1:100" s="335" customFormat="1" ht="22.15" customHeight="1" x14ac:dyDescent="0.25">
      <c r="A19" s="320"/>
      <c r="E19" s="326">
        <f>'2-2.근무표'!B18</f>
        <v>0</v>
      </c>
      <c r="F19" s="326" t="str">
        <f>'2-2.근무표'!C18</f>
        <v>선택</v>
      </c>
      <c r="G19" s="327">
        <f>'2-2.근무표'!D18</f>
        <v>0</v>
      </c>
      <c r="H19" s="332"/>
      <c r="I19" s="333"/>
      <c r="J19" s="330" t="str">
        <f t="shared" si="0"/>
        <v>0</v>
      </c>
      <c r="K19" s="332"/>
      <c r="L19" s="333"/>
      <c r="M19" s="330" t="str">
        <f t="shared" si="1"/>
        <v>0</v>
      </c>
      <c r="N19" s="332"/>
      <c r="O19" s="333"/>
      <c r="P19" s="330" t="str">
        <f t="shared" si="2"/>
        <v>0</v>
      </c>
      <c r="Q19" s="332"/>
      <c r="R19" s="333"/>
      <c r="S19" s="330" t="str">
        <f t="shared" si="3"/>
        <v>0</v>
      </c>
      <c r="T19" s="332"/>
      <c r="U19" s="333"/>
      <c r="V19" s="330" t="str">
        <f t="shared" si="4"/>
        <v>0</v>
      </c>
      <c r="W19" s="332"/>
      <c r="X19" s="333"/>
      <c r="Y19" s="330" t="str">
        <f t="shared" si="5"/>
        <v>0</v>
      </c>
      <c r="Z19" s="332"/>
      <c r="AA19" s="333"/>
      <c r="AB19" s="330" t="str">
        <f t="shared" si="6"/>
        <v>0</v>
      </c>
      <c r="AC19" s="332"/>
      <c r="AD19" s="333"/>
      <c r="AE19" s="330" t="str">
        <f t="shared" si="7"/>
        <v>0</v>
      </c>
      <c r="AF19" s="332"/>
      <c r="AG19" s="333"/>
      <c r="AH19" s="330" t="str">
        <f t="shared" si="8"/>
        <v>0</v>
      </c>
      <c r="AI19" s="332"/>
      <c r="AJ19" s="333"/>
      <c r="AK19" s="330" t="str">
        <f t="shared" si="9"/>
        <v>0</v>
      </c>
      <c r="AL19" s="332"/>
      <c r="AM19" s="333"/>
      <c r="AN19" s="330" t="str">
        <f t="shared" si="10"/>
        <v>0</v>
      </c>
      <c r="AO19" s="332"/>
      <c r="AP19" s="333"/>
      <c r="AQ19" s="330" t="str">
        <f t="shared" si="11"/>
        <v>0</v>
      </c>
      <c r="AR19" s="332"/>
      <c r="AS19" s="333"/>
      <c r="AT19" s="330" t="str">
        <f t="shared" si="12"/>
        <v>0</v>
      </c>
      <c r="AU19" s="332"/>
      <c r="AV19" s="333"/>
      <c r="AW19" s="330" t="str">
        <f t="shared" si="13"/>
        <v>0</v>
      </c>
      <c r="AX19" s="332"/>
      <c r="AY19" s="333"/>
      <c r="AZ19" s="330" t="str">
        <f t="shared" si="14"/>
        <v>0</v>
      </c>
      <c r="BA19" s="332"/>
      <c r="BB19" s="333"/>
      <c r="BC19" s="330" t="str">
        <f t="shared" si="15"/>
        <v>0</v>
      </c>
      <c r="BD19" s="332"/>
      <c r="BE19" s="333"/>
      <c r="BF19" s="330" t="str">
        <f t="shared" si="16"/>
        <v>0</v>
      </c>
      <c r="BG19" s="332"/>
      <c r="BH19" s="333"/>
      <c r="BI19" s="330" t="str">
        <f t="shared" si="17"/>
        <v>0</v>
      </c>
      <c r="BJ19" s="332"/>
      <c r="BK19" s="333"/>
      <c r="BL19" s="330" t="str">
        <f t="shared" si="18"/>
        <v>0</v>
      </c>
      <c r="BM19" s="332"/>
      <c r="BN19" s="333"/>
      <c r="BO19" s="330" t="str">
        <f t="shared" si="19"/>
        <v>0</v>
      </c>
      <c r="BP19" s="332"/>
      <c r="BQ19" s="333"/>
      <c r="BR19" s="330" t="str">
        <f t="shared" si="20"/>
        <v>0</v>
      </c>
      <c r="BS19" s="332"/>
      <c r="BT19" s="333"/>
      <c r="BU19" s="330" t="str">
        <f t="shared" si="21"/>
        <v>0</v>
      </c>
      <c r="BV19" s="332"/>
      <c r="BW19" s="333"/>
      <c r="BX19" s="330" t="str">
        <f t="shared" si="22"/>
        <v>0</v>
      </c>
      <c r="BY19" s="332"/>
      <c r="BZ19" s="333"/>
      <c r="CA19" s="330" t="str">
        <f t="shared" si="23"/>
        <v>0</v>
      </c>
      <c r="CB19" s="332"/>
      <c r="CC19" s="333"/>
      <c r="CD19" s="330" t="str">
        <f t="shared" si="24"/>
        <v>0</v>
      </c>
      <c r="CE19" s="332"/>
      <c r="CF19" s="333"/>
      <c r="CG19" s="330" t="str">
        <f t="shared" si="25"/>
        <v>0</v>
      </c>
      <c r="CH19" s="332"/>
      <c r="CI19" s="333"/>
      <c r="CJ19" s="330" t="str">
        <f t="shared" si="26"/>
        <v>0</v>
      </c>
      <c r="CK19" s="332"/>
      <c r="CL19" s="333"/>
      <c r="CM19" s="330" t="str">
        <f t="shared" si="27"/>
        <v>0</v>
      </c>
      <c r="CN19" s="332"/>
      <c r="CO19" s="333"/>
      <c r="CP19" s="330" t="str">
        <f>IFERROR(IF(((CO19-CN19+(CO19&lt;CN19))*24)=0,"0",(CO19-CN19+(CO19&lt;CN19))*24),"")</f>
        <v>0</v>
      </c>
      <c r="CQ19" s="332"/>
      <c r="CR19" s="333"/>
      <c r="CS19" s="330" t="str">
        <f t="shared" si="29"/>
        <v>0</v>
      </c>
      <c r="CT19" s="332"/>
      <c r="CU19" s="333"/>
      <c r="CV19" s="330" t="str">
        <f t="shared" si="30"/>
        <v>0</v>
      </c>
    </row>
    <row r="20" spans="1:100" s="335" customFormat="1" ht="22.15" customHeight="1" x14ac:dyDescent="0.25">
      <c r="A20" s="320"/>
      <c r="E20" s="326">
        <f>'2-2.근무표'!B19</f>
        <v>0</v>
      </c>
      <c r="F20" s="326" t="str">
        <f>'2-2.근무표'!C19</f>
        <v>선택</v>
      </c>
      <c r="G20" s="327">
        <f>'2-2.근무표'!D19</f>
        <v>0</v>
      </c>
      <c r="H20" s="332"/>
      <c r="I20" s="333"/>
      <c r="J20" s="330" t="str">
        <f t="shared" si="0"/>
        <v>0</v>
      </c>
      <c r="K20" s="332"/>
      <c r="L20" s="333"/>
      <c r="M20" s="330" t="str">
        <f t="shared" si="1"/>
        <v>0</v>
      </c>
      <c r="N20" s="332"/>
      <c r="O20" s="333"/>
      <c r="P20" s="330" t="str">
        <f t="shared" si="2"/>
        <v>0</v>
      </c>
      <c r="Q20" s="332"/>
      <c r="R20" s="333"/>
      <c r="S20" s="330" t="str">
        <f t="shared" si="3"/>
        <v>0</v>
      </c>
      <c r="T20" s="332"/>
      <c r="U20" s="333"/>
      <c r="V20" s="330" t="str">
        <f t="shared" si="4"/>
        <v>0</v>
      </c>
      <c r="W20" s="332"/>
      <c r="X20" s="333"/>
      <c r="Y20" s="330" t="str">
        <f t="shared" si="5"/>
        <v>0</v>
      </c>
      <c r="Z20" s="332"/>
      <c r="AA20" s="333"/>
      <c r="AB20" s="330" t="str">
        <f t="shared" si="6"/>
        <v>0</v>
      </c>
      <c r="AC20" s="332"/>
      <c r="AD20" s="333"/>
      <c r="AE20" s="330" t="str">
        <f t="shared" si="7"/>
        <v>0</v>
      </c>
      <c r="AF20" s="332"/>
      <c r="AG20" s="333"/>
      <c r="AH20" s="330" t="str">
        <f t="shared" si="8"/>
        <v>0</v>
      </c>
      <c r="AI20" s="332"/>
      <c r="AJ20" s="333"/>
      <c r="AK20" s="330" t="str">
        <f t="shared" si="9"/>
        <v>0</v>
      </c>
      <c r="AL20" s="332"/>
      <c r="AM20" s="333"/>
      <c r="AN20" s="330" t="str">
        <f t="shared" si="10"/>
        <v>0</v>
      </c>
      <c r="AO20" s="332"/>
      <c r="AP20" s="333"/>
      <c r="AQ20" s="330" t="str">
        <f t="shared" si="11"/>
        <v>0</v>
      </c>
      <c r="AR20" s="332"/>
      <c r="AS20" s="333"/>
      <c r="AT20" s="330" t="str">
        <f t="shared" si="12"/>
        <v>0</v>
      </c>
      <c r="AU20" s="332"/>
      <c r="AV20" s="333"/>
      <c r="AW20" s="330" t="str">
        <f t="shared" si="13"/>
        <v>0</v>
      </c>
      <c r="AX20" s="332"/>
      <c r="AY20" s="333"/>
      <c r="AZ20" s="330" t="str">
        <f t="shared" si="14"/>
        <v>0</v>
      </c>
      <c r="BA20" s="332"/>
      <c r="BB20" s="333"/>
      <c r="BC20" s="330" t="str">
        <f t="shared" si="15"/>
        <v>0</v>
      </c>
      <c r="BD20" s="332"/>
      <c r="BE20" s="333"/>
      <c r="BF20" s="330" t="str">
        <f t="shared" si="16"/>
        <v>0</v>
      </c>
      <c r="BG20" s="332"/>
      <c r="BH20" s="333"/>
      <c r="BI20" s="330" t="str">
        <f t="shared" si="17"/>
        <v>0</v>
      </c>
      <c r="BJ20" s="332"/>
      <c r="BK20" s="333"/>
      <c r="BL20" s="330" t="str">
        <f t="shared" si="18"/>
        <v>0</v>
      </c>
      <c r="BM20" s="332"/>
      <c r="BN20" s="333"/>
      <c r="BO20" s="330" t="str">
        <f t="shared" si="19"/>
        <v>0</v>
      </c>
      <c r="BP20" s="332"/>
      <c r="BQ20" s="333"/>
      <c r="BR20" s="330" t="str">
        <f t="shared" si="20"/>
        <v>0</v>
      </c>
      <c r="BS20" s="332"/>
      <c r="BT20" s="333"/>
      <c r="BU20" s="330" t="str">
        <f t="shared" si="21"/>
        <v>0</v>
      </c>
      <c r="BV20" s="332"/>
      <c r="BW20" s="333"/>
      <c r="BX20" s="330" t="str">
        <f t="shared" si="22"/>
        <v>0</v>
      </c>
      <c r="BY20" s="332"/>
      <c r="BZ20" s="333"/>
      <c r="CA20" s="330" t="str">
        <f t="shared" si="23"/>
        <v>0</v>
      </c>
      <c r="CB20" s="332"/>
      <c r="CC20" s="333"/>
      <c r="CD20" s="330" t="str">
        <f t="shared" si="24"/>
        <v>0</v>
      </c>
      <c r="CE20" s="332"/>
      <c r="CF20" s="333"/>
      <c r="CG20" s="330" t="str">
        <f t="shared" si="25"/>
        <v>0</v>
      </c>
      <c r="CH20" s="332"/>
      <c r="CI20" s="333"/>
      <c r="CJ20" s="330" t="str">
        <f t="shared" si="26"/>
        <v>0</v>
      </c>
      <c r="CK20" s="332"/>
      <c r="CL20" s="333"/>
      <c r="CM20" s="330" t="str">
        <f t="shared" si="27"/>
        <v>0</v>
      </c>
      <c r="CN20" s="332"/>
      <c r="CO20" s="333"/>
      <c r="CP20" s="330" t="str">
        <f>IFERROR(IF(((CO20-CN20+(CO20&lt;CN20))*24)=0,"0",(CO20-CN20+(CO20&lt;CN20))*24),"")</f>
        <v>0</v>
      </c>
      <c r="CQ20" s="332"/>
      <c r="CR20" s="333"/>
      <c r="CS20" s="330" t="str">
        <f t="shared" si="29"/>
        <v>0</v>
      </c>
      <c r="CT20" s="332"/>
      <c r="CU20" s="333"/>
      <c r="CV20" s="330" t="str">
        <f t="shared" si="30"/>
        <v>0</v>
      </c>
    </row>
    <row r="21" spans="1:100" s="335" customFormat="1" ht="22.15" customHeight="1" x14ac:dyDescent="0.25">
      <c r="A21" s="320"/>
      <c r="E21" s="326">
        <f>'2-2.근무표'!B20</f>
        <v>0</v>
      </c>
      <c r="F21" s="326" t="str">
        <f>'2-2.근무표'!C20</f>
        <v>선택</v>
      </c>
      <c r="G21" s="327">
        <f>'2-2.근무표'!D20</f>
        <v>0</v>
      </c>
      <c r="H21" s="332"/>
      <c r="I21" s="333"/>
      <c r="J21" s="330" t="str">
        <f t="shared" si="0"/>
        <v>0</v>
      </c>
      <c r="K21" s="332"/>
      <c r="L21" s="333"/>
      <c r="M21" s="330" t="str">
        <f t="shared" si="1"/>
        <v>0</v>
      </c>
      <c r="N21" s="332"/>
      <c r="O21" s="333"/>
      <c r="P21" s="330" t="str">
        <f t="shared" si="2"/>
        <v>0</v>
      </c>
      <c r="Q21" s="332"/>
      <c r="R21" s="333"/>
      <c r="S21" s="330" t="str">
        <f t="shared" si="3"/>
        <v>0</v>
      </c>
      <c r="T21" s="332"/>
      <c r="U21" s="333"/>
      <c r="V21" s="330" t="str">
        <f t="shared" si="4"/>
        <v>0</v>
      </c>
      <c r="W21" s="332"/>
      <c r="X21" s="333"/>
      <c r="Y21" s="330" t="str">
        <f t="shared" si="5"/>
        <v>0</v>
      </c>
      <c r="Z21" s="332"/>
      <c r="AA21" s="333"/>
      <c r="AB21" s="330" t="str">
        <f t="shared" si="6"/>
        <v>0</v>
      </c>
      <c r="AC21" s="332"/>
      <c r="AD21" s="333"/>
      <c r="AE21" s="330" t="str">
        <f t="shared" si="7"/>
        <v>0</v>
      </c>
      <c r="AF21" s="332"/>
      <c r="AG21" s="333"/>
      <c r="AH21" s="330" t="str">
        <f t="shared" si="8"/>
        <v>0</v>
      </c>
      <c r="AI21" s="332"/>
      <c r="AJ21" s="333"/>
      <c r="AK21" s="330" t="str">
        <f t="shared" si="9"/>
        <v>0</v>
      </c>
      <c r="AL21" s="332"/>
      <c r="AM21" s="333"/>
      <c r="AN21" s="330" t="str">
        <f t="shared" si="10"/>
        <v>0</v>
      </c>
      <c r="AO21" s="332"/>
      <c r="AP21" s="333"/>
      <c r="AQ21" s="330" t="str">
        <f t="shared" si="11"/>
        <v>0</v>
      </c>
      <c r="AR21" s="332"/>
      <c r="AS21" s="333"/>
      <c r="AT21" s="330" t="str">
        <f t="shared" si="12"/>
        <v>0</v>
      </c>
      <c r="AU21" s="332"/>
      <c r="AV21" s="333"/>
      <c r="AW21" s="330" t="str">
        <f t="shared" si="13"/>
        <v>0</v>
      </c>
      <c r="AX21" s="332"/>
      <c r="AY21" s="333"/>
      <c r="AZ21" s="330" t="str">
        <f t="shared" si="14"/>
        <v>0</v>
      </c>
      <c r="BA21" s="332"/>
      <c r="BB21" s="333"/>
      <c r="BC21" s="330" t="str">
        <f t="shared" si="15"/>
        <v>0</v>
      </c>
      <c r="BD21" s="332"/>
      <c r="BE21" s="333"/>
      <c r="BF21" s="330" t="str">
        <f t="shared" si="16"/>
        <v>0</v>
      </c>
      <c r="BG21" s="332"/>
      <c r="BH21" s="333"/>
      <c r="BI21" s="330" t="str">
        <f t="shared" si="17"/>
        <v>0</v>
      </c>
      <c r="BJ21" s="332"/>
      <c r="BK21" s="333"/>
      <c r="BL21" s="330" t="str">
        <f t="shared" si="18"/>
        <v>0</v>
      </c>
      <c r="BM21" s="332"/>
      <c r="BN21" s="333"/>
      <c r="BO21" s="330" t="str">
        <f t="shared" si="19"/>
        <v>0</v>
      </c>
      <c r="BP21" s="332"/>
      <c r="BQ21" s="333"/>
      <c r="BR21" s="330" t="str">
        <f t="shared" si="20"/>
        <v>0</v>
      </c>
      <c r="BS21" s="332"/>
      <c r="BT21" s="333"/>
      <c r="BU21" s="330" t="str">
        <f t="shared" si="21"/>
        <v>0</v>
      </c>
      <c r="BV21" s="332"/>
      <c r="BW21" s="333"/>
      <c r="BX21" s="330" t="str">
        <f t="shared" si="22"/>
        <v>0</v>
      </c>
      <c r="BY21" s="332"/>
      <c r="BZ21" s="333"/>
      <c r="CA21" s="330" t="str">
        <f t="shared" si="23"/>
        <v>0</v>
      </c>
      <c r="CB21" s="332"/>
      <c r="CC21" s="333"/>
      <c r="CD21" s="330" t="str">
        <f t="shared" si="24"/>
        <v>0</v>
      </c>
      <c r="CE21" s="332"/>
      <c r="CF21" s="333"/>
      <c r="CG21" s="330" t="str">
        <f t="shared" si="25"/>
        <v>0</v>
      </c>
      <c r="CH21" s="332"/>
      <c r="CI21" s="333"/>
      <c r="CJ21" s="330" t="str">
        <f t="shared" si="26"/>
        <v>0</v>
      </c>
      <c r="CK21" s="332"/>
      <c r="CL21" s="333"/>
      <c r="CM21" s="330" t="str">
        <f t="shared" si="27"/>
        <v>0</v>
      </c>
      <c r="CN21" s="332"/>
      <c r="CO21" s="333"/>
      <c r="CP21" s="330" t="str">
        <f>IFERROR(IF(((CO21-CN21+(CO21&lt;CN21))*24)=0,"0",(CO21-CN21+(CO21&lt;CN21))*24),"")</f>
        <v>0</v>
      </c>
      <c r="CQ21" s="332"/>
      <c r="CR21" s="333"/>
      <c r="CS21" s="330" t="str">
        <f t="shared" si="29"/>
        <v>0</v>
      </c>
      <c r="CT21" s="332"/>
      <c r="CU21" s="333"/>
      <c r="CV21" s="330" t="str">
        <f t="shared" si="30"/>
        <v>0</v>
      </c>
    </row>
    <row r="22" spans="1:100" s="335" customFormat="1" ht="22.15" customHeight="1" x14ac:dyDescent="0.25">
      <c r="A22" s="320"/>
      <c r="E22" s="326">
        <f>'2-2.근무표'!B21</f>
        <v>0</v>
      </c>
      <c r="F22" s="326" t="str">
        <f>'2-2.근무표'!C21</f>
        <v>선택</v>
      </c>
      <c r="G22" s="327">
        <f>'2-2.근무표'!D21</f>
        <v>0</v>
      </c>
      <c r="H22" s="332"/>
      <c r="I22" s="333"/>
      <c r="J22" s="330" t="str">
        <f t="shared" si="0"/>
        <v>0</v>
      </c>
      <c r="K22" s="332"/>
      <c r="L22" s="333"/>
      <c r="M22" s="330" t="str">
        <f t="shared" si="1"/>
        <v>0</v>
      </c>
      <c r="N22" s="332"/>
      <c r="O22" s="333"/>
      <c r="P22" s="330" t="str">
        <f t="shared" si="2"/>
        <v>0</v>
      </c>
      <c r="Q22" s="332"/>
      <c r="R22" s="333"/>
      <c r="S22" s="330" t="str">
        <f t="shared" si="3"/>
        <v>0</v>
      </c>
      <c r="T22" s="332"/>
      <c r="U22" s="333"/>
      <c r="V22" s="330" t="str">
        <f t="shared" si="4"/>
        <v>0</v>
      </c>
      <c r="W22" s="332"/>
      <c r="X22" s="333"/>
      <c r="Y22" s="330" t="str">
        <f t="shared" si="5"/>
        <v>0</v>
      </c>
      <c r="Z22" s="332"/>
      <c r="AA22" s="333"/>
      <c r="AB22" s="330" t="str">
        <f t="shared" si="6"/>
        <v>0</v>
      </c>
      <c r="AC22" s="332"/>
      <c r="AD22" s="333"/>
      <c r="AE22" s="330" t="str">
        <f t="shared" si="7"/>
        <v>0</v>
      </c>
      <c r="AF22" s="332"/>
      <c r="AG22" s="333"/>
      <c r="AH22" s="330" t="str">
        <f t="shared" si="8"/>
        <v>0</v>
      </c>
      <c r="AI22" s="332"/>
      <c r="AJ22" s="333"/>
      <c r="AK22" s="330" t="str">
        <f t="shared" si="9"/>
        <v>0</v>
      </c>
      <c r="AL22" s="332"/>
      <c r="AM22" s="333"/>
      <c r="AN22" s="330" t="str">
        <f t="shared" si="10"/>
        <v>0</v>
      </c>
      <c r="AO22" s="332"/>
      <c r="AP22" s="333"/>
      <c r="AQ22" s="330" t="str">
        <f t="shared" si="11"/>
        <v>0</v>
      </c>
      <c r="AR22" s="332"/>
      <c r="AS22" s="333"/>
      <c r="AT22" s="330" t="str">
        <f t="shared" si="12"/>
        <v>0</v>
      </c>
      <c r="AU22" s="332"/>
      <c r="AV22" s="333"/>
      <c r="AW22" s="330" t="str">
        <f t="shared" si="13"/>
        <v>0</v>
      </c>
      <c r="AX22" s="332"/>
      <c r="AY22" s="333"/>
      <c r="AZ22" s="330" t="str">
        <f t="shared" si="14"/>
        <v>0</v>
      </c>
      <c r="BA22" s="332"/>
      <c r="BB22" s="333"/>
      <c r="BC22" s="330" t="str">
        <f t="shared" si="15"/>
        <v>0</v>
      </c>
      <c r="BD22" s="332"/>
      <c r="BE22" s="333"/>
      <c r="BF22" s="330" t="str">
        <f t="shared" si="16"/>
        <v>0</v>
      </c>
      <c r="BG22" s="332"/>
      <c r="BH22" s="333"/>
      <c r="BI22" s="330" t="str">
        <f t="shared" si="17"/>
        <v>0</v>
      </c>
      <c r="BJ22" s="332"/>
      <c r="BK22" s="333"/>
      <c r="BL22" s="330" t="str">
        <f t="shared" si="18"/>
        <v>0</v>
      </c>
      <c r="BM22" s="332"/>
      <c r="BN22" s="333"/>
      <c r="BO22" s="330" t="str">
        <f t="shared" si="19"/>
        <v>0</v>
      </c>
      <c r="BP22" s="332"/>
      <c r="BQ22" s="333"/>
      <c r="BR22" s="330" t="str">
        <f t="shared" si="20"/>
        <v>0</v>
      </c>
      <c r="BS22" s="332"/>
      <c r="BT22" s="333"/>
      <c r="BU22" s="330" t="str">
        <f t="shared" si="21"/>
        <v>0</v>
      </c>
      <c r="BV22" s="332"/>
      <c r="BW22" s="333"/>
      <c r="BX22" s="330" t="str">
        <f t="shared" si="22"/>
        <v>0</v>
      </c>
      <c r="BY22" s="332"/>
      <c r="BZ22" s="333"/>
      <c r="CA22" s="330" t="str">
        <f t="shared" si="23"/>
        <v>0</v>
      </c>
      <c r="CB22" s="332"/>
      <c r="CC22" s="333"/>
      <c r="CD22" s="330" t="str">
        <f t="shared" si="24"/>
        <v>0</v>
      </c>
      <c r="CE22" s="332"/>
      <c r="CF22" s="333"/>
      <c r="CG22" s="330" t="str">
        <f t="shared" si="25"/>
        <v>0</v>
      </c>
      <c r="CH22" s="332"/>
      <c r="CI22" s="333"/>
      <c r="CJ22" s="330" t="str">
        <f t="shared" si="26"/>
        <v>0</v>
      </c>
      <c r="CK22" s="332"/>
      <c r="CL22" s="333"/>
      <c r="CM22" s="330" t="str">
        <f t="shared" si="27"/>
        <v>0</v>
      </c>
      <c r="CN22" s="332"/>
      <c r="CO22" s="333"/>
      <c r="CP22" s="330" t="str">
        <f t="shared" si="28"/>
        <v>0</v>
      </c>
      <c r="CQ22" s="332"/>
      <c r="CR22" s="333"/>
      <c r="CS22" s="330" t="str">
        <f t="shared" si="29"/>
        <v>0</v>
      </c>
      <c r="CT22" s="332"/>
      <c r="CU22" s="333"/>
      <c r="CV22" s="330" t="str">
        <f t="shared" si="30"/>
        <v>0</v>
      </c>
    </row>
    <row r="23" spans="1:100" s="335" customFormat="1" ht="22.15" customHeight="1" x14ac:dyDescent="0.25">
      <c r="A23" s="320"/>
      <c r="E23" s="326">
        <f>'2-2.근무표'!B22</f>
        <v>0</v>
      </c>
      <c r="F23" s="326" t="str">
        <f>'2-2.근무표'!C22</f>
        <v>선택</v>
      </c>
      <c r="G23" s="327">
        <f>'2-2.근무표'!D22</f>
        <v>0</v>
      </c>
      <c r="H23" s="332"/>
      <c r="I23" s="333"/>
      <c r="J23" s="330" t="str">
        <f t="shared" si="0"/>
        <v>0</v>
      </c>
      <c r="K23" s="332"/>
      <c r="L23" s="333"/>
      <c r="M23" s="330" t="str">
        <f t="shared" si="1"/>
        <v>0</v>
      </c>
      <c r="N23" s="332"/>
      <c r="O23" s="333"/>
      <c r="P23" s="330" t="str">
        <f t="shared" si="2"/>
        <v>0</v>
      </c>
      <c r="Q23" s="332"/>
      <c r="R23" s="333"/>
      <c r="S23" s="330" t="str">
        <f t="shared" si="3"/>
        <v>0</v>
      </c>
      <c r="T23" s="332"/>
      <c r="U23" s="333"/>
      <c r="V23" s="330" t="str">
        <f t="shared" si="4"/>
        <v>0</v>
      </c>
      <c r="W23" s="332"/>
      <c r="X23" s="333"/>
      <c r="Y23" s="330" t="str">
        <f t="shared" si="5"/>
        <v>0</v>
      </c>
      <c r="Z23" s="332"/>
      <c r="AA23" s="333"/>
      <c r="AB23" s="330" t="str">
        <f t="shared" si="6"/>
        <v>0</v>
      </c>
      <c r="AC23" s="332"/>
      <c r="AD23" s="333"/>
      <c r="AE23" s="330" t="str">
        <f t="shared" si="7"/>
        <v>0</v>
      </c>
      <c r="AF23" s="332"/>
      <c r="AG23" s="333"/>
      <c r="AH23" s="330" t="str">
        <f t="shared" si="8"/>
        <v>0</v>
      </c>
      <c r="AI23" s="332"/>
      <c r="AJ23" s="333"/>
      <c r="AK23" s="330" t="str">
        <f t="shared" si="9"/>
        <v>0</v>
      </c>
      <c r="AL23" s="332"/>
      <c r="AM23" s="333"/>
      <c r="AN23" s="330" t="str">
        <f t="shared" si="10"/>
        <v>0</v>
      </c>
      <c r="AO23" s="332"/>
      <c r="AP23" s="333"/>
      <c r="AQ23" s="330" t="str">
        <f t="shared" si="11"/>
        <v>0</v>
      </c>
      <c r="AR23" s="332"/>
      <c r="AS23" s="333"/>
      <c r="AT23" s="330" t="str">
        <f t="shared" si="12"/>
        <v>0</v>
      </c>
      <c r="AU23" s="332"/>
      <c r="AV23" s="333"/>
      <c r="AW23" s="330" t="str">
        <f t="shared" si="13"/>
        <v>0</v>
      </c>
      <c r="AX23" s="332"/>
      <c r="AY23" s="333"/>
      <c r="AZ23" s="330" t="str">
        <f t="shared" si="14"/>
        <v>0</v>
      </c>
      <c r="BA23" s="332"/>
      <c r="BB23" s="333"/>
      <c r="BC23" s="330" t="str">
        <f t="shared" si="15"/>
        <v>0</v>
      </c>
      <c r="BD23" s="332"/>
      <c r="BE23" s="333"/>
      <c r="BF23" s="330" t="str">
        <f t="shared" si="16"/>
        <v>0</v>
      </c>
      <c r="BG23" s="332"/>
      <c r="BH23" s="333"/>
      <c r="BI23" s="330" t="str">
        <f t="shared" si="17"/>
        <v>0</v>
      </c>
      <c r="BJ23" s="332"/>
      <c r="BK23" s="333"/>
      <c r="BL23" s="330" t="str">
        <f t="shared" si="18"/>
        <v>0</v>
      </c>
      <c r="BM23" s="332"/>
      <c r="BN23" s="333"/>
      <c r="BO23" s="330" t="str">
        <f t="shared" si="19"/>
        <v>0</v>
      </c>
      <c r="BP23" s="332"/>
      <c r="BQ23" s="333"/>
      <c r="BR23" s="330" t="str">
        <f t="shared" si="20"/>
        <v>0</v>
      </c>
      <c r="BS23" s="332"/>
      <c r="BT23" s="333"/>
      <c r="BU23" s="330" t="str">
        <f t="shared" si="21"/>
        <v>0</v>
      </c>
      <c r="BV23" s="332"/>
      <c r="BW23" s="333"/>
      <c r="BX23" s="330" t="str">
        <f t="shared" si="22"/>
        <v>0</v>
      </c>
      <c r="BY23" s="332"/>
      <c r="BZ23" s="333"/>
      <c r="CA23" s="330" t="str">
        <f t="shared" si="23"/>
        <v>0</v>
      </c>
      <c r="CB23" s="332"/>
      <c r="CC23" s="333"/>
      <c r="CD23" s="330" t="str">
        <f t="shared" si="24"/>
        <v>0</v>
      </c>
      <c r="CE23" s="332"/>
      <c r="CF23" s="333"/>
      <c r="CG23" s="330" t="str">
        <f t="shared" si="25"/>
        <v>0</v>
      </c>
      <c r="CH23" s="332"/>
      <c r="CI23" s="333"/>
      <c r="CJ23" s="330" t="str">
        <f t="shared" si="26"/>
        <v>0</v>
      </c>
      <c r="CK23" s="332"/>
      <c r="CL23" s="333"/>
      <c r="CM23" s="330" t="str">
        <f t="shared" si="27"/>
        <v>0</v>
      </c>
      <c r="CN23" s="332"/>
      <c r="CO23" s="333"/>
      <c r="CP23" s="330" t="str">
        <f t="shared" si="28"/>
        <v>0</v>
      </c>
      <c r="CQ23" s="332"/>
      <c r="CR23" s="333"/>
      <c r="CS23" s="330" t="str">
        <f t="shared" si="29"/>
        <v>0</v>
      </c>
      <c r="CT23" s="332"/>
      <c r="CU23" s="333"/>
      <c r="CV23" s="330" t="str">
        <f t="shared" si="30"/>
        <v>0</v>
      </c>
    </row>
    <row r="24" spans="1:100" s="335" customFormat="1" ht="22.15" customHeight="1" x14ac:dyDescent="0.25">
      <c r="A24" s="320"/>
      <c r="E24" s="326">
        <f>'2-2.근무표'!B23</f>
        <v>0</v>
      </c>
      <c r="F24" s="326" t="str">
        <f>'2-2.근무표'!C23</f>
        <v>선택</v>
      </c>
      <c r="G24" s="327">
        <f>'2-2.근무표'!D23</f>
        <v>0</v>
      </c>
      <c r="H24" s="332"/>
      <c r="I24" s="333"/>
      <c r="J24" s="330" t="str">
        <f t="shared" si="0"/>
        <v>0</v>
      </c>
      <c r="K24" s="332"/>
      <c r="L24" s="333"/>
      <c r="M24" s="330" t="str">
        <f t="shared" si="1"/>
        <v>0</v>
      </c>
      <c r="N24" s="332"/>
      <c r="O24" s="333"/>
      <c r="P24" s="330" t="str">
        <f t="shared" si="2"/>
        <v>0</v>
      </c>
      <c r="Q24" s="332"/>
      <c r="R24" s="333"/>
      <c r="S24" s="330" t="str">
        <f t="shared" si="3"/>
        <v>0</v>
      </c>
      <c r="T24" s="332"/>
      <c r="U24" s="333"/>
      <c r="V24" s="330" t="str">
        <f t="shared" si="4"/>
        <v>0</v>
      </c>
      <c r="W24" s="332"/>
      <c r="X24" s="333"/>
      <c r="Y24" s="330" t="str">
        <f t="shared" si="5"/>
        <v>0</v>
      </c>
      <c r="Z24" s="332"/>
      <c r="AA24" s="333"/>
      <c r="AB24" s="330" t="str">
        <f t="shared" si="6"/>
        <v>0</v>
      </c>
      <c r="AC24" s="332"/>
      <c r="AD24" s="333"/>
      <c r="AE24" s="330" t="str">
        <f t="shared" si="7"/>
        <v>0</v>
      </c>
      <c r="AF24" s="332"/>
      <c r="AG24" s="333"/>
      <c r="AH24" s="330" t="str">
        <f t="shared" si="8"/>
        <v>0</v>
      </c>
      <c r="AI24" s="332"/>
      <c r="AJ24" s="333"/>
      <c r="AK24" s="330" t="str">
        <f t="shared" si="9"/>
        <v>0</v>
      </c>
      <c r="AL24" s="332"/>
      <c r="AM24" s="333"/>
      <c r="AN24" s="330" t="str">
        <f t="shared" si="10"/>
        <v>0</v>
      </c>
      <c r="AO24" s="332"/>
      <c r="AP24" s="333"/>
      <c r="AQ24" s="330" t="str">
        <f t="shared" si="11"/>
        <v>0</v>
      </c>
      <c r="AR24" s="332"/>
      <c r="AS24" s="333"/>
      <c r="AT24" s="330" t="str">
        <f t="shared" si="12"/>
        <v>0</v>
      </c>
      <c r="AU24" s="332"/>
      <c r="AV24" s="333"/>
      <c r="AW24" s="330" t="str">
        <f t="shared" si="13"/>
        <v>0</v>
      </c>
      <c r="AX24" s="332"/>
      <c r="AY24" s="333"/>
      <c r="AZ24" s="330" t="str">
        <f t="shared" si="14"/>
        <v>0</v>
      </c>
      <c r="BA24" s="332"/>
      <c r="BB24" s="333"/>
      <c r="BC24" s="330" t="str">
        <f t="shared" si="15"/>
        <v>0</v>
      </c>
      <c r="BD24" s="332"/>
      <c r="BE24" s="333"/>
      <c r="BF24" s="330" t="str">
        <f t="shared" si="16"/>
        <v>0</v>
      </c>
      <c r="BG24" s="332"/>
      <c r="BH24" s="333"/>
      <c r="BI24" s="330" t="str">
        <f t="shared" si="17"/>
        <v>0</v>
      </c>
      <c r="BJ24" s="332"/>
      <c r="BK24" s="333"/>
      <c r="BL24" s="330" t="str">
        <f t="shared" si="18"/>
        <v>0</v>
      </c>
      <c r="BM24" s="332"/>
      <c r="BN24" s="333"/>
      <c r="BO24" s="330" t="str">
        <f t="shared" si="19"/>
        <v>0</v>
      </c>
      <c r="BP24" s="332"/>
      <c r="BQ24" s="333"/>
      <c r="BR24" s="330" t="str">
        <f t="shared" si="20"/>
        <v>0</v>
      </c>
      <c r="BS24" s="332"/>
      <c r="BT24" s="333"/>
      <c r="BU24" s="330" t="str">
        <f t="shared" si="21"/>
        <v>0</v>
      </c>
      <c r="BV24" s="332"/>
      <c r="BW24" s="333"/>
      <c r="BX24" s="330" t="str">
        <f t="shared" si="22"/>
        <v>0</v>
      </c>
      <c r="BY24" s="332"/>
      <c r="BZ24" s="333"/>
      <c r="CA24" s="330" t="str">
        <f t="shared" si="23"/>
        <v>0</v>
      </c>
      <c r="CB24" s="332"/>
      <c r="CC24" s="333"/>
      <c r="CD24" s="330" t="str">
        <f t="shared" si="24"/>
        <v>0</v>
      </c>
      <c r="CE24" s="332"/>
      <c r="CF24" s="333"/>
      <c r="CG24" s="330" t="str">
        <f t="shared" si="25"/>
        <v>0</v>
      </c>
      <c r="CH24" s="332"/>
      <c r="CI24" s="333"/>
      <c r="CJ24" s="330" t="str">
        <f t="shared" si="26"/>
        <v>0</v>
      </c>
      <c r="CK24" s="332"/>
      <c r="CL24" s="333"/>
      <c r="CM24" s="330" t="str">
        <f t="shared" si="27"/>
        <v>0</v>
      </c>
      <c r="CN24" s="332"/>
      <c r="CO24" s="333"/>
      <c r="CP24" s="330" t="str">
        <f t="shared" si="28"/>
        <v>0</v>
      </c>
      <c r="CQ24" s="332"/>
      <c r="CR24" s="333"/>
      <c r="CS24" s="330" t="str">
        <f t="shared" si="29"/>
        <v>0</v>
      </c>
      <c r="CT24" s="332"/>
      <c r="CU24" s="333"/>
      <c r="CV24" s="330" t="str">
        <f t="shared" si="30"/>
        <v>0</v>
      </c>
    </row>
    <row r="25" spans="1:100" s="335" customFormat="1" ht="22.15" customHeight="1" x14ac:dyDescent="0.25">
      <c r="A25" s="320"/>
      <c r="E25" s="326">
        <f>'2-2.근무표'!B24</f>
        <v>0</v>
      </c>
      <c r="F25" s="326" t="str">
        <f>'2-2.근무표'!C24</f>
        <v>선택</v>
      </c>
      <c r="G25" s="327">
        <f>'2-2.근무표'!D24</f>
        <v>0</v>
      </c>
      <c r="H25" s="332"/>
      <c r="I25" s="333"/>
      <c r="J25" s="330" t="str">
        <f t="shared" si="0"/>
        <v>0</v>
      </c>
      <c r="K25" s="332"/>
      <c r="L25" s="333"/>
      <c r="M25" s="330" t="str">
        <f t="shared" si="1"/>
        <v>0</v>
      </c>
      <c r="N25" s="332"/>
      <c r="O25" s="333"/>
      <c r="P25" s="330" t="str">
        <f t="shared" si="2"/>
        <v>0</v>
      </c>
      <c r="Q25" s="332"/>
      <c r="R25" s="333"/>
      <c r="S25" s="330" t="str">
        <f t="shared" si="3"/>
        <v>0</v>
      </c>
      <c r="T25" s="332"/>
      <c r="U25" s="333"/>
      <c r="V25" s="330" t="str">
        <f t="shared" si="4"/>
        <v>0</v>
      </c>
      <c r="W25" s="332"/>
      <c r="X25" s="333"/>
      <c r="Y25" s="330" t="str">
        <f t="shared" si="5"/>
        <v>0</v>
      </c>
      <c r="Z25" s="332"/>
      <c r="AA25" s="333"/>
      <c r="AB25" s="330" t="str">
        <f t="shared" si="6"/>
        <v>0</v>
      </c>
      <c r="AC25" s="332"/>
      <c r="AD25" s="333"/>
      <c r="AE25" s="330" t="str">
        <f t="shared" si="7"/>
        <v>0</v>
      </c>
      <c r="AF25" s="332"/>
      <c r="AG25" s="333"/>
      <c r="AH25" s="330" t="str">
        <f t="shared" si="8"/>
        <v>0</v>
      </c>
      <c r="AI25" s="332"/>
      <c r="AJ25" s="333"/>
      <c r="AK25" s="330" t="str">
        <f t="shared" si="9"/>
        <v>0</v>
      </c>
      <c r="AL25" s="332"/>
      <c r="AM25" s="333"/>
      <c r="AN25" s="330" t="str">
        <f t="shared" si="10"/>
        <v>0</v>
      </c>
      <c r="AO25" s="332"/>
      <c r="AP25" s="333"/>
      <c r="AQ25" s="330" t="str">
        <f t="shared" si="11"/>
        <v>0</v>
      </c>
      <c r="AR25" s="332"/>
      <c r="AS25" s="333"/>
      <c r="AT25" s="330" t="str">
        <f t="shared" si="12"/>
        <v>0</v>
      </c>
      <c r="AU25" s="332"/>
      <c r="AV25" s="333"/>
      <c r="AW25" s="330" t="str">
        <f t="shared" si="13"/>
        <v>0</v>
      </c>
      <c r="AX25" s="332"/>
      <c r="AY25" s="333"/>
      <c r="AZ25" s="330" t="str">
        <f t="shared" si="14"/>
        <v>0</v>
      </c>
      <c r="BA25" s="332"/>
      <c r="BB25" s="333"/>
      <c r="BC25" s="330" t="str">
        <f t="shared" si="15"/>
        <v>0</v>
      </c>
      <c r="BD25" s="332"/>
      <c r="BE25" s="333"/>
      <c r="BF25" s="330" t="str">
        <f t="shared" si="16"/>
        <v>0</v>
      </c>
      <c r="BG25" s="332"/>
      <c r="BH25" s="333"/>
      <c r="BI25" s="330" t="str">
        <f t="shared" si="17"/>
        <v>0</v>
      </c>
      <c r="BJ25" s="332"/>
      <c r="BK25" s="333"/>
      <c r="BL25" s="330" t="str">
        <f t="shared" si="18"/>
        <v>0</v>
      </c>
      <c r="BM25" s="332"/>
      <c r="BN25" s="333"/>
      <c r="BO25" s="330" t="str">
        <f t="shared" si="19"/>
        <v>0</v>
      </c>
      <c r="BP25" s="332"/>
      <c r="BQ25" s="333"/>
      <c r="BR25" s="330" t="str">
        <f t="shared" si="20"/>
        <v>0</v>
      </c>
      <c r="BS25" s="332"/>
      <c r="BT25" s="333"/>
      <c r="BU25" s="330" t="str">
        <f t="shared" si="21"/>
        <v>0</v>
      </c>
      <c r="BV25" s="332"/>
      <c r="BW25" s="333"/>
      <c r="BX25" s="330" t="str">
        <f t="shared" si="22"/>
        <v>0</v>
      </c>
      <c r="BY25" s="332"/>
      <c r="BZ25" s="333"/>
      <c r="CA25" s="330" t="str">
        <f t="shared" si="23"/>
        <v>0</v>
      </c>
      <c r="CB25" s="332"/>
      <c r="CC25" s="333"/>
      <c r="CD25" s="330" t="str">
        <f t="shared" si="24"/>
        <v>0</v>
      </c>
      <c r="CE25" s="332"/>
      <c r="CF25" s="333"/>
      <c r="CG25" s="330" t="str">
        <f t="shared" si="25"/>
        <v>0</v>
      </c>
      <c r="CH25" s="332"/>
      <c r="CI25" s="333"/>
      <c r="CJ25" s="330" t="str">
        <f t="shared" si="26"/>
        <v>0</v>
      </c>
      <c r="CK25" s="332"/>
      <c r="CL25" s="333"/>
      <c r="CM25" s="330" t="str">
        <f t="shared" si="27"/>
        <v>0</v>
      </c>
      <c r="CN25" s="332"/>
      <c r="CO25" s="333"/>
      <c r="CP25" s="330" t="str">
        <f t="shared" si="28"/>
        <v>0</v>
      </c>
      <c r="CQ25" s="332"/>
      <c r="CR25" s="333"/>
      <c r="CS25" s="330" t="str">
        <f t="shared" si="29"/>
        <v>0</v>
      </c>
      <c r="CT25" s="332"/>
      <c r="CU25" s="333"/>
      <c r="CV25" s="330" t="str">
        <f t="shared" si="30"/>
        <v>0</v>
      </c>
    </row>
    <row r="26" spans="1:100" s="335" customFormat="1" ht="22.15" customHeight="1" thickBot="1" x14ac:dyDescent="0.3">
      <c r="A26" s="320"/>
      <c r="E26" s="349">
        <f>'2-2.근무표'!B25</f>
        <v>0</v>
      </c>
      <c r="F26" s="349" t="str">
        <f>'2-2.근무표'!C25</f>
        <v>선택</v>
      </c>
      <c r="G26" s="350">
        <f>'2-2.근무표'!D25</f>
        <v>0</v>
      </c>
      <c r="H26" s="341"/>
      <c r="I26" s="342"/>
      <c r="J26" s="343" t="str">
        <f t="shared" si="0"/>
        <v>0</v>
      </c>
      <c r="K26" s="341"/>
      <c r="L26" s="342"/>
      <c r="M26" s="343" t="str">
        <f t="shared" si="1"/>
        <v>0</v>
      </c>
      <c r="N26" s="341"/>
      <c r="O26" s="342"/>
      <c r="P26" s="343" t="str">
        <f t="shared" si="2"/>
        <v>0</v>
      </c>
      <c r="Q26" s="341"/>
      <c r="R26" s="342"/>
      <c r="S26" s="343" t="str">
        <f t="shared" si="3"/>
        <v>0</v>
      </c>
      <c r="T26" s="341"/>
      <c r="U26" s="342"/>
      <c r="V26" s="343" t="str">
        <f t="shared" si="4"/>
        <v>0</v>
      </c>
      <c r="W26" s="341"/>
      <c r="X26" s="342"/>
      <c r="Y26" s="343" t="str">
        <f t="shared" si="5"/>
        <v>0</v>
      </c>
      <c r="Z26" s="341"/>
      <c r="AA26" s="342"/>
      <c r="AB26" s="343" t="str">
        <f t="shared" si="6"/>
        <v>0</v>
      </c>
      <c r="AC26" s="341"/>
      <c r="AD26" s="342"/>
      <c r="AE26" s="343" t="str">
        <f t="shared" si="7"/>
        <v>0</v>
      </c>
      <c r="AF26" s="341"/>
      <c r="AG26" s="342"/>
      <c r="AH26" s="343" t="str">
        <f t="shared" si="8"/>
        <v>0</v>
      </c>
      <c r="AI26" s="341"/>
      <c r="AJ26" s="342"/>
      <c r="AK26" s="343" t="str">
        <f t="shared" si="9"/>
        <v>0</v>
      </c>
      <c r="AL26" s="341"/>
      <c r="AM26" s="342"/>
      <c r="AN26" s="343" t="str">
        <f t="shared" si="10"/>
        <v>0</v>
      </c>
      <c r="AO26" s="341"/>
      <c r="AP26" s="342"/>
      <c r="AQ26" s="343" t="str">
        <f t="shared" si="11"/>
        <v>0</v>
      </c>
      <c r="AR26" s="341"/>
      <c r="AS26" s="342"/>
      <c r="AT26" s="343" t="str">
        <f t="shared" si="12"/>
        <v>0</v>
      </c>
      <c r="AU26" s="341"/>
      <c r="AV26" s="342"/>
      <c r="AW26" s="343" t="str">
        <f t="shared" si="13"/>
        <v>0</v>
      </c>
      <c r="AX26" s="341"/>
      <c r="AY26" s="342"/>
      <c r="AZ26" s="343" t="str">
        <f t="shared" si="14"/>
        <v>0</v>
      </c>
      <c r="BA26" s="341"/>
      <c r="BB26" s="342"/>
      <c r="BC26" s="343" t="str">
        <f t="shared" si="15"/>
        <v>0</v>
      </c>
      <c r="BD26" s="341"/>
      <c r="BE26" s="342"/>
      <c r="BF26" s="343" t="str">
        <f t="shared" si="16"/>
        <v>0</v>
      </c>
      <c r="BG26" s="341"/>
      <c r="BH26" s="342"/>
      <c r="BI26" s="343" t="str">
        <f t="shared" si="17"/>
        <v>0</v>
      </c>
      <c r="BJ26" s="341"/>
      <c r="BK26" s="342"/>
      <c r="BL26" s="343" t="str">
        <f t="shared" si="18"/>
        <v>0</v>
      </c>
      <c r="BM26" s="341"/>
      <c r="BN26" s="342"/>
      <c r="BO26" s="343" t="str">
        <f t="shared" si="19"/>
        <v>0</v>
      </c>
      <c r="BP26" s="341"/>
      <c r="BQ26" s="342"/>
      <c r="BR26" s="343" t="str">
        <f t="shared" si="20"/>
        <v>0</v>
      </c>
      <c r="BS26" s="341"/>
      <c r="BT26" s="342"/>
      <c r="BU26" s="343" t="str">
        <f t="shared" si="21"/>
        <v>0</v>
      </c>
      <c r="BV26" s="341"/>
      <c r="BW26" s="342"/>
      <c r="BX26" s="343" t="str">
        <f t="shared" si="22"/>
        <v>0</v>
      </c>
      <c r="BY26" s="341"/>
      <c r="BZ26" s="342"/>
      <c r="CA26" s="343" t="str">
        <f t="shared" si="23"/>
        <v>0</v>
      </c>
      <c r="CB26" s="341"/>
      <c r="CC26" s="342"/>
      <c r="CD26" s="343" t="str">
        <f t="shared" si="24"/>
        <v>0</v>
      </c>
      <c r="CE26" s="341"/>
      <c r="CF26" s="342"/>
      <c r="CG26" s="343" t="str">
        <f t="shared" si="25"/>
        <v>0</v>
      </c>
      <c r="CH26" s="341"/>
      <c r="CI26" s="342"/>
      <c r="CJ26" s="343" t="str">
        <f t="shared" si="26"/>
        <v>0</v>
      </c>
      <c r="CK26" s="341"/>
      <c r="CL26" s="342"/>
      <c r="CM26" s="343" t="str">
        <f t="shared" si="27"/>
        <v>0</v>
      </c>
      <c r="CN26" s="341"/>
      <c r="CO26" s="342"/>
      <c r="CP26" s="343" t="str">
        <f t="shared" si="28"/>
        <v>0</v>
      </c>
      <c r="CQ26" s="341"/>
      <c r="CR26" s="342"/>
      <c r="CS26" s="343" t="str">
        <f t="shared" si="29"/>
        <v>0</v>
      </c>
      <c r="CT26" s="341"/>
      <c r="CU26" s="342"/>
      <c r="CV26" s="343" t="str">
        <f t="shared" si="30"/>
        <v>0</v>
      </c>
    </row>
    <row r="27" spans="1:100" s="335" customFormat="1" ht="22.15" customHeight="1" thickBot="1" x14ac:dyDescent="0.3">
      <c r="E27" s="944" t="s">
        <v>88</v>
      </c>
      <c r="F27" s="945"/>
      <c r="G27" s="945"/>
      <c r="H27" s="344">
        <f>COUNTA(H7:H26)</f>
        <v>0</v>
      </c>
      <c r="I27" s="345"/>
      <c r="J27" s="345"/>
      <c r="K27" s="344">
        <f>COUNTA(K7:K26)</f>
        <v>0</v>
      </c>
      <c r="L27" s="345"/>
      <c r="M27" s="345"/>
      <c r="N27" s="344">
        <f>COUNTA(N7:N26)</f>
        <v>0</v>
      </c>
      <c r="O27" s="345"/>
      <c r="P27" s="345"/>
      <c r="Q27" s="344">
        <f>COUNTA(Q7:Q26)</f>
        <v>0</v>
      </c>
      <c r="R27" s="345"/>
      <c r="S27" s="345"/>
      <c r="T27" s="344">
        <f>COUNTA(T7:T26)</f>
        <v>0</v>
      </c>
      <c r="U27" s="345"/>
      <c r="V27" s="345"/>
      <c r="W27" s="344">
        <f>COUNTA(W7:W26)</f>
        <v>0</v>
      </c>
      <c r="X27" s="345"/>
      <c r="Y27" s="345"/>
      <c r="Z27" s="344">
        <f>COUNTA(Z7:Z26)</f>
        <v>0</v>
      </c>
      <c r="AA27" s="345"/>
      <c r="AB27" s="345"/>
      <c r="AC27" s="344">
        <f>COUNTA(AC7:AC26)</f>
        <v>0</v>
      </c>
      <c r="AD27" s="345"/>
      <c r="AE27" s="345"/>
      <c r="AF27" s="344">
        <f>COUNTA(AF7:AF26)</f>
        <v>0</v>
      </c>
      <c r="AG27" s="345"/>
      <c r="AH27" s="345"/>
      <c r="AI27" s="344">
        <f>COUNTA(AI7:AI26)</f>
        <v>0</v>
      </c>
      <c r="AJ27" s="345"/>
      <c r="AK27" s="345"/>
      <c r="AL27" s="344">
        <f>COUNTA(AL7:AL26)</f>
        <v>0</v>
      </c>
      <c r="AM27" s="345"/>
      <c r="AN27" s="345"/>
      <c r="AO27" s="344">
        <f>COUNTA(AO7:AO26)</f>
        <v>0</v>
      </c>
      <c r="AP27" s="345"/>
      <c r="AQ27" s="345"/>
      <c r="AR27" s="344">
        <f>COUNTA(AR7:AR26)</f>
        <v>0</v>
      </c>
      <c r="AS27" s="345"/>
      <c r="AT27" s="345"/>
      <c r="AU27" s="344">
        <f>COUNTA(AU7:AU26)</f>
        <v>0</v>
      </c>
      <c r="AV27" s="345"/>
      <c r="AW27" s="345"/>
      <c r="AX27" s="344">
        <f>COUNTA(AX7:AX26)</f>
        <v>0</v>
      </c>
      <c r="AY27" s="345"/>
      <c r="AZ27" s="345"/>
      <c r="BA27" s="344">
        <f>COUNTA(BA7:BA26)</f>
        <v>0</v>
      </c>
      <c r="BB27" s="345"/>
      <c r="BC27" s="345"/>
      <c r="BD27" s="344">
        <f>COUNTA(BD7:BD26)</f>
        <v>0</v>
      </c>
      <c r="BE27" s="345"/>
      <c r="BF27" s="345"/>
      <c r="BG27" s="344">
        <f>COUNTA(BG7:BG26)</f>
        <v>0</v>
      </c>
      <c r="BH27" s="345"/>
      <c r="BI27" s="345"/>
      <c r="BJ27" s="344">
        <f>COUNTA(BJ7:BJ26)</f>
        <v>0</v>
      </c>
      <c r="BK27" s="345"/>
      <c r="BL27" s="345"/>
      <c r="BM27" s="344">
        <f>COUNTA(BM7:BM26)</f>
        <v>0</v>
      </c>
      <c r="BN27" s="345"/>
      <c r="BO27" s="345"/>
      <c r="BP27" s="344">
        <f>COUNTA(BP7:BP26)</f>
        <v>0</v>
      </c>
      <c r="BQ27" s="345"/>
      <c r="BR27" s="345"/>
      <c r="BS27" s="344">
        <f>COUNTA(BS7:BS26)</f>
        <v>0</v>
      </c>
      <c r="BT27" s="345"/>
      <c r="BU27" s="345"/>
      <c r="BV27" s="344">
        <f>COUNTA(BV7:BV26)</f>
        <v>0</v>
      </c>
      <c r="BW27" s="345"/>
      <c r="BX27" s="345"/>
      <c r="BY27" s="344">
        <f>COUNTA(BY7:BY26)</f>
        <v>0</v>
      </c>
      <c r="BZ27" s="345"/>
      <c r="CA27" s="345"/>
      <c r="CB27" s="344">
        <f>COUNTA(CB7:CB26)</f>
        <v>0</v>
      </c>
      <c r="CC27" s="345"/>
      <c r="CD27" s="345"/>
      <c r="CE27" s="344">
        <f>COUNTA(CE7:CE26)</f>
        <v>0</v>
      </c>
      <c r="CF27" s="345"/>
      <c r="CG27" s="345"/>
      <c r="CH27" s="344">
        <f>COUNTA(CH8:CH26)</f>
        <v>0</v>
      </c>
      <c r="CI27" s="345"/>
      <c r="CJ27" s="345"/>
      <c r="CK27" s="344">
        <f>COUNTA(CK7:CK26)</f>
        <v>0</v>
      </c>
      <c r="CL27" s="345"/>
      <c r="CM27" s="345"/>
      <c r="CN27" s="344">
        <f>COUNTA(CN7:CN26)</f>
        <v>0</v>
      </c>
      <c r="CO27" s="345"/>
      <c r="CP27" s="345"/>
      <c r="CQ27" s="344">
        <f>COUNTA(CQ7:CQ26)</f>
        <v>0</v>
      </c>
      <c r="CR27" s="345"/>
      <c r="CS27" s="345"/>
      <c r="CT27" s="344">
        <f>COUNTA(CT7:CT26)</f>
        <v>0</v>
      </c>
      <c r="CU27" s="345"/>
      <c r="CV27" s="345"/>
    </row>
    <row r="28" spans="1:100" s="335" customFormat="1" ht="22.15" customHeight="1" x14ac:dyDescent="0.25"/>
    <row r="29" spans="1:100" s="335" customFormat="1" ht="22.15" customHeight="1" thickBot="1" x14ac:dyDescent="0.3">
      <c r="E29" s="318" t="s">
        <v>240</v>
      </c>
    </row>
    <row r="30" spans="1:100" s="335" customFormat="1" ht="22.15" customHeight="1" x14ac:dyDescent="0.25">
      <c r="E30" s="933" t="s">
        <v>15</v>
      </c>
      <c r="F30" s="935" t="s">
        <v>105</v>
      </c>
      <c r="G30" s="935" t="s">
        <v>225</v>
      </c>
      <c r="H30" s="929">
        <f>H5</f>
        <v>1</v>
      </c>
      <c r="I30" s="930"/>
      <c r="J30" s="931"/>
      <c r="K30" s="929">
        <f>K5</f>
        <v>2</v>
      </c>
      <c r="L30" s="930"/>
      <c r="M30" s="931"/>
      <c r="N30" s="929">
        <f>N5</f>
        <v>3</v>
      </c>
      <c r="O30" s="930"/>
      <c r="P30" s="931"/>
      <c r="Q30" s="929">
        <f>Q5</f>
        <v>4</v>
      </c>
      <c r="R30" s="930"/>
      <c r="S30" s="931"/>
      <c r="T30" s="929">
        <f>T5</f>
        <v>5</v>
      </c>
      <c r="U30" s="930"/>
      <c r="V30" s="931"/>
      <c r="W30" s="929">
        <f>W5</f>
        <v>6</v>
      </c>
      <c r="X30" s="930"/>
      <c r="Y30" s="931"/>
      <c r="Z30" s="929">
        <f>Z5</f>
        <v>7</v>
      </c>
      <c r="AA30" s="930"/>
      <c r="AB30" s="931"/>
      <c r="AC30" s="929">
        <f>AC5</f>
        <v>8</v>
      </c>
      <c r="AD30" s="930"/>
      <c r="AE30" s="931"/>
      <c r="AF30" s="929">
        <f>AF5</f>
        <v>9</v>
      </c>
      <c r="AG30" s="930"/>
      <c r="AH30" s="931"/>
      <c r="AI30" s="929">
        <f>AI5</f>
        <v>10</v>
      </c>
      <c r="AJ30" s="930"/>
      <c r="AK30" s="931"/>
      <c r="AL30" s="929">
        <f>AL5</f>
        <v>11</v>
      </c>
      <c r="AM30" s="930"/>
      <c r="AN30" s="931"/>
      <c r="AO30" s="929">
        <f>AO5</f>
        <v>12</v>
      </c>
      <c r="AP30" s="930"/>
      <c r="AQ30" s="931"/>
      <c r="AR30" s="929">
        <f>AR5</f>
        <v>13</v>
      </c>
      <c r="AS30" s="930"/>
      <c r="AT30" s="931"/>
      <c r="AU30" s="929">
        <f>AU5</f>
        <v>14</v>
      </c>
      <c r="AV30" s="930"/>
      <c r="AW30" s="931"/>
      <c r="AX30" s="929">
        <f>AX5</f>
        <v>15</v>
      </c>
      <c r="AY30" s="930"/>
      <c r="AZ30" s="931"/>
      <c r="BA30" s="929">
        <f>BA5</f>
        <v>16</v>
      </c>
      <c r="BB30" s="930"/>
      <c r="BC30" s="931"/>
      <c r="BD30" s="929">
        <f>BD5</f>
        <v>17</v>
      </c>
      <c r="BE30" s="930"/>
      <c r="BF30" s="931"/>
      <c r="BG30" s="929">
        <f>BG5</f>
        <v>18</v>
      </c>
      <c r="BH30" s="930"/>
      <c r="BI30" s="931"/>
      <c r="BJ30" s="929">
        <f>BJ5</f>
        <v>19</v>
      </c>
      <c r="BK30" s="930"/>
      <c r="BL30" s="931"/>
      <c r="BM30" s="929">
        <f>BM5</f>
        <v>20</v>
      </c>
      <c r="BN30" s="930"/>
      <c r="BO30" s="931"/>
      <c r="BP30" s="929">
        <f>BP5</f>
        <v>21</v>
      </c>
      <c r="BQ30" s="930"/>
      <c r="BR30" s="931"/>
      <c r="BS30" s="929">
        <f>BS5</f>
        <v>22</v>
      </c>
      <c r="BT30" s="930"/>
      <c r="BU30" s="931"/>
      <c r="BV30" s="929">
        <f>BV5</f>
        <v>23</v>
      </c>
      <c r="BW30" s="930"/>
      <c r="BX30" s="931"/>
      <c r="BY30" s="929">
        <f>BY5</f>
        <v>24</v>
      </c>
      <c r="BZ30" s="930"/>
      <c r="CA30" s="931"/>
      <c r="CB30" s="929">
        <f>CB5</f>
        <v>25</v>
      </c>
      <c r="CC30" s="930"/>
      <c r="CD30" s="931"/>
      <c r="CE30" s="929">
        <f>CE5</f>
        <v>26</v>
      </c>
      <c r="CF30" s="930"/>
      <c r="CG30" s="931"/>
      <c r="CH30" s="929">
        <f>CH5</f>
        <v>27</v>
      </c>
      <c r="CI30" s="930"/>
      <c r="CJ30" s="931"/>
      <c r="CK30" s="929">
        <f>CK5</f>
        <v>28</v>
      </c>
      <c r="CL30" s="930"/>
      <c r="CM30" s="931"/>
      <c r="CN30" s="929">
        <f>CN5</f>
        <v>29</v>
      </c>
      <c r="CO30" s="930"/>
      <c r="CP30" s="931"/>
      <c r="CQ30" s="929">
        <f>CQ5</f>
        <v>30</v>
      </c>
      <c r="CR30" s="930"/>
      <c r="CS30" s="931"/>
      <c r="CT30" s="929">
        <f>CT5</f>
        <v>31</v>
      </c>
      <c r="CU30" s="930"/>
      <c r="CV30" s="930"/>
    </row>
    <row r="31" spans="1:100" s="335" customFormat="1" ht="22.15" customHeight="1" x14ac:dyDescent="0.25">
      <c r="E31" s="934"/>
      <c r="F31" s="936"/>
      <c r="G31" s="936"/>
      <c r="H31" s="321" t="s">
        <v>226</v>
      </c>
      <c r="I31" s="322" t="s">
        <v>227</v>
      </c>
      <c r="J31" s="323" t="s">
        <v>228</v>
      </c>
      <c r="K31" s="321" t="s">
        <v>226</v>
      </c>
      <c r="L31" s="322" t="s">
        <v>227</v>
      </c>
      <c r="M31" s="323" t="s">
        <v>228</v>
      </c>
      <c r="N31" s="321" t="s">
        <v>226</v>
      </c>
      <c r="O31" s="322" t="s">
        <v>227</v>
      </c>
      <c r="P31" s="323" t="s">
        <v>228</v>
      </c>
      <c r="Q31" s="321" t="s">
        <v>226</v>
      </c>
      <c r="R31" s="322" t="s">
        <v>227</v>
      </c>
      <c r="S31" s="323" t="s">
        <v>228</v>
      </c>
      <c r="T31" s="321" t="s">
        <v>226</v>
      </c>
      <c r="U31" s="322" t="s">
        <v>227</v>
      </c>
      <c r="V31" s="323" t="s">
        <v>228</v>
      </c>
      <c r="W31" s="321" t="s">
        <v>226</v>
      </c>
      <c r="X31" s="322" t="s">
        <v>227</v>
      </c>
      <c r="Y31" s="323" t="s">
        <v>228</v>
      </c>
      <c r="Z31" s="321" t="s">
        <v>226</v>
      </c>
      <c r="AA31" s="322" t="s">
        <v>227</v>
      </c>
      <c r="AB31" s="323" t="s">
        <v>228</v>
      </c>
      <c r="AC31" s="321" t="s">
        <v>226</v>
      </c>
      <c r="AD31" s="322" t="s">
        <v>227</v>
      </c>
      <c r="AE31" s="323" t="s">
        <v>228</v>
      </c>
      <c r="AF31" s="321" t="s">
        <v>226</v>
      </c>
      <c r="AG31" s="322" t="s">
        <v>227</v>
      </c>
      <c r="AH31" s="323" t="s">
        <v>228</v>
      </c>
      <c r="AI31" s="321" t="s">
        <v>226</v>
      </c>
      <c r="AJ31" s="322" t="s">
        <v>227</v>
      </c>
      <c r="AK31" s="323" t="s">
        <v>228</v>
      </c>
      <c r="AL31" s="321" t="s">
        <v>226</v>
      </c>
      <c r="AM31" s="322" t="s">
        <v>227</v>
      </c>
      <c r="AN31" s="323" t="s">
        <v>228</v>
      </c>
      <c r="AO31" s="321" t="s">
        <v>226</v>
      </c>
      <c r="AP31" s="322" t="s">
        <v>227</v>
      </c>
      <c r="AQ31" s="323" t="s">
        <v>228</v>
      </c>
      <c r="AR31" s="321" t="s">
        <v>226</v>
      </c>
      <c r="AS31" s="322" t="s">
        <v>227</v>
      </c>
      <c r="AT31" s="323" t="s">
        <v>228</v>
      </c>
      <c r="AU31" s="321" t="s">
        <v>226</v>
      </c>
      <c r="AV31" s="322" t="s">
        <v>227</v>
      </c>
      <c r="AW31" s="323" t="s">
        <v>228</v>
      </c>
      <c r="AX31" s="321" t="s">
        <v>226</v>
      </c>
      <c r="AY31" s="322" t="s">
        <v>227</v>
      </c>
      <c r="AZ31" s="323" t="s">
        <v>228</v>
      </c>
      <c r="BA31" s="321" t="s">
        <v>226</v>
      </c>
      <c r="BB31" s="322" t="s">
        <v>227</v>
      </c>
      <c r="BC31" s="323" t="s">
        <v>228</v>
      </c>
      <c r="BD31" s="321" t="s">
        <v>226</v>
      </c>
      <c r="BE31" s="322" t="s">
        <v>227</v>
      </c>
      <c r="BF31" s="323" t="s">
        <v>228</v>
      </c>
      <c r="BG31" s="321" t="s">
        <v>226</v>
      </c>
      <c r="BH31" s="322" t="s">
        <v>227</v>
      </c>
      <c r="BI31" s="323" t="s">
        <v>228</v>
      </c>
      <c r="BJ31" s="321" t="s">
        <v>226</v>
      </c>
      <c r="BK31" s="322" t="s">
        <v>227</v>
      </c>
      <c r="BL31" s="323" t="s">
        <v>228</v>
      </c>
      <c r="BM31" s="321" t="s">
        <v>226</v>
      </c>
      <c r="BN31" s="322" t="s">
        <v>227</v>
      </c>
      <c r="BO31" s="323" t="s">
        <v>228</v>
      </c>
      <c r="BP31" s="321" t="s">
        <v>226</v>
      </c>
      <c r="BQ31" s="322" t="s">
        <v>227</v>
      </c>
      <c r="BR31" s="323" t="s">
        <v>228</v>
      </c>
      <c r="BS31" s="321" t="s">
        <v>226</v>
      </c>
      <c r="BT31" s="322" t="s">
        <v>227</v>
      </c>
      <c r="BU31" s="323" t="s">
        <v>228</v>
      </c>
      <c r="BV31" s="321" t="s">
        <v>226</v>
      </c>
      <c r="BW31" s="322" t="s">
        <v>227</v>
      </c>
      <c r="BX31" s="323" t="s">
        <v>228</v>
      </c>
      <c r="BY31" s="321" t="s">
        <v>226</v>
      </c>
      <c r="BZ31" s="322" t="s">
        <v>227</v>
      </c>
      <c r="CA31" s="323" t="s">
        <v>228</v>
      </c>
      <c r="CB31" s="321" t="s">
        <v>226</v>
      </c>
      <c r="CC31" s="322" t="s">
        <v>227</v>
      </c>
      <c r="CD31" s="323" t="s">
        <v>228</v>
      </c>
      <c r="CE31" s="321" t="s">
        <v>226</v>
      </c>
      <c r="CF31" s="322" t="s">
        <v>227</v>
      </c>
      <c r="CG31" s="323" t="s">
        <v>228</v>
      </c>
      <c r="CH31" s="321" t="s">
        <v>226</v>
      </c>
      <c r="CI31" s="322" t="s">
        <v>227</v>
      </c>
      <c r="CJ31" s="323" t="s">
        <v>228</v>
      </c>
      <c r="CK31" s="321" t="s">
        <v>226</v>
      </c>
      <c r="CL31" s="322" t="s">
        <v>227</v>
      </c>
      <c r="CM31" s="323" t="s">
        <v>228</v>
      </c>
      <c r="CN31" s="321" t="s">
        <v>226</v>
      </c>
      <c r="CO31" s="322" t="s">
        <v>227</v>
      </c>
      <c r="CP31" s="323" t="s">
        <v>228</v>
      </c>
      <c r="CQ31" s="321" t="s">
        <v>226</v>
      </c>
      <c r="CR31" s="322" t="s">
        <v>227</v>
      </c>
      <c r="CS31" s="323" t="s">
        <v>228</v>
      </c>
      <c r="CT31" s="321" t="s">
        <v>226</v>
      </c>
      <c r="CU31" s="322" t="s">
        <v>227</v>
      </c>
      <c r="CV31" s="324" t="s">
        <v>228</v>
      </c>
    </row>
    <row r="32" spans="1:100" s="335" customFormat="1" ht="22.15" customHeight="1" x14ac:dyDescent="0.25">
      <c r="E32" s="326" t="str">
        <f>'2-2.근무표'!B31</f>
        <v>최은태</v>
      </c>
      <c r="F32" s="327" t="str">
        <f>'2-1.직원현황'!D31</f>
        <v>주방</v>
      </c>
      <c r="G32" s="327" t="str">
        <f>'2-1.직원현황'!E31</f>
        <v>파트타임</v>
      </c>
      <c r="H32" s="328"/>
      <c r="I32" s="329"/>
      <c r="J32" s="330" t="str">
        <f>IFERROR(IF(((I32-H32+(I32&lt;H32))*24)=0,"0",(I32-H32+(I32&lt;H32))*24),"")</f>
        <v>0</v>
      </c>
      <c r="K32" s="328"/>
      <c r="L32" s="329"/>
      <c r="M32" s="330" t="str">
        <f t="shared" ref="M32:M46" si="31">IFERROR(IF(((L32-K32+(L32&lt;K32))*24)=0,"0",(L32-K32+(L32&lt;K32))*24),"")</f>
        <v>0</v>
      </c>
      <c r="N32" s="328"/>
      <c r="O32" s="329"/>
      <c r="P32" s="330" t="str">
        <f t="shared" ref="P32:P40" si="32">IFERROR(IF(((O32-N32+(O32&lt;N32))*24)=0,"0",(O32-N32+(O32&lt;N32))*24),"")</f>
        <v>0</v>
      </c>
      <c r="Q32" s="328"/>
      <c r="R32" s="329"/>
      <c r="S32" s="330" t="str">
        <f t="shared" ref="S32:S46" si="33">IFERROR(IF(((R32-Q32+(R32&lt;Q32))*24)=0,"0",(R32-Q32+(R32&lt;Q32))*24),"")</f>
        <v>0</v>
      </c>
      <c r="T32" s="328"/>
      <c r="U32" s="329"/>
      <c r="V32" s="330" t="str">
        <f t="shared" ref="V32:V46" si="34">IFERROR(IF(((U32-T32+(U32&lt;T32))*24)=0,"0",(U32-T32+(U32&lt;T32))*24),"")</f>
        <v>0</v>
      </c>
      <c r="W32" s="328"/>
      <c r="X32" s="329"/>
      <c r="Y32" s="330" t="str">
        <f t="shared" ref="Y32:Y46" si="35">IFERROR(IF(((X32-W32+(X32&lt;W32))*24)=0,"0",(X32-W32+(X32&lt;W32))*24),"")</f>
        <v>0</v>
      </c>
      <c r="Z32" s="328"/>
      <c r="AA32" s="329"/>
      <c r="AB32" s="330" t="str">
        <f t="shared" ref="AB32:AB46" si="36">IFERROR(IF(((AA32-Z32+(AA32&lt;Z32))*24)=0,"0",(AA32-Z32+(AA32&lt;Z32))*24),"")</f>
        <v>0</v>
      </c>
      <c r="AC32" s="328"/>
      <c r="AD32" s="329"/>
      <c r="AE32" s="330" t="str">
        <f t="shared" ref="AE32:AE46" si="37">IFERROR(IF(((AD32-AC32+(AD32&lt;AC32))*24)=0,"0",(AD32-AC32+(AD32&lt;AC32))*24),"")</f>
        <v>0</v>
      </c>
      <c r="AF32" s="328"/>
      <c r="AG32" s="329"/>
      <c r="AH32" s="330" t="str">
        <f t="shared" ref="AH32:AH46" si="38">IFERROR(IF(((AG32-AF32+(AG32&lt;AF32))*24)=0,"0",(AG32-AF32+(AG32&lt;AF32))*24),"")</f>
        <v>0</v>
      </c>
      <c r="AI32" s="328"/>
      <c r="AJ32" s="329"/>
      <c r="AK32" s="330" t="str">
        <f t="shared" ref="AK32:AK46" si="39">IFERROR(IF(((AJ32-AI32+(AJ32&lt;AI32))*24)=0,"0",(AJ32-AI32+(AJ32&lt;AI32))*24),"")</f>
        <v>0</v>
      </c>
      <c r="AL32" s="328"/>
      <c r="AM32" s="329"/>
      <c r="AN32" s="330" t="str">
        <f t="shared" ref="AN32:AN46" si="40">IFERROR(IF(((AM32-AL32+(AM32&lt;AL32))*24)=0,"0",(AM32-AL32+(AM32&lt;AL32))*24),"")</f>
        <v>0</v>
      </c>
      <c r="AO32" s="328"/>
      <c r="AP32" s="329"/>
      <c r="AQ32" s="330" t="str">
        <f t="shared" ref="AQ32:AQ46" si="41">IFERROR(IF(((AP32-AO32+(AP32&lt;AO32))*24)=0,"0",(AP32-AO32+(AP32&lt;AO32))*24),"")</f>
        <v>0</v>
      </c>
      <c r="AR32" s="328"/>
      <c r="AS32" s="329"/>
      <c r="AT32" s="330" t="str">
        <f t="shared" ref="AT32:AT46" si="42">IFERROR(IF(((AS32-AR32+(AS32&lt;AR32))*24)=0,"0",(AS32-AR32+(AS32&lt;AR32))*24),"")</f>
        <v>0</v>
      </c>
      <c r="AU32" s="332"/>
      <c r="AV32" s="333"/>
      <c r="AW32" s="330" t="str">
        <f t="shared" ref="AW32:AW46" si="43">IFERROR(IF(((AV32-AU32+(AV32&lt;AU32))*24)=0,"0",(AV32-AU32+(AV32&lt;AU32))*24),"")</f>
        <v>0</v>
      </c>
      <c r="AX32" s="332"/>
      <c r="AY32" s="333"/>
      <c r="AZ32" s="330" t="str">
        <f t="shared" ref="AZ32:AZ46" si="44">IFERROR(IF(((AY32-AX32+(AY32&lt;AX32))*24)=0,"0",(AY32-AX32+(AY32&lt;AX32))*24),"")</f>
        <v>0</v>
      </c>
      <c r="BA32" s="328"/>
      <c r="BB32" s="329"/>
      <c r="BC32" s="330" t="str">
        <f t="shared" ref="BC32:BC46" si="45">IFERROR(IF(((BB32-BA32+(BB32&lt;BA32))*24)=0,"0",(BB32-BA32+(BB32&lt;BA32))*24),"")</f>
        <v>0</v>
      </c>
      <c r="BD32" s="328"/>
      <c r="BE32" s="329"/>
      <c r="BF32" s="330" t="str">
        <f t="shared" ref="BF32:BF46" si="46">IFERROR(IF(((BE32-BD32+(BE32&lt;BD32))*24)=0,"0",(BE32-BD32+(BE32&lt;BD32))*24),"")</f>
        <v>0</v>
      </c>
      <c r="BG32" s="328"/>
      <c r="BH32" s="329"/>
      <c r="BI32" s="330" t="str">
        <f t="shared" ref="BI32:BI46" si="47">IFERROR(IF(((BH32-BG32+(BH32&lt;BG32))*24)=0,"0",(BH32-BG32+(BH32&lt;BG32))*24),"")</f>
        <v>0</v>
      </c>
      <c r="BJ32" s="328"/>
      <c r="BK32" s="329"/>
      <c r="BL32" s="330" t="str">
        <f t="shared" ref="BL32:BL46" si="48">IFERROR(IF(((BK32-BJ32+(BK32&lt;BJ32))*24)=0,"0",(BK32-BJ32+(BK32&lt;BJ32))*24),"")</f>
        <v>0</v>
      </c>
      <c r="BM32" s="328"/>
      <c r="BN32" s="329"/>
      <c r="BO32" s="330" t="str">
        <f t="shared" ref="BO32:BO46" si="49">IFERROR(IF(((BN32-BM32+(BN32&lt;BM32))*24)=0,"0",(BN32-BM32+(BN32&lt;BM32))*24),"")</f>
        <v>0</v>
      </c>
      <c r="BP32" s="332"/>
      <c r="BQ32" s="333"/>
      <c r="BR32" s="330" t="str">
        <f t="shared" ref="BR32:BR46" si="50">IFERROR(IF(((BQ32-BP32+(BQ32&lt;BP32))*24)=0,"0",(BQ32-BP32+(BQ32&lt;BP32))*24),"")</f>
        <v>0</v>
      </c>
      <c r="BS32" s="332"/>
      <c r="BT32" s="333"/>
      <c r="BU32" s="330" t="str">
        <f t="shared" ref="BU32:BU46" si="51">IFERROR(IF(((BT32-BS32+(BT32&lt;BS32))*24)=0,"0",(BT32-BS32+(BT32&lt;BS32))*24),"")</f>
        <v>0</v>
      </c>
      <c r="BV32" s="332"/>
      <c r="BW32" s="333"/>
      <c r="BX32" s="330" t="str">
        <f t="shared" ref="BX32:BX46" si="52">IFERROR(IF(((BW32-BV32+(BW32&lt;BV32))*24)=0,"0",(BW32-BV32+(BW32&lt;BV32))*24),"")</f>
        <v>0</v>
      </c>
      <c r="BY32" s="328"/>
      <c r="BZ32" s="329"/>
      <c r="CA32" s="330" t="str">
        <f t="shared" ref="CA32:CA46" si="53">IFERROR(IF(((BZ32-BY32+(BZ32&lt;BY32))*24)=0,"0",(BZ32-BY32+(BZ32&lt;BY32))*24),"")</f>
        <v>0</v>
      </c>
      <c r="CB32" s="328"/>
      <c r="CC32" s="329"/>
      <c r="CD32" s="330" t="str">
        <f t="shared" ref="CD32:CD46" si="54">IFERROR(IF(((CC32-CB32+(CC32&lt;CB32))*24)=0,"0",(CC32-CB32+(CC32&lt;CB32))*24),"")</f>
        <v>0</v>
      </c>
      <c r="CE32" s="332"/>
      <c r="CF32" s="333"/>
      <c r="CG32" s="330" t="str">
        <f t="shared" ref="CG32:CG46" si="55">IFERROR(IF(((CF32-CE32+(CF32&lt;CE32))*24)=0,"0",(CF32-CE32+(CF32&lt;CE32))*24),"")</f>
        <v>0</v>
      </c>
      <c r="CH32" s="328"/>
      <c r="CI32" s="329"/>
      <c r="CJ32" s="330" t="str">
        <f t="shared" ref="CJ32:CJ46" si="56">IFERROR(IF(((CI32-CH32+(CI32&lt;CH32))*24)=0,"0",(CI32-CH32+(CI32&lt;CH32))*24),"")</f>
        <v>0</v>
      </c>
      <c r="CK32" s="332"/>
      <c r="CL32" s="333"/>
      <c r="CM32" s="330" t="str">
        <f t="shared" ref="CM32:CM40" si="57">IFERROR(IF(((CL32-CK32+(CL32&lt;CK32))*24)=0,"0",(CL32-CK32+(CL32&lt;CK32))*24),"")</f>
        <v>0</v>
      </c>
      <c r="CN32" s="332"/>
      <c r="CO32" s="333"/>
      <c r="CP32" s="330" t="str">
        <f t="shared" ref="CP32:CP40" si="58">IFERROR(IF(((CO32-CN32+(CO32&lt;CN32))*24)=0,"0",(CO32-CN32+(CO32&lt;CN32))*24),"")</f>
        <v>0</v>
      </c>
      <c r="CQ32" s="328"/>
      <c r="CR32" s="329"/>
      <c r="CS32" s="330" t="str">
        <f t="shared" ref="CS32:CS40" si="59">IFERROR(IF(((CR32-CQ32+(CR32&lt;CQ32))*24)=0,"0",(CR32-CQ32+(CR32&lt;CQ32))*24),"")</f>
        <v>0</v>
      </c>
      <c r="CT32" s="328"/>
      <c r="CU32" s="329"/>
      <c r="CV32" s="351" t="str">
        <f t="shared" ref="CV32:CV40" si="60">IFERROR(IF(((CU32-CT32+(CU32&lt;CT32))*24)=0,"0",(CU32-CT32+(CU32&lt;CT32))*24),"")</f>
        <v>0</v>
      </c>
    </row>
    <row r="33" spans="5:112" s="335" customFormat="1" ht="22.15" customHeight="1" x14ac:dyDescent="0.25">
      <c r="E33" s="326" t="str">
        <f>'2-2.근무표'!B32</f>
        <v>이서문</v>
      </c>
      <c r="F33" s="327" t="str">
        <f>'2-1.직원현황'!D32</f>
        <v>선택</v>
      </c>
      <c r="G33" s="327" t="str">
        <f>'2-1.직원현황'!E32</f>
        <v>파트타임</v>
      </c>
      <c r="H33" s="332"/>
      <c r="I33" s="332"/>
      <c r="J33" s="330" t="str">
        <f t="shared" ref="J33:J40" si="61">IFERROR(IF(((I33-H33+(I33&lt;H33))*24)=0,"0",(I33-H33+(I33&lt;H33))*24),"")</f>
        <v>0</v>
      </c>
      <c r="K33" s="332"/>
      <c r="L33" s="333"/>
      <c r="M33" s="330" t="str">
        <f t="shared" si="31"/>
        <v>0</v>
      </c>
      <c r="N33" s="332"/>
      <c r="O33" s="333"/>
      <c r="P33" s="330" t="str">
        <f t="shared" si="32"/>
        <v>0</v>
      </c>
      <c r="Q33" s="332"/>
      <c r="R33" s="333"/>
      <c r="S33" s="330" t="str">
        <f t="shared" si="33"/>
        <v>0</v>
      </c>
      <c r="T33" s="332"/>
      <c r="U33" s="333"/>
      <c r="V33" s="330" t="str">
        <f t="shared" si="34"/>
        <v>0</v>
      </c>
      <c r="W33" s="332"/>
      <c r="X33" s="333"/>
      <c r="Y33" s="330" t="str">
        <f t="shared" si="35"/>
        <v>0</v>
      </c>
      <c r="Z33" s="332"/>
      <c r="AA33" s="333"/>
      <c r="AB33" s="330" t="str">
        <f t="shared" si="36"/>
        <v>0</v>
      </c>
      <c r="AC33" s="332"/>
      <c r="AD33" s="333"/>
      <c r="AE33" s="330" t="str">
        <f t="shared" si="37"/>
        <v>0</v>
      </c>
      <c r="AF33" s="332"/>
      <c r="AG33" s="333"/>
      <c r="AH33" s="330" t="str">
        <f t="shared" si="38"/>
        <v>0</v>
      </c>
      <c r="AI33" s="332"/>
      <c r="AJ33" s="333"/>
      <c r="AK33" s="330" t="str">
        <f t="shared" si="39"/>
        <v>0</v>
      </c>
      <c r="AL33" s="332"/>
      <c r="AM33" s="333"/>
      <c r="AN33" s="330" t="str">
        <f t="shared" si="40"/>
        <v>0</v>
      </c>
      <c r="AO33" s="332"/>
      <c r="AP33" s="333"/>
      <c r="AQ33" s="330" t="str">
        <f t="shared" si="41"/>
        <v>0</v>
      </c>
      <c r="AR33" s="332"/>
      <c r="AS33" s="333"/>
      <c r="AT33" s="330" t="str">
        <f t="shared" si="42"/>
        <v>0</v>
      </c>
      <c r="AU33" s="332"/>
      <c r="AV33" s="333"/>
      <c r="AW33" s="330" t="str">
        <f t="shared" si="43"/>
        <v>0</v>
      </c>
      <c r="AX33" s="332"/>
      <c r="AY33" s="333"/>
      <c r="AZ33" s="330" t="str">
        <f t="shared" si="44"/>
        <v>0</v>
      </c>
      <c r="BA33" s="332"/>
      <c r="BB33" s="333"/>
      <c r="BC33" s="330" t="str">
        <f t="shared" si="45"/>
        <v>0</v>
      </c>
      <c r="BD33" s="332"/>
      <c r="BE33" s="333"/>
      <c r="BF33" s="330" t="str">
        <f t="shared" si="46"/>
        <v>0</v>
      </c>
      <c r="BG33" s="332"/>
      <c r="BH33" s="333"/>
      <c r="BI33" s="330" t="str">
        <f t="shared" si="47"/>
        <v>0</v>
      </c>
      <c r="BJ33" s="332"/>
      <c r="BK33" s="333"/>
      <c r="BL33" s="330" t="str">
        <f t="shared" si="48"/>
        <v>0</v>
      </c>
      <c r="BM33" s="332"/>
      <c r="BN33" s="333"/>
      <c r="BO33" s="330" t="str">
        <f t="shared" si="49"/>
        <v>0</v>
      </c>
      <c r="BP33" s="332"/>
      <c r="BQ33" s="333"/>
      <c r="BR33" s="330" t="str">
        <f t="shared" si="50"/>
        <v>0</v>
      </c>
      <c r="BS33" s="332"/>
      <c r="BT33" s="333"/>
      <c r="BU33" s="330" t="str">
        <f t="shared" si="51"/>
        <v>0</v>
      </c>
      <c r="BV33" s="332"/>
      <c r="BW33" s="333"/>
      <c r="BX33" s="330" t="str">
        <f t="shared" si="52"/>
        <v>0</v>
      </c>
      <c r="BY33" s="332"/>
      <c r="BZ33" s="333"/>
      <c r="CA33" s="330" t="str">
        <f t="shared" si="53"/>
        <v>0</v>
      </c>
      <c r="CB33" s="332"/>
      <c r="CC33" s="333"/>
      <c r="CD33" s="330" t="str">
        <f t="shared" si="54"/>
        <v>0</v>
      </c>
      <c r="CE33" s="332"/>
      <c r="CF33" s="333"/>
      <c r="CG33" s="330" t="str">
        <f t="shared" si="55"/>
        <v>0</v>
      </c>
      <c r="CH33" s="332"/>
      <c r="CI33" s="333"/>
      <c r="CJ33" s="330" t="str">
        <f t="shared" si="56"/>
        <v>0</v>
      </c>
      <c r="CK33" s="332"/>
      <c r="CL33" s="333"/>
      <c r="CM33" s="330" t="str">
        <f t="shared" si="57"/>
        <v>0</v>
      </c>
      <c r="CN33" s="332"/>
      <c r="CO33" s="333"/>
      <c r="CP33" s="330" t="str">
        <f t="shared" si="58"/>
        <v>0</v>
      </c>
      <c r="CQ33" s="332"/>
      <c r="CR33" s="333"/>
      <c r="CS33" s="330" t="str">
        <f t="shared" si="59"/>
        <v>0</v>
      </c>
      <c r="CT33" s="332"/>
      <c r="CU33" s="333"/>
      <c r="CV33" s="351" t="str">
        <f t="shared" si="60"/>
        <v>0</v>
      </c>
    </row>
    <row r="34" spans="5:112" ht="22.15" customHeight="1" x14ac:dyDescent="0.25">
      <c r="E34" s="326" t="str">
        <f>'2-2.근무표'!B33</f>
        <v>김복순</v>
      </c>
      <c r="F34" s="327" t="str">
        <f>'2-1.직원현황'!D33</f>
        <v>선택</v>
      </c>
      <c r="G34" s="327" t="str">
        <f>'2-1.직원현황'!E33</f>
        <v>파트타임</v>
      </c>
      <c r="H34" s="332"/>
      <c r="I34" s="332"/>
      <c r="J34" s="330" t="str">
        <f t="shared" si="61"/>
        <v>0</v>
      </c>
      <c r="K34" s="332"/>
      <c r="L34" s="333"/>
      <c r="M34" s="330" t="str">
        <f t="shared" si="31"/>
        <v>0</v>
      </c>
      <c r="N34" s="332"/>
      <c r="O34" s="333"/>
      <c r="P34" s="330" t="str">
        <f t="shared" si="32"/>
        <v>0</v>
      </c>
      <c r="Q34" s="332"/>
      <c r="R34" s="333"/>
      <c r="S34" s="330" t="str">
        <f t="shared" si="33"/>
        <v>0</v>
      </c>
      <c r="T34" s="332"/>
      <c r="U34" s="333"/>
      <c r="V34" s="330" t="str">
        <f t="shared" si="34"/>
        <v>0</v>
      </c>
      <c r="W34" s="332"/>
      <c r="X34" s="333"/>
      <c r="Y34" s="330" t="str">
        <f t="shared" si="35"/>
        <v>0</v>
      </c>
      <c r="Z34" s="332"/>
      <c r="AA34" s="333"/>
      <c r="AB34" s="330" t="str">
        <f t="shared" si="36"/>
        <v>0</v>
      </c>
      <c r="AC34" s="332"/>
      <c r="AD34" s="333"/>
      <c r="AE34" s="330" t="str">
        <f t="shared" si="37"/>
        <v>0</v>
      </c>
      <c r="AF34" s="332"/>
      <c r="AG34" s="333"/>
      <c r="AH34" s="330" t="str">
        <f t="shared" si="38"/>
        <v>0</v>
      </c>
      <c r="AI34" s="332"/>
      <c r="AJ34" s="333"/>
      <c r="AK34" s="330" t="str">
        <f t="shared" si="39"/>
        <v>0</v>
      </c>
      <c r="AL34" s="332"/>
      <c r="AM34" s="333"/>
      <c r="AN34" s="330" t="str">
        <f t="shared" si="40"/>
        <v>0</v>
      </c>
      <c r="AO34" s="332"/>
      <c r="AP34" s="333"/>
      <c r="AQ34" s="330" t="str">
        <f t="shared" si="41"/>
        <v>0</v>
      </c>
      <c r="AR34" s="332"/>
      <c r="AS34" s="333"/>
      <c r="AT34" s="330" t="str">
        <f t="shared" si="42"/>
        <v>0</v>
      </c>
      <c r="AU34" s="332"/>
      <c r="AV34" s="333"/>
      <c r="AW34" s="330" t="str">
        <f t="shared" si="43"/>
        <v>0</v>
      </c>
      <c r="AX34" s="332"/>
      <c r="AY34" s="333"/>
      <c r="AZ34" s="330" t="str">
        <f t="shared" si="44"/>
        <v>0</v>
      </c>
      <c r="BA34" s="332"/>
      <c r="BB34" s="333"/>
      <c r="BC34" s="330" t="str">
        <f t="shared" si="45"/>
        <v>0</v>
      </c>
      <c r="BD34" s="332"/>
      <c r="BE34" s="333"/>
      <c r="BF34" s="330" t="str">
        <f t="shared" si="46"/>
        <v>0</v>
      </c>
      <c r="BG34" s="332"/>
      <c r="BH34" s="333"/>
      <c r="BI34" s="330" t="str">
        <f t="shared" si="47"/>
        <v>0</v>
      </c>
      <c r="BJ34" s="332"/>
      <c r="BK34" s="333"/>
      <c r="BL34" s="330" t="str">
        <f t="shared" si="48"/>
        <v>0</v>
      </c>
      <c r="BM34" s="332"/>
      <c r="BN34" s="333"/>
      <c r="BO34" s="330" t="str">
        <f t="shared" si="49"/>
        <v>0</v>
      </c>
      <c r="BP34" s="332"/>
      <c r="BQ34" s="333"/>
      <c r="BR34" s="330" t="str">
        <f t="shared" si="50"/>
        <v>0</v>
      </c>
      <c r="BS34" s="332"/>
      <c r="BT34" s="333"/>
      <c r="BU34" s="330" t="str">
        <f t="shared" si="51"/>
        <v>0</v>
      </c>
      <c r="BV34" s="332"/>
      <c r="BW34" s="333"/>
      <c r="BX34" s="330" t="str">
        <f t="shared" si="52"/>
        <v>0</v>
      </c>
      <c r="BY34" s="332"/>
      <c r="BZ34" s="333"/>
      <c r="CA34" s="330" t="str">
        <f t="shared" si="53"/>
        <v>0</v>
      </c>
      <c r="CB34" s="332"/>
      <c r="CC34" s="333"/>
      <c r="CD34" s="330" t="str">
        <f t="shared" si="54"/>
        <v>0</v>
      </c>
      <c r="CE34" s="332"/>
      <c r="CF34" s="333"/>
      <c r="CG34" s="330" t="str">
        <f t="shared" si="55"/>
        <v>0</v>
      </c>
      <c r="CH34" s="332"/>
      <c r="CI34" s="333"/>
      <c r="CJ34" s="330" t="str">
        <f t="shared" si="56"/>
        <v>0</v>
      </c>
      <c r="CK34" s="332"/>
      <c r="CL34" s="333"/>
      <c r="CM34" s="330" t="str">
        <f t="shared" si="57"/>
        <v>0</v>
      </c>
      <c r="CN34" s="332"/>
      <c r="CO34" s="333"/>
      <c r="CP34" s="330" t="str">
        <f t="shared" si="58"/>
        <v>0</v>
      </c>
      <c r="CQ34" s="332"/>
      <c r="CR34" s="333"/>
      <c r="CS34" s="330" t="str">
        <f t="shared" si="59"/>
        <v>0</v>
      </c>
      <c r="CT34" s="332"/>
      <c r="CU34" s="333"/>
      <c r="CV34" s="351" t="str">
        <f t="shared" si="60"/>
        <v>0</v>
      </c>
      <c r="CW34" s="335"/>
      <c r="CX34" s="335"/>
      <c r="CY34" s="335"/>
      <c r="CZ34" s="335"/>
      <c r="DA34" s="335"/>
      <c r="DB34" s="335"/>
      <c r="DC34" s="335"/>
      <c r="DD34" s="335"/>
      <c r="DE34" s="335"/>
      <c r="DF34" s="335"/>
      <c r="DG34" s="335"/>
      <c r="DH34" s="335"/>
    </row>
    <row r="35" spans="5:112" s="335" customFormat="1" ht="22.15" customHeight="1" x14ac:dyDescent="0.25">
      <c r="E35" s="326" t="str">
        <f>'2-2.근무표'!B34</f>
        <v>이도형</v>
      </c>
      <c r="F35" s="327" t="str">
        <f>'2-1.직원현황'!D34</f>
        <v>선택</v>
      </c>
      <c r="G35" s="327" t="str">
        <f>'2-1.직원현황'!E34</f>
        <v>파트타임</v>
      </c>
      <c r="H35" s="332"/>
      <c r="I35" s="333"/>
      <c r="J35" s="330" t="str">
        <f t="shared" si="61"/>
        <v>0</v>
      </c>
      <c r="K35" s="332"/>
      <c r="L35" s="333"/>
      <c r="M35" s="330" t="str">
        <f t="shared" si="31"/>
        <v>0</v>
      </c>
      <c r="N35" s="332"/>
      <c r="O35" s="333"/>
      <c r="P35" s="330"/>
      <c r="Q35" s="332"/>
      <c r="R35" s="333"/>
      <c r="S35" s="330" t="str">
        <f t="shared" si="33"/>
        <v>0</v>
      </c>
      <c r="T35" s="332"/>
      <c r="U35" s="333"/>
      <c r="V35" s="330" t="str">
        <f t="shared" si="34"/>
        <v>0</v>
      </c>
      <c r="W35" s="332"/>
      <c r="X35" s="333"/>
      <c r="Y35" s="330" t="str">
        <f t="shared" si="35"/>
        <v>0</v>
      </c>
      <c r="Z35" s="332"/>
      <c r="AA35" s="333"/>
      <c r="AB35" s="330" t="str">
        <f t="shared" si="36"/>
        <v>0</v>
      </c>
      <c r="AC35" s="332"/>
      <c r="AD35" s="333"/>
      <c r="AE35" s="330" t="str">
        <f t="shared" si="37"/>
        <v>0</v>
      </c>
      <c r="AF35" s="332"/>
      <c r="AG35" s="333"/>
      <c r="AH35" s="330" t="str">
        <f t="shared" si="38"/>
        <v>0</v>
      </c>
      <c r="AI35" s="332"/>
      <c r="AJ35" s="333"/>
      <c r="AK35" s="330" t="str">
        <f t="shared" si="39"/>
        <v>0</v>
      </c>
      <c r="AL35" s="332"/>
      <c r="AM35" s="333"/>
      <c r="AN35" s="330" t="str">
        <f t="shared" si="40"/>
        <v>0</v>
      </c>
      <c r="AO35" s="332"/>
      <c r="AP35" s="333"/>
      <c r="AQ35" s="330" t="str">
        <f t="shared" si="41"/>
        <v>0</v>
      </c>
      <c r="AR35" s="332"/>
      <c r="AS35" s="333"/>
      <c r="AT35" s="330" t="str">
        <f t="shared" si="42"/>
        <v>0</v>
      </c>
      <c r="AU35" s="332"/>
      <c r="AV35" s="333"/>
      <c r="AW35" s="330" t="str">
        <f t="shared" si="43"/>
        <v>0</v>
      </c>
      <c r="AX35" s="332"/>
      <c r="AY35" s="333"/>
      <c r="AZ35" s="330" t="str">
        <f t="shared" si="44"/>
        <v>0</v>
      </c>
      <c r="BA35" s="332"/>
      <c r="BB35" s="333"/>
      <c r="BC35" s="330" t="str">
        <f t="shared" si="45"/>
        <v>0</v>
      </c>
      <c r="BD35" s="332"/>
      <c r="BE35" s="333"/>
      <c r="BF35" s="330" t="str">
        <f t="shared" si="46"/>
        <v>0</v>
      </c>
      <c r="BG35" s="332"/>
      <c r="BH35" s="333"/>
      <c r="BI35" s="330" t="str">
        <f t="shared" si="47"/>
        <v>0</v>
      </c>
      <c r="BJ35" s="332"/>
      <c r="BK35" s="333"/>
      <c r="BL35" s="330" t="str">
        <f t="shared" si="48"/>
        <v>0</v>
      </c>
      <c r="BM35" s="332"/>
      <c r="BN35" s="333"/>
      <c r="BO35" s="330" t="str">
        <f t="shared" si="49"/>
        <v>0</v>
      </c>
      <c r="BP35" s="332"/>
      <c r="BQ35" s="333"/>
      <c r="BR35" s="330" t="str">
        <f t="shared" si="50"/>
        <v>0</v>
      </c>
      <c r="BS35" s="332"/>
      <c r="BT35" s="333"/>
      <c r="BU35" s="330" t="str">
        <f t="shared" si="51"/>
        <v>0</v>
      </c>
      <c r="BV35" s="332"/>
      <c r="BW35" s="333"/>
      <c r="BX35" s="330" t="str">
        <f t="shared" si="52"/>
        <v>0</v>
      </c>
      <c r="BY35" s="332"/>
      <c r="BZ35" s="333"/>
      <c r="CA35" s="330" t="str">
        <f t="shared" si="53"/>
        <v>0</v>
      </c>
      <c r="CB35" s="332"/>
      <c r="CC35" s="333"/>
      <c r="CD35" s="330" t="str">
        <f t="shared" si="54"/>
        <v>0</v>
      </c>
      <c r="CE35" s="332"/>
      <c r="CF35" s="333"/>
      <c r="CG35" s="330" t="str">
        <f t="shared" si="55"/>
        <v>0</v>
      </c>
      <c r="CH35" s="332"/>
      <c r="CI35" s="333"/>
      <c r="CJ35" s="330" t="str">
        <f t="shared" si="56"/>
        <v>0</v>
      </c>
      <c r="CK35" s="332"/>
      <c r="CL35" s="333"/>
      <c r="CM35" s="330" t="str">
        <f t="shared" si="57"/>
        <v>0</v>
      </c>
      <c r="CN35" s="332"/>
      <c r="CO35" s="333"/>
      <c r="CP35" s="330" t="str">
        <f t="shared" si="58"/>
        <v>0</v>
      </c>
      <c r="CQ35" s="332"/>
      <c r="CR35" s="333"/>
      <c r="CS35" s="330" t="str">
        <f t="shared" si="59"/>
        <v>0</v>
      </c>
      <c r="CT35" s="332"/>
      <c r="CU35" s="333"/>
      <c r="CV35" s="351" t="str">
        <f t="shared" si="60"/>
        <v>0</v>
      </c>
    </row>
    <row r="36" spans="5:112" s="335" customFormat="1" ht="22.15" customHeight="1" x14ac:dyDescent="0.25">
      <c r="E36" s="326" t="str">
        <f>'2-2.근무표'!B35</f>
        <v>송은비</v>
      </c>
      <c r="F36" s="327" t="str">
        <f>'2-1.직원현황'!D35</f>
        <v>선택</v>
      </c>
      <c r="G36" s="327" t="str">
        <f>'2-1.직원현황'!E35</f>
        <v>파트타임</v>
      </c>
      <c r="H36" s="332"/>
      <c r="I36" s="333"/>
      <c r="J36" s="330" t="str">
        <f t="shared" si="61"/>
        <v>0</v>
      </c>
      <c r="K36" s="332"/>
      <c r="L36" s="333"/>
      <c r="M36" s="330" t="str">
        <f t="shared" si="31"/>
        <v>0</v>
      </c>
      <c r="N36" s="332"/>
      <c r="O36" s="333"/>
      <c r="P36" s="330" t="str">
        <f t="shared" si="32"/>
        <v>0</v>
      </c>
      <c r="Q36" s="332"/>
      <c r="R36" s="333"/>
      <c r="S36" s="330" t="str">
        <f t="shared" si="33"/>
        <v>0</v>
      </c>
      <c r="T36" s="332"/>
      <c r="U36" s="333"/>
      <c r="V36" s="330" t="str">
        <f t="shared" si="34"/>
        <v>0</v>
      </c>
      <c r="W36" s="332"/>
      <c r="X36" s="333"/>
      <c r="Y36" s="330" t="str">
        <f t="shared" si="35"/>
        <v>0</v>
      </c>
      <c r="Z36" s="332"/>
      <c r="AA36" s="333"/>
      <c r="AB36" s="330" t="str">
        <f t="shared" si="36"/>
        <v>0</v>
      </c>
      <c r="AC36" s="332"/>
      <c r="AD36" s="333"/>
      <c r="AE36" s="330" t="str">
        <f t="shared" si="37"/>
        <v>0</v>
      </c>
      <c r="AF36" s="332"/>
      <c r="AG36" s="333"/>
      <c r="AH36" s="330" t="str">
        <f t="shared" si="38"/>
        <v>0</v>
      </c>
      <c r="AI36" s="332"/>
      <c r="AJ36" s="333"/>
      <c r="AK36" s="330" t="str">
        <f t="shared" si="39"/>
        <v>0</v>
      </c>
      <c r="AL36" s="332"/>
      <c r="AM36" s="333"/>
      <c r="AN36" s="330" t="str">
        <f t="shared" si="40"/>
        <v>0</v>
      </c>
      <c r="AO36" s="332"/>
      <c r="AP36" s="333"/>
      <c r="AQ36" s="330" t="str">
        <f t="shared" si="41"/>
        <v>0</v>
      </c>
      <c r="AR36" s="332"/>
      <c r="AS36" s="333"/>
      <c r="AT36" s="330" t="str">
        <f t="shared" si="42"/>
        <v>0</v>
      </c>
      <c r="AU36" s="332"/>
      <c r="AV36" s="333"/>
      <c r="AW36" s="330" t="str">
        <f t="shared" si="43"/>
        <v>0</v>
      </c>
      <c r="AX36" s="332"/>
      <c r="AY36" s="333"/>
      <c r="AZ36" s="330" t="str">
        <f t="shared" si="44"/>
        <v>0</v>
      </c>
      <c r="BA36" s="332"/>
      <c r="BB36" s="333"/>
      <c r="BC36" s="330" t="str">
        <f t="shared" si="45"/>
        <v>0</v>
      </c>
      <c r="BD36" s="332"/>
      <c r="BE36" s="333"/>
      <c r="BF36" s="330" t="str">
        <f t="shared" si="46"/>
        <v>0</v>
      </c>
      <c r="BG36" s="332"/>
      <c r="BH36" s="333"/>
      <c r="BI36" s="330" t="str">
        <f t="shared" si="47"/>
        <v>0</v>
      </c>
      <c r="BJ36" s="332"/>
      <c r="BK36" s="333"/>
      <c r="BL36" s="330" t="str">
        <f t="shared" si="48"/>
        <v>0</v>
      </c>
      <c r="BM36" s="332"/>
      <c r="BN36" s="333"/>
      <c r="BO36" s="330" t="str">
        <f t="shared" si="49"/>
        <v>0</v>
      </c>
      <c r="BP36" s="332"/>
      <c r="BQ36" s="333"/>
      <c r="BR36" s="330" t="str">
        <f t="shared" si="50"/>
        <v>0</v>
      </c>
      <c r="BS36" s="332"/>
      <c r="BT36" s="333"/>
      <c r="BU36" s="330" t="str">
        <f t="shared" si="51"/>
        <v>0</v>
      </c>
      <c r="BV36" s="332"/>
      <c r="BW36" s="333"/>
      <c r="BX36" s="330" t="str">
        <f t="shared" si="52"/>
        <v>0</v>
      </c>
      <c r="BY36" s="332"/>
      <c r="BZ36" s="333"/>
      <c r="CA36" s="330" t="str">
        <f t="shared" si="53"/>
        <v>0</v>
      </c>
      <c r="CB36" s="332"/>
      <c r="CC36" s="333"/>
      <c r="CD36" s="330" t="str">
        <f t="shared" si="54"/>
        <v>0</v>
      </c>
      <c r="CE36" s="332"/>
      <c r="CF36" s="333"/>
      <c r="CG36" s="330" t="str">
        <f t="shared" si="55"/>
        <v>0</v>
      </c>
      <c r="CH36" s="332"/>
      <c r="CI36" s="333"/>
      <c r="CJ36" s="330" t="str">
        <f t="shared" si="56"/>
        <v>0</v>
      </c>
      <c r="CK36" s="332"/>
      <c r="CL36" s="333"/>
      <c r="CM36" s="330" t="str">
        <f t="shared" si="57"/>
        <v>0</v>
      </c>
      <c r="CN36" s="332"/>
      <c r="CO36" s="333"/>
      <c r="CP36" s="330" t="str">
        <f t="shared" si="58"/>
        <v>0</v>
      </c>
      <c r="CQ36" s="332"/>
      <c r="CR36" s="333"/>
      <c r="CS36" s="330" t="str">
        <f t="shared" si="59"/>
        <v>0</v>
      </c>
      <c r="CT36" s="332"/>
      <c r="CU36" s="333"/>
      <c r="CV36" s="351" t="str">
        <f t="shared" si="60"/>
        <v>0</v>
      </c>
    </row>
    <row r="37" spans="5:112" s="335" customFormat="1" ht="22.15" customHeight="1" x14ac:dyDescent="0.25">
      <c r="E37" s="326" t="str">
        <f>'2-2.근무표'!B36</f>
        <v>김범창</v>
      </c>
      <c r="F37" s="327" t="str">
        <f>'2-1.직원현황'!D36</f>
        <v>선택</v>
      </c>
      <c r="G37" s="327" t="str">
        <f>'2-1.직원현황'!E36</f>
        <v>파트타임</v>
      </c>
      <c r="H37" s="332"/>
      <c r="I37" s="333"/>
      <c r="J37" s="330" t="str">
        <f t="shared" si="61"/>
        <v>0</v>
      </c>
      <c r="K37" s="332"/>
      <c r="L37" s="333"/>
      <c r="M37" s="330" t="str">
        <f t="shared" si="31"/>
        <v>0</v>
      </c>
      <c r="N37" s="332"/>
      <c r="O37" s="333"/>
      <c r="P37" s="330" t="str">
        <f t="shared" si="32"/>
        <v>0</v>
      </c>
      <c r="Q37" s="332"/>
      <c r="R37" s="333"/>
      <c r="S37" s="330" t="str">
        <f t="shared" si="33"/>
        <v>0</v>
      </c>
      <c r="T37" s="332"/>
      <c r="U37" s="333"/>
      <c r="V37" s="330" t="str">
        <f t="shared" si="34"/>
        <v>0</v>
      </c>
      <c r="W37" s="332"/>
      <c r="X37" s="333"/>
      <c r="Y37" s="330" t="str">
        <f t="shared" si="35"/>
        <v>0</v>
      </c>
      <c r="Z37" s="332"/>
      <c r="AA37" s="333"/>
      <c r="AB37" s="330" t="str">
        <f t="shared" si="36"/>
        <v>0</v>
      </c>
      <c r="AC37" s="332"/>
      <c r="AD37" s="333"/>
      <c r="AE37" s="330" t="str">
        <f t="shared" si="37"/>
        <v>0</v>
      </c>
      <c r="AF37" s="332"/>
      <c r="AG37" s="333"/>
      <c r="AH37" s="330" t="str">
        <f t="shared" si="38"/>
        <v>0</v>
      </c>
      <c r="AI37" s="332"/>
      <c r="AJ37" s="333"/>
      <c r="AK37" s="330" t="str">
        <f t="shared" si="39"/>
        <v>0</v>
      </c>
      <c r="AL37" s="332"/>
      <c r="AM37" s="333"/>
      <c r="AN37" s="330" t="str">
        <f t="shared" si="40"/>
        <v>0</v>
      </c>
      <c r="AO37" s="332"/>
      <c r="AP37" s="333"/>
      <c r="AQ37" s="330" t="str">
        <f t="shared" si="41"/>
        <v>0</v>
      </c>
      <c r="AR37" s="332"/>
      <c r="AS37" s="333"/>
      <c r="AT37" s="330" t="str">
        <f t="shared" si="42"/>
        <v>0</v>
      </c>
      <c r="AU37" s="332"/>
      <c r="AV37" s="333"/>
      <c r="AW37" s="330" t="str">
        <f t="shared" si="43"/>
        <v>0</v>
      </c>
      <c r="AX37" s="332"/>
      <c r="AY37" s="333"/>
      <c r="AZ37" s="330" t="str">
        <f t="shared" si="44"/>
        <v>0</v>
      </c>
      <c r="BA37" s="332"/>
      <c r="BB37" s="333"/>
      <c r="BC37" s="330" t="str">
        <f t="shared" si="45"/>
        <v>0</v>
      </c>
      <c r="BD37" s="332"/>
      <c r="BE37" s="333"/>
      <c r="BF37" s="330" t="str">
        <f t="shared" si="46"/>
        <v>0</v>
      </c>
      <c r="BG37" s="332"/>
      <c r="BH37" s="333"/>
      <c r="BI37" s="330" t="str">
        <f t="shared" si="47"/>
        <v>0</v>
      </c>
      <c r="BJ37" s="332"/>
      <c r="BK37" s="333"/>
      <c r="BL37" s="330" t="str">
        <f t="shared" si="48"/>
        <v>0</v>
      </c>
      <c r="BM37" s="332"/>
      <c r="BN37" s="333"/>
      <c r="BO37" s="330" t="str">
        <f t="shared" si="49"/>
        <v>0</v>
      </c>
      <c r="BP37" s="332"/>
      <c r="BQ37" s="333"/>
      <c r="BR37" s="330" t="str">
        <f t="shared" si="50"/>
        <v>0</v>
      </c>
      <c r="BS37" s="332"/>
      <c r="BT37" s="333"/>
      <c r="BU37" s="330" t="str">
        <f t="shared" si="51"/>
        <v>0</v>
      </c>
      <c r="BV37" s="332"/>
      <c r="BW37" s="333"/>
      <c r="BX37" s="330" t="str">
        <f t="shared" si="52"/>
        <v>0</v>
      </c>
      <c r="BY37" s="332"/>
      <c r="BZ37" s="333"/>
      <c r="CA37" s="330" t="str">
        <f t="shared" si="53"/>
        <v>0</v>
      </c>
      <c r="CB37" s="332"/>
      <c r="CC37" s="333"/>
      <c r="CD37" s="330" t="str">
        <f t="shared" si="54"/>
        <v>0</v>
      </c>
      <c r="CE37" s="332"/>
      <c r="CF37" s="333"/>
      <c r="CG37" s="330" t="str">
        <f t="shared" si="55"/>
        <v>0</v>
      </c>
      <c r="CH37" s="332"/>
      <c r="CI37" s="333"/>
      <c r="CJ37" s="330" t="str">
        <f t="shared" si="56"/>
        <v>0</v>
      </c>
      <c r="CK37" s="332"/>
      <c r="CL37" s="333"/>
      <c r="CM37" s="330" t="str">
        <f t="shared" si="57"/>
        <v>0</v>
      </c>
      <c r="CN37" s="332"/>
      <c r="CO37" s="333"/>
      <c r="CP37" s="330" t="str">
        <f t="shared" si="58"/>
        <v>0</v>
      </c>
      <c r="CQ37" s="332"/>
      <c r="CR37" s="333"/>
      <c r="CS37" s="330" t="str">
        <f t="shared" si="59"/>
        <v>0</v>
      </c>
      <c r="CT37" s="332"/>
      <c r="CU37" s="333"/>
      <c r="CV37" s="351" t="str">
        <f t="shared" si="60"/>
        <v>0</v>
      </c>
    </row>
    <row r="38" spans="5:112" s="335" customFormat="1" ht="22.15" customHeight="1" x14ac:dyDescent="0.25">
      <c r="E38" s="326">
        <f>'2-2.근무표'!B37</f>
        <v>0</v>
      </c>
      <c r="F38" s="327" t="str">
        <f>'2-1.직원현황'!D37</f>
        <v>선택</v>
      </c>
      <c r="G38" s="327" t="str">
        <f>'2-1.직원현황'!E37</f>
        <v>파트타임</v>
      </c>
      <c r="H38" s="332"/>
      <c r="I38" s="333"/>
      <c r="J38" s="330" t="str">
        <f t="shared" si="61"/>
        <v>0</v>
      </c>
      <c r="K38" s="332"/>
      <c r="L38" s="333"/>
      <c r="M38" s="330" t="str">
        <f t="shared" si="31"/>
        <v>0</v>
      </c>
      <c r="N38" s="332"/>
      <c r="O38" s="333"/>
      <c r="P38" s="330" t="str">
        <f t="shared" si="32"/>
        <v>0</v>
      </c>
      <c r="Q38" s="332"/>
      <c r="R38" s="333"/>
      <c r="S38" s="330" t="str">
        <f t="shared" si="33"/>
        <v>0</v>
      </c>
      <c r="T38" s="332"/>
      <c r="U38" s="333"/>
      <c r="V38" s="330" t="str">
        <f t="shared" si="34"/>
        <v>0</v>
      </c>
      <c r="W38" s="332"/>
      <c r="X38" s="333"/>
      <c r="Y38" s="330" t="str">
        <f t="shared" si="35"/>
        <v>0</v>
      </c>
      <c r="Z38" s="332"/>
      <c r="AA38" s="333"/>
      <c r="AB38" s="330" t="str">
        <f t="shared" si="36"/>
        <v>0</v>
      </c>
      <c r="AC38" s="332"/>
      <c r="AD38" s="333"/>
      <c r="AE38" s="330" t="str">
        <f t="shared" si="37"/>
        <v>0</v>
      </c>
      <c r="AF38" s="332"/>
      <c r="AG38" s="333"/>
      <c r="AH38" s="330" t="str">
        <f t="shared" si="38"/>
        <v>0</v>
      </c>
      <c r="AI38" s="332"/>
      <c r="AJ38" s="333"/>
      <c r="AK38" s="330" t="str">
        <f t="shared" si="39"/>
        <v>0</v>
      </c>
      <c r="AL38" s="332"/>
      <c r="AM38" s="333"/>
      <c r="AN38" s="330" t="str">
        <f t="shared" si="40"/>
        <v>0</v>
      </c>
      <c r="AO38" s="332"/>
      <c r="AP38" s="333"/>
      <c r="AQ38" s="330" t="str">
        <f t="shared" si="41"/>
        <v>0</v>
      </c>
      <c r="AR38" s="332"/>
      <c r="AS38" s="333"/>
      <c r="AT38" s="330" t="str">
        <f t="shared" si="42"/>
        <v>0</v>
      </c>
      <c r="AU38" s="332"/>
      <c r="AV38" s="333"/>
      <c r="AW38" s="330" t="str">
        <f t="shared" si="43"/>
        <v>0</v>
      </c>
      <c r="AX38" s="332"/>
      <c r="AY38" s="333"/>
      <c r="AZ38" s="330" t="str">
        <f t="shared" si="44"/>
        <v>0</v>
      </c>
      <c r="BA38" s="332"/>
      <c r="BB38" s="333"/>
      <c r="BC38" s="330" t="str">
        <f t="shared" si="45"/>
        <v>0</v>
      </c>
      <c r="BD38" s="332"/>
      <c r="BE38" s="333"/>
      <c r="BF38" s="330" t="str">
        <f t="shared" si="46"/>
        <v>0</v>
      </c>
      <c r="BG38" s="332"/>
      <c r="BH38" s="333"/>
      <c r="BI38" s="330" t="str">
        <f t="shared" si="47"/>
        <v>0</v>
      </c>
      <c r="BJ38" s="332"/>
      <c r="BK38" s="333"/>
      <c r="BL38" s="330" t="str">
        <f t="shared" si="48"/>
        <v>0</v>
      </c>
      <c r="BM38" s="332"/>
      <c r="BN38" s="333"/>
      <c r="BO38" s="330" t="str">
        <f t="shared" si="49"/>
        <v>0</v>
      </c>
      <c r="BP38" s="332"/>
      <c r="BQ38" s="333"/>
      <c r="BR38" s="330" t="str">
        <f t="shared" si="50"/>
        <v>0</v>
      </c>
      <c r="BS38" s="332"/>
      <c r="BT38" s="333"/>
      <c r="BU38" s="330" t="str">
        <f t="shared" si="51"/>
        <v>0</v>
      </c>
      <c r="BV38" s="332"/>
      <c r="BW38" s="333"/>
      <c r="BX38" s="330" t="str">
        <f t="shared" si="52"/>
        <v>0</v>
      </c>
      <c r="BY38" s="332"/>
      <c r="BZ38" s="333"/>
      <c r="CA38" s="330" t="str">
        <f t="shared" si="53"/>
        <v>0</v>
      </c>
      <c r="CB38" s="332"/>
      <c r="CC38" s="333"/>
      <c r="CD38" s="330" t="str">
        <f t="shared" si="54"/>
        <v>0</v>
      </c>
      <c r="CE38" s="332"/>
      <c r="CF38" s="333"/>
      <c r="CG38" s="330" t="str">
        <f t="shared" si="55"/>
        <v>0</v>
      </c>
      <c r="CH38" s="332"/>
      <c r="CI38" s="333"/>
      <c r="CJ38" s="330" t="str">
        <f t="shared" si="56"/>
        <v>0</v>
      </c>
      <c r="CK38" s="332"/>
      <c r="CL38" s="333"/>
      <c r="CM38" s="330" t="str">
        <f t="shared" si="57"/>
        <v>0</v>
      </c>
      <c r="CN38" s="332"/>
      <c r="CO38" s="333"/>
      <c r="CP38" s="330" t="str">
        <f t="shared" si="58"/>
        <v>0</v>
      </c>
      <c r="CQ38" s="332"/>
      <c r="CR38" s="333"/>
      <c r="CS38" s="330" t="str">
        <f t="shared" si="59"/>
        <v>0</v>
      </c>
      <c r="CT38" s="332"/>
      <c r="CU38" s="333"/>
      <c r="CV38" s="351" t="str">
        <f t="shared" si="60"/>
        <v>0</v>
      </c>
    </row>
    <row r="39" spans="5:112" s="335" customFormat="1" ht="22.15" customHeight="1" x14ac:dyDescent="0.25">
      <c r="E39" s="326">
        <f>'2-2.근무표'!B38</f>
        <v>0</v>
      </c>
      <c r="F39" s="327" t="str">
        <f>'2-1.직원현황'!D38</f>
        <v>선택</v>
      </c>
      <c r="G39" s="327" t="str">
        <f>'2-1.직원현황'!E38</f>
        <v>파트타임</v>
      </c>
      <c r="H39" s="332"/>
      <c r="I39" s="333"/>
      <c r="J39" s="330" t="str">
        <f t="shared" si="61"/>
        <v>0</v>
      </c>
      <c r="K39" s="332"/>
      <c r="L39" s="333"/>
      <c r="M39" s="330" t="str">
        <f t="shared" si="31"/>
        <v>0</v>
      </c>
      <c r="N39" s="332"/>
      <c r="O39" s="333"/>
      <c r="P39" s="330" t="str">
        <f t="shared" si="32"/>
        <v>0</v>
      </c>
      <c r="Q39" s="332"/>
      <c r="R39" s="333"/>
      <c r="S39" s="330" t="str">
        <f t="shared" si="33"/>
        <v>0</v>
      </c>
      <c r="T39" s="332"/>
      <c r="U39" s="333"/>
      <c r="V39" s="330" t="str">
        <f t="shared" si="34"/>
        <v>0</v>
      </c>
      <c r="W39" s="332"/>
      <c r="X39" s="333"/>
      <c r="Y39" s="330" t="str">
        <f t="shared" si="35"/>
        <v>0</v>
      </c>
      <c r="Z39" s="332"/>
      <c r="AA39" s="333"/>
      <c r="AB39" s="330" t="str">
        <f t="shared" si="36"/>
        <v>0</v>
      </c>
      <c r="AC39" s="332"/>
      <c r="AD39" s="333"/>
      <c r="AE39" s="330" t="str">
        <f t="shared" si="37"/>
        <v>0</v>
      </c>
      <c r="AF39" s="332"/>
      <c r="AG39" s="333"/>
      <c r="AH39" s="330" t="str">
        <f t="shared" si="38"/>
        <v>0</v>
      </c>
      <c r="AI39" s="332"/>
      <c r="AJ39" s="333"/>
      <c r="AK39" s="330" t="str">
        <f t="shared" si="39"/>
        <v>0</v>
      </c>
      <c r="AL39" s="332"/>
      <c r="AM39" s="333"/>
      <c r="AN39" s="330" t="str">
        <f t="shared" si="40"/>
        <v>0</v>
      </c>
      <c r="AO39" s="332"/>
      <c r="AP39" s="333"/>
      <c r="AQ39" s="330" t="str">
        <f t="shared" si="41"/>
        <v>0</v>
      </c>
      <c r="AR39" s="332"/>
      <c r="AS39" s="333"/>
      <c r="AT39" s="330" t="str">
        <f t="shared" si="42"/>
        <v>0</v>
      </c>
      <c r="AU39" s="332"/>
      <c r="AV39" s="333"/>
      <c r="AW39" s="330" t="str">
        <f t="shared" si="43"/>
        <v>0</v>
      </c>
      <c r="AX39" s="332"/>
      <c r="AY39" s="333"/>
      <c r="AZ39" s="330" t="str">
        <f t="shared" si="44"/>
        <v>0</v>
      </c>
      <c r="BA39" s="332"/>
      <c r="BB39" s="333"/>
      <c r="BC39" s="330" t="str">
        <f t="shared" si="45"/>
        <v>0</v>
      </c>
      <c r="BD39" s="332"/>
      <c r="BE39" s="333"/>
      <c r="BF39" s="330" t="str">
        <f t="shared" si="46"/>
        <v>0</v>
      </c>
      <c r="BG39" s="332"/>
      <c r="BH39" s="333"/>
      <c r="BI39" s="330" t="str">
        <f t="shared" si="47"/>
        <v>0</v>
      </c>
      <c r="BJ39" s="332"/>
      <c r="BK39" s="333"/>
      <c r="BL39" s="330" t="str">
        <f t="shared" si="48"/>
        <v>0</v>
      </c>
      <c r="BM39" s="332"/>
      <c r="BN39" s="333"/>
      <c r="BO39" s="330" t="str">
        <f t="shared" si="49"/>
        <v>0</v>
      </c>
      <c r="BP39" s="332"/>
      <c r="BQ39" s="333"/>
      <c r="BR39" s="330" t="str">
        <f t="shared" si="50"/>
        <v>0</v>
      </c>
      <c r="BS39" s="332"/>
      <c r="BT39" s="333"/>
      <c r="BU39" s="330" t="str">
        <f t="shared" si="51"/>
        <v>0</v>
      </c>
      <c r="BV39" s="332"/>
      <c r="BW39" s="333"/>
      <c r="BX39" s="330" t="str">
        <f t="shared" si="52"/>
        <v>0</v>
      </c>
      <c r="BY39" s="332"/>
      <c r="BZ39" s="333"/>
      <c r="CA39" s="330" t="str">
        <f t="shared" si="53"/>
        <v>0</v>
      </c>
      <c r="CB39" s="332"/>
      <c r="CC39" s="333"/>
      <c r="CD39" s="330" t="str">
        <f t="shared" si="54"/>
        <v>0</v>
      </c>
      <c r="CE39" s="332"/>
      <c r="CF39" s="333"/>
      <c r="CG39" s="330" t="str">
        <f t="shared" si="55"/>
        <v>0</v>
      </c>
      <c r="CH39" s="332"/>
      <c r="CI39" s="333"/>
      <c r="CJ39" s="330" t="str">
        <f t="shared" si="56"/>
        <v>0</v>
      </c>
      <c r="CK39" s="332"/>
      <c r="CL39" s="333"/>
      <c r="CM39" s="330" t="str">
        <f t="shared" si="57"/>
        <v>0</v>
      </c>
      <c r="CN39" s="332"/>
      <c r="CO39" s="333"/>
      <c r="CP39" s="330" t="str">
        <f t="shared" si="58"/>
        <v>0</v>
      </c>
      <c r="CQ39" s="332"/>
      <c r="CR39" s="333"/>
      <c r="CS39" s="330" t="str">
        <f t="shared" si="59"/>
        <v>0</v>
      </c>
      <c r="CT39" s="332"/>
      <c r="CU39" s="333"/>
      <c r="CV39" s="351" t="str">
        <f t="shared" si="60"/>
        <v>0</v>
      </c>
    </row>
    <row r="40" spans="5:112" s="335" customFormat="1" ht="22.15" customHeight="1" x14ac:dyDescent="0.25">
      <c r="E40" s="326">
        <f>'2-2.근무표'!B39</f>
        <v>0</v>
      </c>
      <c r="F40" s="327" t="str">
        <f>'2-1.직원현황'!D39</f>
        <v>선택</v>
      </c>
      <c r="G40" s="327" t="str">
        <f>'2-1.직원현황'!E39</f>
        <v>파트타임</v>
      </c>
      <c r="H40" s="332"/>
      <c r="I40" s="333"/>
      <c r="J40" s="330" t="str">
        <f t="shared" si="61"/>
        <v>0</v>
      </c>
      <c r="K40" s="332"/>
      <c r="L40" s="333"/>
      <c r="M40" s="330" t="str">
        <f t="shared" si="31"/>
        <v>0</v>
      </c>
      <c r="N40" s="332"/>
      <c r="O40" s="333"/>
      <c r="P40" s="330" t="str">
        <f t="shared" si="32"/>
        <v>0</v>
      </c>
      <c r="Q40" s="332"/>
      <c r="R40" s="333"/>
      <c r="S40" s="330" t="str">
        <f t="shared" si="33"/>
        <v>0</v>
      </c>
      <c r="T40" s="332"/>
      <c r="U40" s="333"/>
      <c r="V40" s="330" t="str">
        <f t="shared" si="34"/>
        <v>0</v>
      </c>
      <c r="W40" s="332"/>
      <c r="X40" s="333"/>
      <c r="Y40" s="330" t="str">
        <f t="shared" si="35"/>
        <v>0</v>
      </c>
      <c r="Z40" s="332"/>
      <c r="AA40" s="333"/>
      <c r="AB40" s="330" t="str">
        <f t="shared" si="36"/>
        <v>0</v>
      </c>
      <c r="AC40" s="332"/>
      <c r="AD40" s="333"/>
      <c r="AE40" s="330" t="str">
        <f t="shared" si="37"/>
        <v>0</v>
      </c>
      <c r="AF40" s="332"/>
      <c r="AG40" s="333"/>
      <c r="AH40" s="330" t="str">
        <f t="shared" si="38"/>
        <v>0</v>
      </c>
      <c r="AI40" s="332"/>
      <c r="AJ40" s="333"/>
      <c r="AK40" s="330" t="str">
        <f t="shared" si="39"/>
        <v>0</v>
      </c>
      <c r="AL40" s="332"/>
      <c r="AM40" s="333"/>
      <c r="AN40" s="330" t="str">
        <f t="shared" si="40"/>
        <v>0</v>
      </c>
      <c r="AO40" s="332"/>
      <c r="AP40" s="333"/>
      <c r="AQ40" s="330" t="str">
        <f t="shared" si="41"/>
        <v>0</v>
      </c>
      <c r="AR40" s="332"/>
      <c r="AS40" s="333"/>
      <c r="AT40" s="330" t="str">
        <f t="shared" si="42"/>
        <v>0</v>
      </c>
      <c r="AU40" s="332"/>
      <c r="AV40" s="333"/>
      <c r="AW40" s="330" t="str">
        <f t="shared" si="43"/>
        <v>0</v>
      </c>
      <c r="AX40" s="332"/>
      <c r="AY40" s="333"/>
      <c r="AZ40" s="330" t="str">
        <f t="shared" si="44"/>
        <v>0</v>
      </c>
      <c r="BA40" s="332"/>
      <c r="BB40" s="333"/>
      <c r="BC40" s="330" t="str">
        <f t="shared" si="45"/>
        <v>0</v>
      </c>
      <c r="BD40" s="332"/>
      <c r="BE40" s="333"/>
      <c r="BF40" s="330" t="str">
        <f t="shared" si="46"/>
        <v>0</v>
      </c>
      <c r="BG40" s="332"/>
      <c r="BH40" s="333"/>
      <c r="BI40" s="330" t="str">
        <f t="shared" si="47"/>
        <v>0</v>
      </c>
      <c r="BJ40" s="332"/>
      <c r="BK40" s="333"/>
      <c r="BL40" s="330" t="str">
        <f t="shared" si="48"/>
        <v>0</v>
      </c>
      <c r="BM40" s="332"/>
      <c r="BN40" s="333"/>
      <c r="BO40" s="330" t="str">
        <f t="shared" si="49"/>
        <v>0</v>
      </c>
      <c r="BP40" s="332"/>
      <c r="BQ40" s="333"/>
      <c r="BR40" s="330" t="str">
        <f t="shared" si="50"/>
        <v>0</v>
      </c>
      <c r="BS40" s="332"/>
      <c r="BT40" s="333"/>
      <c r="BU40" s="330" t="str">
        <f t="shared" si="51"/>
        <v>0</v>
      </c>
      <c r="BV40" s="332"/>
      <c r="BW40" s="333"/>
      <c r="BX40" s="330" t="str">
        <f t="shared" si="52"/>
        <v>0</v>
      </c>
      <c r="BY40" s="332"/>
      <c r="BZ40" s="333"/>
      <c r="CA40" s="330" t="str">
        <f t="shared" si="53"/>
        <v>0</v>
      </c>
      <c r="CB40" s="332"/>
      <c r="CC40" s="333"/>
      <c r="CD40" s="330" t="str">
        <f t="shared" si="54"/>
        <v>0</v>
      </c>
      <c r="CE40" s="332"/>
      <c r="CF40" s="333"/>
      <c r="CG40" s="330" t="str">
        <f t="shared" si="55"/>
        <v>0</v>
      </c>
      <c r="CH40" s="332"/>
      <c r="CI40" s="333"/>
      <c r="CJ40" s="330" t="str">
        <f t="shared" si="56"/>
        <v>0</v>
      </c>
      <c r="CK40" s="332"/>
      <c r="CL40" s="333"/>
      <c r="CM40" s="330" t="str">
        <f t="shared" si="57"/>
        <v>0</v>
      </c>
      <c r="CN40" s="332"/>
      <c r="CO40" s="333"/>
      <c r="CP40" s="330" t="str">
        <f t="shared" si="58"/>
        <v>0</v>
      </c>
      <c r="CQ40" s="332"/>
      <c r="CR40" s="333"/>
      <c r="CS40" s="330" t="str">
        <f t="shared" si="59"/>
        <v>0</v>
      </c>
      <c r="CT40" s="332"/>
      <c r="CU40" s="333"/>
      <c r="CV40" s="351" t="str">
        <f t="shared" si="60"/>
        <v>0</v>
      </c>
    </row>
    <row r="41" spans="5:112" s="335" customFormat="1" ht="22.15" customHeight="1" x14ac:dyDescent="0.25">
      <c r="E41" s="326">
        <f>'2-2.근무표'!B40</f>
        <v>0</v>
      </c>
      <c r="F41" s="327" t="str">
        <f>'2-1.직원현황'!D40</f>
        <v>선택</v>
      </c>
      <c r="G41" s="327" t="str">
        <f>'2-1.직원현황'!E40</f>
        <v>파트타임</v>
      </c>
      <c r="H41" s="332"/>
      <c r="I41" s="333"/>
      <c r="J41" s="330" t="str">
        <f t="shared" ref="J41:J46" si="62">IFERROR(IF(((I41-H41+(I41&lt;H41))*24)=0,"0",(I41-H41+(I41&lt;H41))*24),"")</f>
        <v>0</v>
      </c>
      <c r="K41" s="332"/>
      <c r="L41" s="333"/>
      <c r="M41" s="330" t="str">
        <f t="shared" si="31"/>
        <v>0</v>
      </c>
      <c r="N41" s="332"/>
      <c r="O41" s="333"/>
      <c r="P41" s="330" t="str">
        <f t="shared" ref="P41:P46" si="63">IFERROR(IF(((O41-N41+(O41&lt;N41))*24)=0,"0",(O41-N41+(O41&lt;N41))*24),"")</f>
        <v>0</v>
      </c>
      <c r="Q41" s="332"/>
      <c r="R41" s="333"/>
      <c r="S41" s="330" t="str">
        <f t="shared" si="33"/>
        <v>0</v>
      </c>
      <c r="T41" s="332"/>
      <c r="U41" s="333"/>
      <c r="V41" s="330" t="str">
        <f t="shared" si="34"/>
        <v>0</v>
      </c>
      <c r="W41" s="332"/>
      <c r="X41" s="333"/>
      <c r="Y41" s="330" t="str">
        <f t="shared" si="35"/>
        <v>0</v>
      </c>
      <c r="Z41" s="332"/>
      <c r="AA41" s="333"/>
      <c r="AB41" s="330" t="str">
        <f t="shared" si="36"/>
        <v>0</v>
      </c>
      <c r="AC41" s="332"/>
      <c r="AD41" s="333"/>
      <c r="AE41" s="330" t="str">
        <f t="shared" si="37"/>
        <v>0</v>
      </c>
      <c r="AF41" s="332"/>
      <c r="AG41" s="333"/>
      <c r="AH41" s="330" t="str">
        <f t="shared" si="38"/>
        <v>0</v>
      </c>
      <c r="AI41" s="332"/>
      <c r="AJ41" s="333"/>
      <c r="AK41" s="330" t="str">
        <f t="shared" si="39"/>
        <v>0</v>
      </c>
      <c r="AL41" s="332"/>
      <c r="AM41" s="333"/>
      <c r="AN41" s="330" t="str">
        <f t="shared" si="40"/>
        <v>0</v>
      </c>
      <c r="AO41" s="332"/>
      <c r="AP41" s="333"/>
      <c r="AQ41" s="330" t="str">
        <f t="shared" si="41"/>
        <v>0</v>
      </c>
      <c r="AR41" s="332"/>
      <c r="AS41" s="333"/>
      <c r="AT41" s="330" t="str">
        <f t="shared" si="42"/>
        <v>0</v>
      </c>
      <c r="AU41" s="332"/>
      <c r="AV41" s="333"/>
      <c r="AW41" s="330" t="str">
        <f t="shared" si="43"/>
        <v>0</v>
      </c>
      <c r="AX41" s="332"/>
      <c r="AY41" s="333"/>
      <c r="AZ41" s="330" t="str">
        <f t="shared" si="44"/>
        <v>0</v>
      </c>
      <c r="BA41" s="332"/>
      <c r="BB41" s="333"/>
      <c r="BC41" s="330" t="str">
        <f t="shared" si="45"/>
        <v>0</v>
      </c>
      <c r="BD41" s="332"/>
      <c r="BE41" s="333"/>
      <c r="BF41" s="330" t="str">
        <f t="shared" si="46"/>
        <v>0</v>
      </c>
      <c r="BG41" s="332"/>
      <c r="BH41" s="333"/>
      <c r="BI41" s="330" t="str">
        <f t="shared" si="47"/>
        <v>0</v>
      </c>
      <c r="BJ41" s="332"/>
      <c r="BK41" s="333"/>
      <c r="BL41" s="330" t="str">
        <f t="shared" si="48"/>
        <v>0</v>
      </c>
      <c r="BM41" s="332"/>
      <c r="BN41" s="333"/>
      <c r="BO41" s="330" t="str">
        <f t="shared" si="49"/>
        <v>0</v>
      </c>
      <c r="BP41" s="332"/>
      <c r="BQ41" s="333"/>
      <c r="BR41" s="330" t="str">
        <f t="shared" si="50"/>
        <v>0</v>
      </c>
      <c r="BS41" s="332"/>
      <c r="BT41" s="333"/>
      <c r="BU41" s="330" t="str">
        <f t="shared" si="51"/>
        <v>0</v>
      </c>
      <c r="BV41" s="332"/>
      <c r="BW41" s="333"/>
      <c r="BX41" s="330" t="str">
        <f t="shared" si="52"/>
        <v>0</v>
      </c>
      <c r="BY41" s="332"/>
      <c r="BZ41" s="333"/>
      <c r="CA41" s="330" t="str">
        <f t="shared" si="53"/>
        <v>0</v>
      </c>
      <c r="CB41" s="332"/>
      <c r="CC41" s="333"/>
      <c r="CD41" s="330" t="str">
        <f t="shared" si="54"/>
        <v>0</v>
      </c>
      <c r="CE41" s="332"/>
      <c r="CF41" s="333"/>
      <c r="CG41" s="330" t="str">
        <f t="shared" si="55"/>
        <v>0</v>
      </c>
      <c r="CH41" s="332"/>
      <c r="CI41" s="333"/>
      <c r="CJ41" s="330" t="str">
        <f t="shared" si="56"/>
        <v>0</v>
      </c>
      <c r="CK41" s="332"/>
      <c r="CL41" s="333"/>
      <c r="CM41" s="330" t="str">
        <f t="shared" ref="CM41:CM46" si="64">IFERROR(IF(((CL41-CK41+(CL41&lt;CK41))*24)=0,"0",(CL41-CK41+(CL41&lt;CK41))*24),"")</f>
        <v>0</v>
      </c>
      <c r="CN41" s="332"/>
      <c r="CO41" s="333"/>
      <c r="CP41" s="330" t="str">
        <f t="shared" ref="CP41:CP46" si="65">IFERROR(IF(((CO41-CN41+(CO41&lt;CN41))*24)=0,"0",(CO41-CN41+(CO41&lt;CN41))*24),"")</f>
        <v>0</v>
      </c>
      <c r="CQ41" s="332"/>
      <c r="CR41" s="333"/>
      <c r="CS41" s="330" t="str">
        <f t="shared" ref="CS41:CS46" si="66">IFERROR(IF(((CR41-CQ41+(CR41&lt;CQ41))*24)=0,"0",(CR41-CQ41+(CR41&lt;CQ41))*24),"")</f>
        <v>0</v>
      </c>
      <c r="CT41" s="332"/>
      <c r="CU41" s="333"/>
      <c r="CV41" s="351" t="str">
        <f t="shared" ref="CV41:CV46" si="67">IFERROR(IF(((CU41-CT41+(CU41&lt;CT41))*24)=0,"0",(CU41-CT41+(CU41&lt;CT41))*24),"")</f>
        <v>0</v>
      </c>
    </row>
    <row r="42" spans="5:112" s="335" customFormat="1" ht="22.15" customHeight="1" x14ac:dyDescent="0.25">
      <c r="E42" s="326">
        <f>'2-2.근무표'!B41</f>
        <v>0</v>
      </c>
      <c r="F42" s="327" t="str">
        <f>'2-1.직원현황'!D41</f>
        <v>선택</v>
      </c>
      <c r="G42" s="327" t="str">
        <f>'2-1.직원현황'!E41</f>
        <v>파트타임</v>
      </c>
      <c r="H42" s="332"/>
      <c r="I42" s="333"/>
      <c r="J42" s="330" t="str">
        <f t="shared" si="62"/>
        <v>0</v>
      </c>
      <c r="K42" s="332"/>
      <c r="L42" s="333"/>
      <c r="M42" s="330" t="str">
        <f t="shared" si="31"/>
        <v>0</v>
      </c>
      <c r="N42" s="332"/>
      <c r="O42" s="333"/>
      <c r="P42" s="330" t="str">
        <f t="shared" si="63"/>
        <v>0</v>
      </c>
      <c r="Q42" s="332"/>
      <c r="R42" s="333"/>
      <c r="S42" s="330" t="str">
        <f t="shared" si="33"/>
        <v>0</v>
      </c>
      <c r="T42" s="332"/>
      <c r="U42" s="333"/>
      <c r="V42" s="330" t="str">
        <f t="shared" si="34"/>
        <v>0</v>
      </c>
      <c r="W42" s="332"/>
      <c r="X42" s="333"/>
      <c r="Y42" s="330" t="str">
        <f t="shared" si="35"/>
        <v>0</v>
      </c>
      <c r="Z42" s="332"/>
      <c r="AA42" s="333"/>
      <c r="AB42" s="330" t="str">
        <f t="shared" si="36"/>
        <v>0</v>
      </c>
      <c r="AC42" s="332"/>
      <c r="AD42" s="333"/>
      <c r="AE42" s="330" t="str">
        <f t="shared" si="37"/>
        <v>0</v>
      </c>
      <c r="AF42" s="332"/>
      <c r="AG42" s="333"/>
      <c r="AH42" s="330" t="str">
        <f t="shared" si="38"/>
        <v>0</v>
      </c>
      <c r="AI42" s="332"/>
      <c r="AJ42" s="333"/>
      <c r="AK42" s="330" t="str">
        <f t="shared" si="39"/>
        <v>0</v>
      </c>
      <c r="AL42" s="332"/>
      <c r="AM42" s="333"/>
      <c r="AN42" s="330" t="str">
        <f t="shared" si="40"/>
        <v>0</v>
      </c>
      <c r="AO42" s="332"/>
      <c r="AP42" s="333"/>
      <c r="AQ42" s="330" t="str">
        <f t="shared" si="41"/>
        <v>0</v>
      </c>
      <c r="AR42" s="332"/>
      <c r="AS42" s="333"/>
      <c r="AT42" s="330" t="str">
        <f t="shared" si="42"/>
        <v>0</v>
      </c>
      <c r="AU42" s="332"/>
      <c r="AV42" s="333"/>
      <c r="AW42" s="330" t="str">
        <f t="shared" si="43"/>
        <v>0</v>
      </c>
      <c r="AX42" s="332"/>
      <c r="AY42" s="333"/>
      <c r="AZ42" s="330" t="str">
        <f t="shared" si="44"/>
        <v>0</v>
      </c>
      <c r="BA42" s="332"/>
      <c r="BB42" s="333"/>
      <c r="BC42" s="330" t="str">
        <f t="shared" si="45"/>
        <v>0</v>
      </c>
      <c r="BD42" s="332"/>
      <c r="BE42" s="333"/>
      <c r="BF42" s="330" t="str">
        <f t="shared" si="46"/>
        <v>0</v>
      </c>
      <c r="BG42" s="332"/>
      <c r="BH42" s="333"/>
      <c r="BI42" s="330" t="str">
        <f t="shared" si="47"/>
        <v>0</v>
      </c>
      <c r="BJ42" s="332"/>
      <c r="BK42" s="333"/>
      <c r="BL42" s="330" t="str">
        <f t="shared" si="48"/>
        <v>0</v>
      </c>
      <c r="BM42" s="332"/>
      <c r="BN42" s="333"/>
      <c r="BO42" s="330" t="str">
        <f t="shared" si="49"/>
        <v>0</v>
      </c>
      <c r="BP42" s="332"/>
      <c r="BQ42" s="333"/>
      <c r="BR42" s="330" t="str">
        <f t="shared" si="50"/>
        <v>0</v>
      </c>
      <c r="BS42" s="332"/>
      <c r="BT42" s="333"/>
      <c r="BU42" s="330" t="str">
        <f t="shared" si="51"/>
        <v>0</v>
      </c>
      <c r="BV42" s="332"/>
      <c r="BW42" s="333"/>
      <c r="BX42" s="330" t="str">
        <f t="shared" si="52"/>
        <v>0</v>
      </c>
      <c r="BY42" s="332"/>
      <c r="BZ42" s="333"/>
      <c r="CA42" s="330" t="str">
        <f t="shared" si="53"/>
        <v>0</v>
      </c>
      <c r="CB42" s="332"/>
      <c r="CC42" s="333"/>
      <c r="CD42" s="330" t="str">
        <f t="shared" si="54"/>
        <v>0</v>
      </c>
      <c r="CE42" s="332"/>
      <c r="CF42" s="333"/>
      <c r="CG42" s="330" t="str">
        <f t="shared" si="55"/>
        <v>0</v>
      </c>
      <c r="CH42" s="332"/>
      <c r="CI42" s="333"/>
      <c r="CJ42" s="330" t="str">
        <f t="shared" si="56"/>
        <v>0</v>
      </c>
      <c r="CK42" s="332"/>
      <c r="CL42" s="333"/>
      <c r="CM42" s="330" t="str">
        <f t="shared" si="64"/>
        <v>0</v>
      </c>
      <c r="CN42" s="332"/>
      <c r="CO42" s="333"/>
      <c r="CP42" s="330" t="str">
        <f t="shared" si="65"/>
        <v>0</v>
      </c>
      <c r="CQ42" s="332"/>
      <c r="CR42" s="333"/>
      <c r="CS42" s="330" t="str">
        <f t="shared" si="66"/>
        <v>0</v>
      </c>
      <c r="CT42" s="332"/>
      <c r="CU42" s="333"/>
      <c r="CV42" s="351" t="str">
        <f t="shared" si="67"/>
        <v>0</v>
      </c>
    </row>
    <row r="43" spans="5:112" s="335" customFormat="1" ht="22.15" customHeight="1" x14ac:dyDescent="0.25">
      <c r="E43" s="326">
        <f>'2-2.근무표'!B42</f>
        <v>0</v>
      </c>
      <c r="F43" s="327" t="str">
        <f>'2-1.직원현황'!D42</f>
        <v>선택</v>
      </c>
      <c r="G43" s="327" t="str">
        <f>'2-1.직원현황'!E42</f>
        <v>파트타임</v>
      </c>
      <c r="H43" s="332"/>
      <c r="I43" s="333"/>
      <c r="J43" s="330" t="str">
        <f t="shared" si="62"/>
        <v>0</v>
      </c>
      <c r="K43" s="332"/>
      <c r="L43" s="333"/>
      <c r="M43" s="330" t="str">
        <f t="shared" si="31"/>
        <v>0</v>
      </c>
      <c r="N43" s="332"/>
      <c r="O43" s="333"/>
      <c r="P43" s="330" t="str">
        <f t="shared" si="63"/>
        <v>0</v>
      </c>
      <c r="Q43" s="332"/>
      <c r="R43" s="333"/>
      <c r="S43" s="330" t="str">
        <f t="shared" si="33"/>
        <v>0</v>
      </c>
      <c r="T43" s="332"/>
      <c r="U43" s="333"/>
      <c r="V43" s="330" t="str">
        <f t="shared" si="34"/>
        <v>0</v>
      </c>
      <c r="W43" s="332"/>
      <c r="X43" s="333"/>
      <c r="Y43" s="330" t="str">
        <f t="shared" si="35"/>
        <v>0</v>
      </c>
      <c r="Z43" s="332"/>
      <c r="AA43" s="333"/>
      <c r="AB43" s="330" t="str">
        <f t="shared" si="36"/>
        <v>0</v>
      </c>
      <c r="AC43" s="332"/>
      <c r="AD43" s="333"/>
      <c r="AE43" s="330" t="str">
        <f t="shared" si="37"/>
        <v>0</v>
      </c>
      <c r="AF43" s="332"/>
      <c r="AG43" s="333"/>
      <c r="AH43" s="330" t="str">
        <f t="shared" si="38"/>
        <v>0</v>
      </c>
      <c r="AI43" s="332"/>
      <c r="AJ43" s="333"/>
      <c r="AK43" s="330" t="str">
        <f t="shared" si="39"/>
        <v>0</v>
      </c>
      <c r="AL43" s="332"/>
      <c r="AM43" s="333"/>
      <c r="AN43" s="330" t="str">
        <f t="shared" si="40"/>
        <v>0</v>
      </c>
      <c r="AO43" s="332"/>
      <c r="AP43" s="333"/>
      <c r="AQ43" s="330" t="str">
        <f t="shared" si="41"/>
        <v>0</v>
      </c>
      <c r="AR43" s="332"/>
      <c r="AS43" s="333"/>
      <c r="AT43" s="330" t="str">
        <f t="shared" si="42"/>
        <v>0</v>
      </c>
      <c r="AU43" s="332"/>
      <c r="AV43" s="333"/>
      <c r="AW43" s="330" t="str">
        <f t="shared" si="43"/>
        <v>0</v>
      </c>
      <c r="AX43" s="332"/>
      <c r="AY43" s="333"/>
      <c r="AZ43" s="330" t="str">
        <f t="shared" si="44"/>
        <v>0</v>
      </c>
      <c r="BA43" s="332"/>
      <c r="BB43" s="333"/>
      <c r="BC43" s="330" t="str">
        <f t="shared" si="45"/>
        <v>0</v>
      </c>
      <c r="BD43" s="332"/>
      <c r="BE43" s="333"/>
      <c r="BF43" s="330" t="str">
        <f t="shared" si="46"/>
        <v>0</v>
      </c>
      <c r="BG43" s="332"/>
      <c r="BH43" s="333"/>
      <c r="BI43" s="330" t="str">
        <f t="shared" si="47"/>
        <v>0</v>
      </c>
      <c r="BJ43" s="332"/>
      <c r="BK43" s="333"/>
      <c r="BL43" s="330" t="str">
        <f t="shared" si="48"/>
        <v>0</v>
      </c>
      <c r="BM43" s="332"/>
      <c r="BN43" s="333"/>
      <c r="BO43" s="330" t="str">
        <f t="shared" si="49"/>
        <v>0</v>
      </c>
      <c r="BP43" s="332"/>
      <c r="BQ43" s="333"/>
      <c r="BR43" s="330" t="str">
        <f t="shared" si="50"/>
        <v>0</v>
      </c>
      <c r="BS43" s="332"/>
      <c r="BT43" s="333"/>
      <c r="BU43" s="330" t="str">
        <f t="shared" si="51"/>
        <v>0</v>
      </c>
      <c r="BV43" s="332"/>
      <c r="BW43" s="333"/>
      <c r="BX43" s="330" t="str">
        <f t="shared" si="52"/>
        <v>0</v>
      </c>
      <c r="BY43" s="332"/>
      <c r="BZ43" s="333"/>
      <c r="CA43" s="330" t="str">
        <f t="shared" si="53"/>
        <v>0</v>
      </c>
      <c r="CB43" s="332"/>
      <c r="CC43" s="333"/>
      <c r="CD43" s="330" t="str">
        <f t="shared" si="54"/>
        <v>0</v>
      </c>
      <c r="CE43" s="332"/>
      <c r="CF43" s="333"/>
      <c r="CG43" s="330" t="str">
        <f t="shared" si="55"/>
        <v>0</v>
      </c>
      <c r="CH43" s="332"/>
      <c r="CI43" s="333"/>
      <c r="CJ43" s="330" t="str">
        <f t="shared" si="56"/>
        <v>0</v>
      </c>
      <c r="CK43" s="332"/>
      <c r="CL43" s="333"/>
      <c r="CM43" s="330" t="str">
        <f t="shared" si="64"/>
        <v>0</v>
      </c>
      <c r="CN43" s="332"/>
      <c r="CO43" s="333"/>
      <c r="CP43" s="330" t="str">
        <f t="shared" si="65"/>
        <v>0</v>
      </c>
      <c r="CQ43" s="332"/>
      <c r="CR43" s="333"/>
      <c r="CS43" s="330" t="str">
        <f t="shared" si="66"/>
        <v>0</v>
      </c>
      <c r="CT43" s="332"/>
      <c r="CU43" s="333"/>
      <c r="CV43" s="351" t="str">
        <f t="shared" si="67"/>
        <v>0</v>
      </c>
    </row>
    <row r="44" spans="5:112" s="335" customFormat="1" ht="22.15" customHeight="1" x14ac:dyDescent="0.25">
      <c r="E44" s="326">
        <f>'2-2.근무표'!B43</f>
        <v>0</v>
      </c>
      <c r="F44" s="327" t="str">
        <f>'2-1.직원현황'!D43</f>
        <v>선택</v>
      </c>
      <c r="G44" s="327" t="str">
        <f>'2-1.직원현황'!E43</f>
        <v>파트타임</v>
      </c>
      <c r="H44" s="332"/>
      <c r="I44" s="333"/>
      <c r="J44" s="330" t="str">
        <f t="shared" si="62"/>
        <v>0</v>
      </c>
      <c r="K44" s="332"/>
      <c r="L44" s="333"/>
      <c r="M44" s="330" t="str">
        <f t="shared" si="31"/>
        <v>0</v>
      </c>
      <c r="N44" s="332"/>
      <c r="O44" s="333"/>
      <c r="P44" s="330" t="str">
        <f t="shared" si="63"/>
        <v>0</v>
      </c>
      <c r="Q44" s="332"/>
      <c r="R44" s="333"/>
      <c r="S44" s="330" t="str">
        <f t="shared" si="33"/>
        <v>0</v>
      </c>
      <c r="T44" s="332"/>
      <c r="U44" s="333"/>
      <c r="V44" s="330" t="str">
        <f t="shared" si="34"/>
        <v>0</v>
      </c>
      <c r="W44" s="332"/>
      <c r="X44" s="333"/>
      <c r="Y44" s="330" t="str">
        <f t="shared" si="35"/>
        <v>0</v>
      </c>
      <c r="Z44" s="332"/>
      <c r="AA44" s="333"/>
      <c r="AB44" s="330" t="str">
        <f t="shared" si="36"/>
        <v>0</v>
      </c>
      <c r="AC44" s="332"/>
      <c r="AD44" s="333"/>
      <c r="AE44" s="330" t="str">
        <f t="shared" si="37"/>
        <v>0</v>
      </c>
      <c r="AF44" s="332"/>
      <c r="AG44" s="333"/>
      <c r="AH44" s="330" t="str">
        <f t="shared" si="38"/>
        <v>0</v>
      </c>
      <c r="AI44" s="332"/>
      <c r="AJ44" s="333"/>
      <c r="AK44" s="330" t="str">
        <f t="shared" si="39"/>
        <v>0</v>
      </c>
      <c r="AL44" s="332"/>
      <c r="AM44" s="333"/>
      <c r="AN44" s="330" t="str">
        <f t="shared" si="40"/>
        <v>0</v>
      </c>
      <c r="AO44" s="332"/>
      <c r="AP44" s="333"/>
      <c r="AQ44" s="330" t="str">
        <f t="shared" si="41"/>
        <v>0</v>
      </c>
      <c r="AR44" s="332"/>
      <c r="AS44" s="333"/>
      <c r="AT44" s="330" t="str">
        <f t="shared" si="42"/>
        <v>0</v>
      </c>
      <c r="AU44" s="332"/>
      <c r="AV44" s="333"/>
      <c r="AW44" s="330" t="str">
        <f t="shared" si="43"/>
        <v>0</v>
      </c>
      <c r="AX44" s="332"/>
      <c r="AY44" s="333"/>
      <c r="AZ44" s="330" t="str">
        <f t="shared" si="44"/>
        <v>0</v>
      </c>
      <c r="BA44" s="332"/>
      <c r="BB44" s="333"/>
      <c r="BC44" s="330" t="str">
        <f t="shared" si="45"/>
        <v>0</v>
      </c>
      <c r="BD44" s="332"/>
      <c r="BE44" s="333"/>
      <c r="BF44" s="330" t="str">
        <f t="shared" si="46"/>
        <v>0</v>
      </c>
      <c r="BG44" s="332"/>
      <c r="BH44" s="333"/>
      <c r="BI44" s="330" t="str">
        <f t="shared" si="47"/>
        <v>0</v>
      </c>
      <c r="BJ44" s="332"/>
      <c r="BK44" s="333"/>
      <c r="BL44" s="330" t="str">
        <f t="shared" si="48"/>
        <v>0</v>
      </c>
      <c r="BM44" s="332"/>
      <c r="BN44" s="333"/>
      <c r="BO44" s="330" t="str">
        <f t="shared" si="49"/>
        <v>0</v>
      </c>
      <c r="BP44" s="332"/>
      <c r="BQ44" s="333"/>
      <c r="BR44" s="330" t="str">
        <f t="shared" si="50"/>
        <v>0</v>
      </c>
      <c r="BS44" s="332"/>
      <c r="BT44" s="333"/>
      <c r="BU44" s="330" t="str">
        <f t="shared" si="51"/>
        <v>0</v>
      </c>
      <c r="BV44" s="332"/>
      <c r="BW44" s="333"/>
      <c r="BX44" s="330" t="str">
        <f t="shared" si="52"/>
        <v>0</v>
      </c>
      <c r="BY44" s="332"/>
      <c r="BZ44" s="333"/>
      <c r="CA44" s="330" t="str">
        <f t="shared" si="53"/>
        <v>0</v>
      </c>
      <c r="CB44" s="332"/>
      <c r="CC44" s="333"/>
      <c r="CD44" s="330" t="str">
        <f t="shared" si="54"/>
        <v>0</v>
      </c>
      <c r="CE44" s="332"/>
      <c r="CF44" s="333"/>
      <c r="CG44" s="330" t="str">
        <f t="shared" si="55"/>
        <v>0</v>
      </c>
      <c r="CH44" s="332"/>
      <c r="CI44" s="333"/>
      <c r="CJ44" s="330" t="str">
        <f t="shared" si="56"/>
        <v>0</v>
      </c>
      <c r="CK44" s="332"/>
      <c r="CL44" s="333"/>
      <c r="CM44" s="330" t="str">
        <f t="shared" si="64"/>
        <v>0</v>
      </c>
      <c r="CN44" s="332"/>
      <c r="CO44" s="333"/>
      <c r="CP44" s="330" t="str">
        <f t="shared" si="65"/>
        <v>0</v>
      </c>
      <c r="CQ44" s="332"/>
      <c r="CR44" s="333"/>
      <c r="CS44" s="330" t="str">
        <f t="shared" si="66"/>
        <v>0</v>
      </c>
      <c r="CT44" s="332"/>
      <c r="CU44" s="333"/>
      <c r="CV44" s="351" t="str">
        <f t="shared" si="67"/>
        <v>0</v>
      </c>
    </row>
    <row r="45" spans="5:112" s="335" customFormat="1" ht="22.15" customHeight="1" x14ac:dyDescent="0.25">
      <c r="E45" s="326">
        <f>'2-2.근무표'!B44</f>
        <v>0</v>
      </c>
      <c r="F45" s="327" t="str">
        <f>'2-1.직원현황'!D44</f>
        <v>선택</v>
      </c>
      <c r="G45" s="327" t="str">
        <f>'2-1.직원현황'!E44</f>
        <v>파트타임</v>
      </c>
      <c r="H45" s="332"/>
      <c r="I45" s="333"/>
      <c r="J45" s="330" t="str">
        <f t="shared" si="62"/>
        <v>0</v>
      </c>
      <c r="K45" s="332"/>
      <c r="L45" s="333"/>
      <c r="M45" s="330" t="str">
        <f t="shared" si="31"/>
        <v>0</v>
      </c>
      <c r="N45" s="332"/>
      <c r="O45" s="333"/>
      <c r="P45" s="330" t="str">
        <f t="shared" si="63"/>
        <v>0</v>
      </c>
      <c r="Q45" s="332"/>
      <c r="R45" s="333"/>
      <c r="S45" s="330" t="str">
        <f t="shared" si="33"/>
        <v>0</v>
      </c>
      <c r="T45" s="332"/>
      <c r="U45" s="333"/>
      <c r="V45" s="330" t="str">
        <f t="shared" si="34"/>
        <v>0</v>
      </c>
      <c r="W45" s="332"/>
      <c r="X45" s="333"/>
      <c r="Y45" s="330" t="str">
        <f t="shared" si="35"/>
        <v>0</v>
      </c>
      <c r="Z45" s="332"/>
      <c r="AA45" s="333"/>
      <c r="AB45" s="330" t="str">
        <f t="shared" si="36"/>
        <v>0</v>
      </c>
      <c r="AC45" s="332"/>
      <c r="AD45" s="333"/>
      <c r="AE45" s="330" t="str">
        <f t="shared" si="37"/>
        <v>0</v>
      </c>
      <c r="AF45" s="332"/>
      <c r="AG45" s="333"/>
      <c r="AH45" s="330" t="str">
        <f t="shared" si="38"/>
        <v>0</v>
      </c>
      <c r="AI45" s="332"/>
      <c r="AJ45" s="333"/>
      <c r="AK45" s="330" t="str">
        <f t="shared" si="39"/>
        <v>0</v>
      </c>
      <c r="AL45" s="332"/>
      <c r="AM45" s="333"/>
      <c r="AN45" s="330" t="str">
        <f t="shared" si="40"/>
        <v>0</v>
      </c>
      <c r="AO45" s="332"/>
      <c r="AP45" s="333"/>
      <c r="AQ45" s="330" t="str">
        <f t="shared" si="41"/>
        <v>0</v>
      </c>
      <c r="AR45" s="332"/>
      <c r="AS45" s="333"/>
      <c r="AT45" s="330" t="str">
        <f t="shared" si="42"/>
        <v>0</v>
      </c>
      <c r="AU45" s="332"/>
      <c r="AV45" s="333"/>
      <c r="AW45" s="330" t="str">
        <f t="shared" si="43"/>
        <v>0</v>
      </c>
      <c r="AX45" s="332"/>
      <c r="AY45" s="333"/>
      <c r="AZ45" s="330" t="str">
        <f t="shared" si="44"/>
        <v>0</v>
      </c>
      <c r="BA45" s="332"/>
      <c r="BB45" s="333"/>
      <c r="BC45" s="330" t="str">
        <f t="shared" si="45"/>
        <v>0</v>
      </c>
      <c r="BD45" s="332"/>
      <c r="BE45" s="333"/>
      <c r="BF45" s="330" t="str">
        <f t="shared" si="46"/>
        <v>0</v>
      </c>
      <c r="BG45" s="332"/>
      <c r="BH45" s="333"/>
      <c r="BI45" s="330" t="str">
        <f t="shared" si="47"/>
        <v>0</v>
      </c>
      <c r="BJ45" s="332"/>
      <c r="BK45" s="333"/>
      <c r="BL45" s="330" t="str">
        <f t="shared" si="48"/>
        <v>0</v>
      </c>
      <c r="BM45" s="332"/>
      <c r="BN45" s="333"/>
      <c r="BO45" s="330" t="str">
        <f t="shared" si="49"/>
        <v>0</v>
      </c>
      <c r="BP45" s="332"/>
      <c r="BQ45" s="333"/>
      <c r="BR45" s="330" t="str">
        <f t="shared" si="50"/>
        <v>0</v>
      </c>
      <c r="BS45" s="332"/>
      <c r="BT45" s="333"/>
      <c r="BU45" s="330" t="str">
        <f t="shared" si="51"/>
        <v>0</v>
      </c>
      <c r="BV45" s="332"/>
      <c r="BW45" s="333"/>
      <c r="BX45" s="330" t="str">
        <f t="shared" si="52"/>
        <v>0</v>
      </c>
      <c r="BY45" s="332"/>
      <c r="BZ45" s="333"/>
      <c r="CA45" s="330" t="str">
        <f t="shared" si="53"/>
        <v>0</v>
      </c>
      <c r="CB45" s="332"/>
      <c r="CC45" s="333"/>
      <c r="CD45" s="330" t="str">
        <f t="shared" si="54"/>
        <v>0</v>
      </c>
      <c r="CE45" s="332"/>
      <c r="CF45" s="333"/>
      <c r="CG45" s="330" t="str">
        <f t="shared" si="55"/>
        <v>0</v>
      </c>
      <c r="CH45" s="332"/>
      <c r="CI45" s="333"/>
      <c r="CJ45" s="330" t="str">
        <f t="shared" si="56"/>
        <v>0</v>
      </c>
      <c r="CK45" s="332"/>
      <c r="CL45" s="333"/>
      <c r="CM45" s="330" t="str">
        <f t="shared" si="64"/>
        <v>0</v>
      </c>
      <c r="CN45" s="332"/>
      <c r="CO45" s="333"/>
      <c r="CP45" s="330" t="str">
        <f t="shared" si="65"/>
        <v>0</v>
      </c>
      <c r="CQ45" s="332"/>
      <c r="CR45" s="333"/>
      <c r="CS45" s="330" t="str">
        <f t="shared" si="66"/>
        <v>0</v>
      </c>
      <c r="CT45" s="332"/>
      <c r="CU45" s="333"/>
      <c r="CV45" s="351" t="str">
        <f t="shared" si="67"/>
        <v>0</v>
      </c>
    </row>
    <row r="46" spans="5:112" s="335" customFormat="1" ht="22.15" customHeight="1" thickBot="1" x14ac:dyDescent="0.3">
      <c r="E46" s="349">
        <f>'2-2.근무표'!B45</f>
        <v>0</v>
      </c>
      <c r="F46" s="350" t="str">
        <f>'2-1.직원현황'!D45</f>
        <v>선택</v>
      </c>
      <c r="G46" s="350" t="str">
        <f>'2-1.직원현황'!E45</f>
        <v>파트타임</v>
      </c>
      <c r="H46" s="341"/>
      <c r="I46" s="342"/>
      <c r="J46" s="343" t="str">
        <f t="shared" si="62"/>
        <v>0</v>
      </c>
      <c r="K46" s="341"/>
      <c r="L46" s="342"/>
      <c r="M46" s="343" t="str">
        <f t="shared" si="31"/>
        <v>0</v>
      </c>
      <c r="N46" s="341"/>
      <c r="O46" s="342"/>
      <c r="P46" s="343" t="str">
        <f t="shared" si="63"/>
        <v>0</v>
      </c>
      <c r="Q46" s="341"/>
      <c r="R46" s="342"/>
      <c r="S46" s="343" t="str">
        <f t="shared" si="33"/>
        <v>0</v>
      </c>
      <c r="T46" s="341"/>
      <c r="U46" s="342"/>
      <c r="V46" s="343" t="str">
        <f t="shared" si="34"/>
        <v>0</v>
      </c>
      <c r="W46" s="341"/>
      <c r="X46" s="342"/>
      <c r="Y46" s="343" t="str">
        <f t="shared" si="35"/>
        <v>0</v>
      </c>
      <c r="Z46" s="341"/>
      <c r="AA46" s="342"/>
      <c r="AB46" s="343" t="str">
        <f t="shared" si="36"/>
        <v>0</v>
      </c>
      <c r="AC46" s="341"/>
      <c r="AD46" s="342"/>
      <c r="AE46" s="343" t="str">
        <f t="shared" si="37"/>
        <v>0</v>
      </c>
      <c r="AF46" s="341"/>
      <c r="AG46" s="342"/>
      <c r="AH46" s="343" t="str">
        <f t="shared" si="38"/>
        <v>0</v>
      </c>
      <c r="AI46" s="341"/>
      <c r="AJ46" s="342"/>
      <c r="AK46" s="343" t="str">
        <f t="shared" si="39"/>
        <v>0</v>
      </c>
      <c r="AL46" s="341"/>
      <c r="AM46" s="342"/>
      <c r="AN46" s="343" t="str">
        <f t="shared" si="40"/>
        <v>0</v>
      </c>
      <c r="AO46" s="341"/>
      <c r="AP46" s="342"/>
      <c r="AQ46" s="343" t="str">
        <f t="shared" si="41"/>
        <v>0</v>
      </c>
      <c r="AR46" s="341"/>
      <c r="AS46" s="342"/>
      <c r="AT46" s="343" t="str">
        <f t="shared" si="42"/>
        <v>0</v>
      </c>
      <c r="AU46" s="341"/>
      <c r="AV46" s="342"/>
      <c r="AW46" s="343" t="str">
        <f t="shared" si="43"/>
        <v>0</v>
      </c>
      <c r="AX46" s="341"/>
      <c r="AY46" s="342"/>
      <c r="AZ46" s="343" t="str">
        <f t="shared" si="44"/>
        <v>0</v>
      </c>
      <c r="BA46" s="341"/>
      <c r="BB46" s="342"/>
      <c r="BC46" s="343" t="str">
        <f t="shared" si="45"/>
        <v>0</v>
      </c>
      <c r="BD46" s="341"/>
      <c r="BE46" s="342"/>
      <c r="BF46" s="343" t="str">
        <f t="shared" si="46"/>
        <v>0</v>
      </c>
      <c r="BG46" s="341"/>
      <c r="BH46" s="342"/>
      <c r="BI46" s="343" t="str">
        <f t="shared" si="47"/>
        <v>0</v>
      </c>
      <c r="BJ46" s="341"/>
      <c r="BK46" s="342"/>
      <c r="BL46" s="343" t="str">
        <f t="shared" si="48"/>
        <v>0</v>
      </c>
      <c r="BM46" s="341"/>
      <c r="BN46" s="342"/>
      <c r="BO46" s="343" t="str">
        <f t="shared" si="49"/>
        <v>0</v>
      </c>
      <c r="BP46" s="341"/>
      <c r="BQ46" s="342"/>
      <c r="BR46" s="343" t="str">
        <f t="shared" si="50"/>
        <v>0</v>
      </c>
      <c r="BS46" s="341"/>
      <c r="BT46" s="342"/>
      <c r="BU46" s="343" t="str">
        <f t="shared" si="51"/>
        <v>0</v>
      </c>
      <c r="BV46" s="341"/>
      <c r="BW46" s="342"/>
      <c r="BX46" s="343" t="str">
        <f t="shared" si="52"/>
        <v>0</v>
      </c>
      <c r="BY46" s="341"/>
      <c r="BZ46" s="342"/>
      <c r="CA46" s="343" t="str">
        <f t="shared" si="53"/>
        <v>0</v>
      </c>
      <c r="CB46" s="341"/>
      <c r="CC46" s="342"/>
      <c r="CD46" s="343" t="str">
        <f t="shared" si="54"/>
        <v>0</v>
      </c>
      <c r="CE46" s="341"/>
      <c r="CF46" s="342"/>
      <c r="CG46" s="343" t="str">
        <f t="shared" si="55"/>
        <v>0</v>
      </c>
      <c r="CH46" s="341"/>
      <c r="CI46" s="342"/>
      <c r="CJ46" s="343" t="str">
        <f t="shared" si="56"/>
        <v>0</v>
      </c>
      <c r="CK46" s="341"/>
      <c r="CL46" s="342"/>
      <c r="CM46" s="343" t="str">
        <f t="shared" si="64"/>
        <v>0</v>
      </c>
      <c r="CN46" s="341"/>
      <c r="CO46" s="342"/>
      <c r="CP46" s="343" t="str">
        <f t="shared" si="65"/>
        <v>0</v>
      </c>
      <c r="CQ46" s="341"/>
      <c r="CR46" s="342"/>
      <c r="CS46" s="343" t="str">
        <f t="shared" si="66"/>
        <v>0</v>
      </c>
      <c r="CT46" s="341"/>
      <c r="CU46" s="342"/>
      <c r="CV46" s="352" t="str">
        <f t="shared" si="67"/>
        <v>0</v>
      </c>
    </row>
    <row r="47" spans="5:112" s="335" customFormat="1" ht="22.15" customHeight="1" thickBot="1" x14ac:dyDescent="0.3">
      <c r="E47" s="944" t="s">
        <v>88</v>
      </c>
      <c r="F47" s="945"/>
      <c r="G47" s="945"/>
      <c r="H47" s="344">
        <f>COUNTA(H32:H46)</f>
        <v>0</v>
      </c>
      <c r="I47" s="345"/>
      <c r="J47" s="345"/>
      <c r="K47" s="344">
        <f>COUNTA(K32:K46)</f>
        <v>0</v>
      </c>
      <c r="L47" s="345"/>
      <c r="M47" s="345"/>
      <c r="N47" s="344">
        <f>COUNTA(N32:N46)</f>
        <v>0</v>
      </c>
      <c r="O47" s="345"/>
      <c r="P47" s="345"/>
      <c r="Q47" s="344">
        <f>COUNTA(Q32:Q46)</f>
        <v>0</v>
      </c>
      <c r="R47" s="345"/>
      <c r="S47" s="345"/>
      <c r="T47" s="344">
        <f>COUNTA(T32:T46)</f>
        <v>0</v>
      </c>
      <c r="U47" s="345"/>
      <c r="V47" s="345"/>
      <c r="W47" s="344">
        <f>COUNTA(W32:W46)</f>
        <v>0</v>
      </c>
      <c r="X47" s="345"/>
      <c r="Y47" s="345"/>
      <c r="Z47" s="344">
        <f>COUNTA(Z32:Z46)</f>
        <v>0</v>
      </c>
      <c r="AA47" s="345"/>
      <c r="AB47" s="345"/>
      <c r="AC47" s="344">
        <f>COUNTA(AC32:AC46)</f>
        <v>0</v>
      </c>
      <c r="AD47" s="345"/>
      <c r="AE47" s="345"/>
      <c r="AF47" s="344">
        <f>COUNTA(AF32:AF46)</f>
        <v>0</v>
      </c>
      <c r="AG47" s="345"/>
      <c r="AH47" s="345"/>
      <c r="AI47" s="344">
        <f>COUNTA(AI32:AI46)</f>
        <v>0</v>
      </c>
      <c r="AJ47" s="345"/>
      <c r="AK47" s="345"/>
      <c r="AL47" s="344">
        <f>COUNTA(AL32:AL46)</f>
        <v>0</v>
      </c>
      <c r="AM47" s="345"/>
      <c r="AN47" s="345"/>
      <c r="AO47" s="344">
        <f>COUNTA(AO32:AO46)</f>
        <v>0</v>
      </c>
      <c r="AP47" s="345"/>
      <c r="AQ47" s="345"/>
      <c r="AR47" s="344">
        <f>COUNTA(AR32:AR46)</f>
        <v>0</v>
      </c>
      <c r="AS47" s="345"/>
      <c r="AT47" s="345"/>
      <c r="AU47" s="344">
        <f>COUNTA(AU32:AU46)</f>
        <v>0</v>
      </c>
      <c r="AV47" s="345"/>
      <c r="AW47" s="345"/>
      <c r="AX47" s="344">
        <f>COUNTA(AX32:AX46)</f>
        <v>0</v>
      </c>
      <c r="AY47" s="345"/>
      <c r="AZ47" s="345"/>
      <c r="BA47" s="344">
        <f>COUNTA(BA32:BA46)</f>
        <v>0</v>
      </c>
      <c r="BB47" s="345"/>
      <c r="BC47" s="345"/>
      <c r="BD47" s="344">
        <f>COUNTA(BD32:BD46)</f>
        <v>0</v>
      </c>
      <c r="BE47" s="345"/>
      <c r="BF47" s="345"/>
      <c r="BG47" s="344">
        <f>COUNTA(BG32:BG46)</f>
        <v>0</v>
      </c>
      <c r="BH47" s="345"/>
      <c r="BI47" s="345"/>
      <c r="BJ47" s="344">
        <f>COUNTA(BJ32:BJ46)</f>
        <v>0</v>
      </c>
      <c r="BK47" s="345"/>
      <c r="BL47" s="345"/>
      <c r="BM47" s="344">
        <f>COUNTA(BM32:BM46)</f>
        <v>0</v>
      </c>
      <c r="BN47" s="345"/>
      <c r="BO47" s="345"/>
      <c r="BP47" s="344">
        <f>COUNTA(BP32:BP46)</f>
        <v>0</v>
      </c>
      <c r="BQ47" s="345"/>
      <c r="BR47" s="345"/>
      <c r="BS47" s="344">
        <f>COUNTA(BS32:BS46)</f>
        <v>0</v>
      </c>
      <c r="BT47" s="345"/>
      <c r="BU47" s="345"/>
      <c r="BV47" s="344">
        <f>COUNTA(BV32:BV46)</f>
        <v>0</v>
      </c>
      <c r="BW47" s="345"/>
      <c r="BX47" s="345"/>
      <c r="BY47" s="344">
        <f>COUNTA(BY32:BY46)</f>
        <v>0</v>
      </c>
      <c r="BZ47" s="345"/>
      <c r="CA47" s="345"/>
      <c r="CB47" s="344">
        <f>COUNTA(CB32:CB46)</f>
        <v>0</v>
      </c>
      <c r="CC47" s="345"/>
      <c r="CD47" s="345"/>
      <c r="CE47" s="344">
        <f>COUNTA(CE32:CE46)</f>
        <v>0</v>
      </c>
      <c r="CF47" s="345"/>
      <c r="CG47" s="345"/>
      <c r="CH47" s="344">
        <f>COUNTA(CH32:CH46)</f>
        <v>0</v>
      </c>
      <c r="CI47" s="345"/>
      <c r="CJ47" s="345"/>
      <c r="CK47" s="344">
        <f>COUNTA(CK32:CK46)</f>
        <v>0</v>
      </c>
      <c r="CL47" s="345"/>
      <c r="CM47" s="345"/>
      <c r="CN47" s="344">
        <f>COUNTA(CN32:CN46)</f>
        <v>0</v>
      </c>
      <c r="CO47" s="345"/>
      <c r="CP47" s="345"/>
      <c r="CQ47" s="344">
        <f>COUNTA(CQ32:CQ46)</f>
        <v>0</v>
      </c>
      <c r="CR47" s="345"/>
      <c r="CS47" s="345"/>
      <c r="CT47" s="344">
        <f>COUNT(CT32:CT46)</f>
        <v>0</v>
      </c>
      <c r="CU47" s="345"/>
      <c r="CV47" s="346"/>
    </row>
    <row r="48" spans="5:112" s="335" customFormat="1" ht="22.15" customHeight="1" x14ac:dyDescent="0.25"/>
    <row r="49" spans="8:100" s="335" customFormat="1" ht="22.15" customHeight="1" x14ac:dyDescent="0.25"/>
    <row r="50" spans="8:100" s="335" customFormat="1" ht="22.15" customHeight="1" x14ac:dyDescent="0.25">
      <c r="H50" s="347"/>
      <c r="I50" s="347"/>
      <c r="J50" s="348"/>
      <c r="M50" s="348"/>
      <c r="P50" s="348"/>
      <c r="S50" s="348"/>
      <c r="V50" s="348"/>
      <c r="Y50" s="348"/>
      <c r="AB50" s="348"/>
      <c r="AE50" s="348"/>
      <c r="AH50" s="348"/>
      <c r="AK50" s="348"/>
      <c r="AN50" s="348"/>
      <c r="AQ50" s="348"/>
      <c r="AT50" s="348"/>
      <c r="AW50" s="348"/>
      <c r="AZ50" s="348"/>
      <c r="BC50" s="348"/>
      <c r="BF50" s="348"/>
      <c r="BI50" s="348"/>
      <c r="BL50" s="348"/>
      <c r="BO50" s="348"/>
      <c r="BR50" s="348"/>
      <c r="BU50" s="348"/>
      <c r="BX50" s="348"/>
      <c r="CA50" s="348"/>
      <c r="CD50" s="348"/>
      <c r="CG50" s="348"/>
      <c r="CJ50" s="348"/>
      <c r="CM50" s="348"/>
      <c r="CP50" s="348"/>
      <c r="CS50" s="348"/>
      <c r="CV50" s="348"/>
    </row>
    <row r="51" spans="8:100" s="335" customFormat="1" ht="22.15" customHeight="1" x14ac:dyDescent="0.25"/>
    <row r="52" spans="8:100" s="335" customFormat="1" ht="22.15" customHeight="1" x14ac:dyDescent="0.25"/>
    <row r="53" spans="8:100" s="335" customFormat="1" ht="22.15" customHeight="1" x14ac:dyDescent="0.25"/>
    <row r="54" spans="8:100" ht="22.15" customHeight="1" x14ac:dyDescent="0.25"/>
    <row r="55" spans="8:100" ht="22.15" customHeight="1" x14ac:dyDescent="0.25"/>
    <row r="56" spans="8:100" ht="22.15" customHeight="1" x14ac:dyDescent="0.25"/>
    <row r="57" spans="8:100" ht="22.15" customHeight="1" x14ac:dyDescent="0.25"/>
    <row r="58" spans="8:100" ht="22.15" customHeight="1" x14ac:dyDescent="0.25"/>
    <row r="59" spans="8:100" ht="22.15" customHeight="1" x14ac:dyDescent="0.25"/>
    <row r="60" spans="8:100" ht="22.15" customHeight="1" x14ac:dyDescent="0.25"/>
    <row r="61" spans="8:100" ht="22.15" customHeight="1" x14ac:dyDescent="0.25"/>
    <row r="62" spans="8:100" ht="22.15" customHeight="1" x14ac:dyDescent="0.25"/>
    <row r="63" spans="8:100" ht="22.15" customHeight="1" x14ac:dyDescent="0.25"/>
    <row r="64" spans="8:100" ht="22.15" customHeight="1" x14ac:dyDescent="0.25"/>
    <row r="65" ht="22.15" customHeight="1" x14ac:dyDescent="0.25"/>
    <row r="66" ht="22.15" customHeight="1" x14ac:dyDescent="0.25"/>
    <row r="67" ht="22.15" customHeight="1" x14ac:dyDescent="0.25"/>
    <row r="68" ht="22.15" customHeight="1" x14ac:dyDescent="0.25"/>
    <row r="69" ht="22.15" customHeight="1" x14ac:dyDescent="0.25"/>
    <row r="70" ht="22.15" customHeight="1" x14ac:dyDescent="0.25"/>
    <row r="71" ht="22.15" customHeight="1" x14ac:dyDescent="0.25"/>
    <row r="72" ht="22.15" customHeight="1" x14ac:dyDescent="0.25"/>
    <row r="73" ht="22.15" customHeight="1" x14ac:dyDescent="0.25"/>
    <row r="74" ht="22.15" customHeight="1" x14ac:dyDescent="0.25"/>
    <row r="75" ht="22.15" customHeight="1" x14ac:dyDescent="0.25"/>
    <row r="76" ht="22.15" customHeight="1" x14ac:dyDescent="0.25"/>
    <row r="77" ht="22.15" customHeight="1" x14ac:dyDescent="0.25"/>
    <row r="78" ht="22.15" customHeight="1" x14ac:dyDescent="0.25"/>
    <row r="79" ht="22.15" customHeight="1" x14ac:dyDescent="0.25"/>
    <row r="80" ht="22.15" customHeight="1" x14ac:dyDescent="0.25"/>
    <row r="81" ht="22.15" customHeight="1" x14ac:dyDescent="0.25"/>
    <row r="82" ht="22.15" customHeight="1" x14ac:dyDescent="0.25"/>
    <row r="83" ht="22.15" customHeight="1" x14ac:dyDescent="0.25"/>
    <row r="84" ht="22.15" customHeight="1" x14ac:dyDescent="0.25"/>
    <row r="85" ht="22.15" customHeight="1" x14ac:dyDescent="0.25"/>
    <row r="86" ht="22.15" customHeight="1" x14ac:dyDescent="0.25"/>
    <row r="87" ht="22.15" customHeight="1" x14ac:dyDescent="0.25"/>
    <row r="88" ht="22.15" customHeight="1" x14ac:dyDescent="0.25"/>
    <row r="89" ht="22.15" customHeight="1" x14ac:dyDescent="0.25"/>
    <row r="90" ht="22.15" customHeight="1" x14ac:dyDescent="0.25"/>
    <row r="91" ht="22.15" customHeight="1" x14ac:dyDescent="0.25"/>
    <row r="92" ht="22.15" customHeight="1" x14ac:dyDescent="0.25"/>
    <row r="93" ht="22.15" customHeight="1" x14ac:dyDescent="0.25"/>
    <row r="94" ht="22.15" customHeight="1" x14ac:dyDescent="0.25"/>
    <row r="95" ht="22.15" customHeight="1" x14ac:dyDescent="0.25"/>
    <row r="96" ht="22.15" customHeight="1" x14ac:dyDescent="0.25"/>
    <row r="97" ht="22.15" customHeight="1" x14ac:dyDescent="0.25"/>
    <row r="98" ht="22.15" customHeight="1" x14ac:dyDescent="0.25"/>
    <row r="99" ht="22.15" customHeight="1" x14ac:dyDescent="0.25"/>
    <row r="100" ht="22.15" customHeight="1" x14ac:dyDescent="0.25"/>
    <row r="101" ht="22.15" customHeight="1" x14ac:dyDescent="0.25"/>
    <row r="102" ht="22.15" customHeight="1" x14ac:dyDescent="0.25"/>
    <row r="103" ht="22.15" customHeight="1" x14ac:dyDescent="0.25"/>
    <row r="104" ht="22.15" customHeight="1" x14ac:dyDescent="0.25"/>
    <row r="105" ht="22.15" customHeight="1" x14ac:dyDescent="0.25"/>
    <row r="106" ht="22.15" customHeight="1" x14ac:dyDescent="0.25"/>
    <row r="107" ht="22.15" customHeight="1" x14ac:dyDescent="0.25"/>
    <row r="108" ht="22.15" customHeight="1" x14ac:dyDescent="0.25"/>
    <row r="109" ht="22.15" customHeight="1" x14ac:dyDescent="0.25"/>
    <row r="110" ht="22.15" customHeight="1" x14ac:dyDescent="0.25"/>
    <row r="111" ht="22.15" customHeight="1" x14ac:dyDescent="0.25"/>
    <row r="112" ht="22.15" customHeight="1" x14ac:dyDescent="0.25"/>
    <row r="113" ht="22.15" customHeight="1" x14ac:dyDescent="0.25"/>
    <row r="114" ht="22.15" customHeight="1" x14ac:dyDescent="0.25"/>
    <row r="115" ht="22.15" customHeight="1" x14ac:dyDescent="0.25"/>
    <row r="116" ht="22.15" customHeight="1" x14ac:dyDescent="0.25"/>
    <row r="117" ht="22.15" customHeight="1" x14ac:dyDescent="0.25"/>
    <row r="118" ht="22.15" customHeight="1" x14ac:dyDescent="0.25"/>
    <row r="119" ht="22.15" customHeight="1" x14ac:dyDescent="0.25"/>
    <row r="120" ht="22.15" customHeight="1" x14ac:dyDescent="0.25"/>
    <row r="121" ht="22.15" customHeight="1" x14ac:dyDescent="0.25"/>
    <row r="122" ht="22.15" customHeight="1" x14ac:dyDescent="0.25"/>
    <row r="123" ht="22.15" customHeight="1" x14ac:dyDescent="0.25"/>
    <row r="124" ht="22.15" customHeight="1" x14ac:dyDescent="0.25"/>
    <row r="125" ht="22.15" customHeight="1" x14ac:dyDescent="0.25"/>
    <row r="126" ht="22.15" customHeight="1" x14ac:dyDescent="0.25"/>
    <row r="127" ht="22.15" customHeight="1" x14ac:dyDescent="0.25"/>
    <row r="128" ht="22.15" customHeight="1" x14ac:dyDescent="0.25"/>
    <row r="129" ht="22.15" customHeight="1" x14ac:dyDescent="0.25"/>
    <row r="130" ht="22.15" customHeight="1" x14ac:dyDescent="0.25"/>
    <row r="131" ht="22.15" customHeight="1" x14ac:dyDescent="0.25"/>
    <row r="132" ht="22.15" customHeight="1" x14ac:dyDescent="0.25"/>
    <row r="133" ht="22.15" customHeight="1" x14ac:dyDescent="0.25"/>
    <row r="134" ht="22.15" customHeight="1" x14ac:dyDescent="0.25"/>
    <row r="135" ht="22.15" customHeight="1" x14ac:dyDescent="0.25"/>
    <row r="136" ht="22.15" customHeight="1" x14ac:dyDescent="0.25"/>
    <row r="137" ht="22.15" customHeight="1" x14ac:dyDescent="0.25"/>
    <row r="138" ht="22.15" customHeight="1" x14ac:dyDescent="0.25"/>
    <row r="139" ht="22.15" customHeight="1" x14ac:dyDescent="0.25"/>
    <row r="140" ht="22.15" customHeight="1" x14ac:dyDescent="0.25"/>
    <row r="141" ht="22.15" customHeight="1" x14ac:dyDescent="0.25"/>
    <row r="142" ht="22.15" customHeight="1" x14ac:dyDescent="0.25"/>
  </sheetData>
  <protectedRanges>
    <protectedRange sqref="BP33:BQ46 BS33:BT46 BV33:BW46 BY32:BZ35 CB32:CC35 CE33:CF46 CH32:CI46 CK33:CL46 CN33:CO46 CQ32:CR46 CT32:CU33 BY37:BZ46 CB37:CC46 CT35:CU46" name="파트2"/>
    <protectedRange sqref="AU32:AV32 Z34:AA34 AI35 AL35 AX32:AY32 BP32:BQ32 BD35:BE35 BM34:BN34 BS32:BT32 BV32:BW32 CE32:CF32 CK32:CL32 CN32:CO32 CT34:CU34 CN7:CO26 CK7:CL26 CQ7:CR26 CT7:CU26 H7:I26 K7:L26 N7:O26 Q7:R26 T7:U26 W7:X26 Z7:AA26 AC7:AD26 AF7:AG26 AI7:AJ26 AL7:AM26 AO7:AP26 AR7:AS26 AU7:AV26 AX7:AY26 BA7:BB26 BD7:BE26 BG7:BH26 BJ7:BK26 BM7:BN26 BP7:BQ26 BS7:BT26 BV7:BW26 BY7:BZ26 CB7:CC26 CE7:CF26 CH7:CI26" name="정직원"/>
    <protectedRange sqref="N32:O46 T32:U46 W32:X46 Z32:AA33 AC32:AD46 AF32:AG46 AI32:AJ34 AL32:AM34 AO32:AP46 AR32:AS46 AU33:AV46 AX33:AY46 BA32:BB46 BD32:BE34 BM32:BN33 BP33:BQ46 BS33:BT46 BV33:BW46 CE33:CF46 CH32:CI46 Z35:AA46 AI36:AJ46 AJ35 AL36:AM46 AM35 BD36:BE46 BG32:BH46 BJ32:BK46 BM35:BN46 BY32:BZ46 CB32:CC46 H32:I46 K32:L46 Q32:R46" name="파트"/>
  </protectedRanges>
  <mergeCells count="80">
    <mergeCell ref="E47:G47"/>
    <mergeCell ref="CT30:CV30"/>
    <mergeCell ref="CB30:CD30"/>
    <mergeCell ref="CE30:CG30"/>
    <mergeCell ref="CH30:CJ30"/>
    <mergeCell ref="CK30:CM30"/>
    <mergeCell ref="CN30:CP30"/>
    <mergeCell ref="CQ30:CS30"/>
    <mergeCell ref="BJ30:BL30"/>
    <mergeCell ref="BM30:BO30"/>
    <mergeCell ref="BP30:BR30"/>
    <mergeCell ref="BS30:BU30"/>
    <mergeCell ref="BV30:BX30"/>
    <mergeCell ref="BY30:CA30"/>
    <mergeCell ref="AR30:AT30"/>
    <mergeCell ref="AU30:AW30"/>
    <mergeCell ref="AX30:AZ30"/>
    <mergeCell ref="BA30:BC30"/>
    <mergeCell ref="BD30:BF30"/>
    <mergeCell ref="BG30:BI30"/>
    <mergeCell ref="Z30:AB30"/>
    <mergeCell ref="AC30:AE30"/>
    <mergeCell ref="AF30:AH30"/>
    <mergeCell ref="AI30:AK30"/>
    <mergeCell ref="AL30:AN30"/>
    <mergeCell ref="AO30:AQ30"/>
    <mergeCell ref="W30:Y30"/>
    <mergeCell ref="A15:B15"/>
    <mergeCell ref="E27:G27"/>
    <mergeCell ref="E30:E31"/>
    <mergeCell ref="F30:F31"/>
    <mergeCell ref="G30:G31"/>
    <mergeCell ref="H30:J30"/>
    <mergeCell ref="K30:M30"/>
    <mergeCell ref="N30:P30"/>
    <mergeCell ref="Q30:S30"/>
    <mergeCell ref="T30:V30"/>
    <mergeCell ref="A9:B9"/>
    <mergeCell ref="A10:B10"/>
    <mergeCell ref="A11:B11"/>
    <mergeCell ref="A12:B12"/>
    <mergeCell ref="A13:B13"/>
    <mergeCell ref="A14:B14"/>
    <mergeCell ref="A7:B7"/>
    <mergeCell ref="A8:B8"/>
    <mergeCell ref="CT5:CV5"/>
    <mergeCell ref="CB5:CD5"/>
    <mergeCell ref="CE5:CG5"/>
    <mergeCell ref="CH5:CJ5"/>
    <mergeCell ref="CK5:CM5"/>
    <mergeCell ref="CN5:CP5"/>
    <mergeCell ref="CQ5:CS5"/>
    <mergeCell ref="BJ5:BL5"/>
    <mergeCell ref="BM5:BO5"/>
    <mergeCell ref="BP5:BR5"/>
    <mergeCell ref="BS5:BU5"/>
    <mergeCell ref="BV5:BX5"/>
    <mergeCell ref="BY5:CA5"/>
    <mergeCell ref="BG5:BI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W5:Y5"/>
    <mergeCell ref="E1:F1"/>
    <mergeCell ref="E5:E6"/>
    <mergeCell ref="F5:F6"/>
    <mergeCell ref="G5:G6"/>
    <mergeCell ref="H5:J5"/>
    <mergeCell ref="K5:M5"/>
    <mergeCell ref="N5:P5"/>
    <mergeCell ref="Q5:S5"/>
    <mergeCell ref="T5:V5"/>
  </mergeCells>
  <phoneticPr fontId="46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0000"/>
  </sheetPr>
  <dimension ref="A1:T43"/>
  <sheetViews>
    <sheetView zoomScale="60" zoomScaleNormal="60" zoomScaleSheetLayoutView="75" workbookViewId="0">
      <pane xSplit="2" ySplit="6" topLeftCell="C20" activePane="bottomRight" state="frozen"/>
      <selection activeCell="R13" sqref="R13"/>
      <selection pane="topRight" activeCell="R13" sqref="R13"/>
      <selection pane="bottomLeft" activeCell="R13" sqref="R13"/>
      <selection pane="bottomRight" activeCell="D32" sqref="D32"/>
    </sheetView>
  </sheetViews>
  <sheetFormatPr defaultColWidth="9.140625" defaultRowHeight="13.5" x14ac:dyDescent="0.25"/>
  <cols>
    <col min="2" max="2" width="18.42578125" customWidth="1"/>
    <col min="3" max="5" width="16.7109375" style="2" customWidth="1"/>
    <col min="6" max="13" width="16.28515625" style="2" customWidth="1"/>
    <col min="14" max="14" width="1.5703125" customWidth="1"/>
    <col min="15" max="16" width="16.28515625" style="2" customWidth="1"/>
    <col min="17" max="17" width="1.5703125" style="2" customWidth="1"/>
    <col min="18" max="19" width="16.28515625" style="2" customWidth="1"/>
    <col min="20" max="20" width="17.85546875" style="2" customWidth="1"/>
  </cols>
  <sheetData>
    <row r="1" spans="1:20" ht="32.25" thickBot="1" x14ac:dyDescent="0.35">
      <c r="A1" s="20" t="s">
        <v>12</v>
      </c>
      <c r="C1" s="1"/>
      <c r="D1" s="947" t="str">
        <f>'0.기초및고정비'!C4&amp;'0.기초및고정비'!D4</f>
        <v>2026년4월</v>
      </c>
      <c r="E1" s="947"/>
      <c r="F1" s="1"/>
      <c r="G1" s="102" t="s">
        <v>133</v>
      </c>
      <c r="I1" s="1"/>
      <c r="J1" s="1"/>
      <c r="K1" s="1"/>
      <c r="L1" s="1"/>
      <c r="M1"/>
      <c r="O1" s="954" t="s">
        <v>481</v>
      </c>
      <c r="P1" s="955"/>
      <c r="Q1"/>
      <c r="R1"/>
      <c r="S1" s="1"/>
      <c r="T1" s="1"/>
    </row>
    <row r="2" spans="1:20" s="1" customFormat="1" ht="14.25" thickBot="1" x14ac:dyDescent="0.3">
      <c r="O2" s="482" t="s">
        <v>480</v>
      </c>
      <c r="P2" s="482" t="s">
        <v>480</v>
      </c>
    </row>
    <row r="3" spans="1:20" ht="24" customHeight="1" thickBot="1" x14ac:dyDescent="0.3">
      <c r="A3" s="948" t="s">
        <v>26</v>
      </c>
      <c r="B3" s="906" t="s">
        <v>129</v>
      </c>
      <c r="C3" s="956" t="s">
        <v>478</v>
      </c>
      <c r="D3" s="946"/>
      <c r="E3" s="946"/>
      <c r="F3" s="946"/>
      <c r="G3" s="946"/>
      <c r="H3" s="946"/>
      <c r="I3" s="946"/>
      <c r="J3" s="957" t="s">
        <v>479</v>
      </c>
      <c r="K3" s="946"/>
      <c r="L3" s="946"/>
      <c r="M3" s="946"/>
      <c r="O3" s="958" t="s">
        <v>206</v>
      </c>
      <c r="P3" s="958"/>
      <c r="Q3" s="126"/>
      <c r="R3" s="946" t="s">
        <v>482</v>
      </c>
      <c r="S3" s="946"/>
    </row>
    <row r="4" spans="1:20" ht="24" customHeight="1" thickBot="1" x14ac:dyDescent="0.3">
      <c r="A4" s="949"/>
      <c r="B4" s="951"/>
      <c r="C4" s="123" t="s">
        <v>159</v>
      </c>
      <c r="D4" s="124" t="s">
        <v>478</v>
      </c>
      <c r="E4" s="124"/>
      <c r="F4" s="124"/>
      <c r="G4" s="124"/>
      <c r="H4" s="124"/>
      <c r="I4" s="125"/>
      <c r="J4" s="479" t="s">
        <v>160</v>
      </c>
      <c r="K4" s="124" t="s">
        <v>500</v>
      </c>
      <c r="L4" s="124" t="s">
        <v>500</v>
      </c>
      <c r="M4" s="125" t="s">
        <v>501</v>
      </c>
      <c r="O4" s="481">
        <f>'4.데일리단가원재료'!H1</f>
        <v>0</v>
      </c>
      <c r="P4" s="477">
        <f>'4.데일리단가원재료2'!H1</f>
        <v>0</v>
      </c>
      <c r="Q4" s="126"/>
      <c r="R4" s="478" t="s">
        <v>182</v>
      </c>
      <c r="S4" s="477" t="s">
        <v>193</v>
      </c>
      <c r="T4" s="88" t="s">
        <v>161</v>
      </c>
    </row>
    <row r="5" spans="1:20" ht="23.25" customHeight="1" x14ac:dyDescent="0.25">
      <c r="A5" s="949"/>
      <c r="B5" s="952"/>
      <c r="C5" s="562" t="s">
        <v>537</v>
      </c>
      <c r="D5" s="517" t="s">
        <v>538</v>
      </c>
      <c r="E5" s="517" t="s">
        <v>539</v>
      </c>
      <c r="F5" s="517" t="s">
        <v>540</v>
      </c>
      <c r="G5" s="517" t="s">
        <v>541</v>
      </c>
      <c r="H5" s="107" t="s">
        <v>542</v>
      </c>
      <c r="I5" s="110"/>
      <c r="J5" s="518" t="s">
        <v>543</v>
      </c>
      <c r="K5" s="517"/>
      <c r="L5" s="107"/>
      <c r="M5" s="110" t="s">
        <v>544</v>
      </c>
      <c r="O5" s="112">
        <f>'4.데일리단가원재료'!L1</f>
        <v>0</v>
      </c>
      <c r="P5" s="108">
        <f>'4.데일리단가원재료2'!L1</f>
        <v>0</v>
      </c>
      <c r="Q5" s="127"/>
      <c r="R5" s="130" t="s">
        <v>190</v>
      </c>
      <c r="S5" s="108" t="s">
        <v>190</v>
      </c>
      <c r="T5" s="88" t="s">
        <v>162</v>
      </c>
    </row>
    <row r="6" spans="1:20" ht="27" customHeight="1" x14ac:dyDescent="0.25">
      <c r="A6" s="950"/>
      <c r="B6" s="953"/>
      <c r="C6" s="563" t="s">
        <v>84</v>
      </c>
      <c r="D6" s="532" t="s">
        <v>84</v>
      </c>
      <c r="E6" s="532" t="s">
        <v>84</v>
      </c>
      <c r="F6" s="532" t="s">
        <v>84</v>
      </c>
      <c r="G6" s="532" t="s">
        <v>84</v>
      </c>
      <c r="H6" s="532" t="s">
        <v>84</v>
      </c>
      <c r="I6" s="533" t="s">
        <v>84</v>
      </c>
      <c r="J6" s="534" t="s">
        <v>84</v>
      </c>
      <c r="K6" s="532" t="s">
        <v>84</v>
      </c>
      <c r="L6" s="532" t="s">
        <v>84</v>
      </c>
      <c r="M6" s="533" t="s">
        <v>84</v>
      </c>
      <c r="O6" s="535" t="s">
        <v>84</v>
      </c>
      <c r="P6" s="536" t="s">
        <v>84</v>
      </c>
      <c r="Q6" s="537"/>
      <c r="R6" s="538" t="s">
        <v>84</v>
      </c>
      <c r="S6" s="536" t="s">
        <v>84</v>
      </c>
      <c r="T6" s="80"/>
    </row>
    <row r="7" spans="1:20" ht="24.95" customHeight="1" x14ac:dyDescent="0.25">
      <c r="A7" s="522">
        <v>1</v>
      </c>
      <c r="B7" s="528">
        <f t="shared" ref="B7:B37" si="0">SUM(C7:S7)</f>
        <v>316000</v>
      </c>
      <c r="C7" s="566"/>
      <c r="D7" s="567"/>
      <c r="E7" s="567"/>
      <c r="F7" s="567"/>
      <c r="G7" s="567"/>
      <c r="H7" s="567"/>
      <c r="I7" s="568"/>
      <c r="J7" s="569"/>
      <c r="K7" s="567"/>
      <c r="L7" s="567"/>
      <c r="M7" s="568"/>
      <c r="O7" s="529">
        <f>HLOOKUP(A7,'4.데일리단가원재료'!$B$3:$CP$38,36)</f>
        <v>0</v>
      </c>
      <c r="P7" s="133">
        <f>HLOOKUP(A7,'4.데일리단가원재료2'!$B$3:$CP$38,36)</f>
        <v>0</v>
      </c>
      <c r="Q7" s="128"/>
      <c r="R7" s="530">
        <f>IFERROR(VLOOKUP(A7,※계좌이체!$A$6:$B$191,2,0),0)</f>
        <v>105000</v>
      </c>
      <c r="S7" s="531">
        <f>'5.법카,시재지출'!N12</f>
        <v>211000</v>
      </c>
      <c r="T7" s="128"/>
    </row>
    <row r="8" spans="1:20" ht="24.95" customHeight="1" x14ac:dyDescent="0.25">
      <c r="A8" s="26">
        <v>2</v>
      </c>
      <c r="B8" s="528">
        <f t="shared" si="0"/>
        <v>963720</v>
      </c>
      <c r="C8" s="570">
        <v>92820</v>
      </c>
      <c r="D8" s="571">
        <v>708300</v>
      </c>
      <c r="E8" s="571"/>
      <c r="F8" s="571"/>
      <c r="G8" s="571"/>
      <c r="H8" s="571"/>
      <c r="I8" s="572"/>
      <c r="J8" s="573"/>
      <c r="K8" s="571"/>
      <c r="L8" s="571"/>
      <c r="M8" s="572">
        <v>74600</v>
      </c>
      <c r="O8" s="529">
        <f>HLOOKUP(A8,'4.데일리단가원재료'!$B$3:$CP$38,36)</f>
        <v>0</v>
      </c>
      <c r="P8" s="133">
        <f>HLOOKUP(A8,'4.데일리단가원재료2'!$B$3:$CP$38,36)</f>
        <v>0</v>
      </c>
      <c r="Q8" s="128"/>
      <c r="R8" s="132">
        <f>IFERROR(VLOOKUP(A8,※계좌이체!$A$6:$B$191,2,0),0)</f>
        <v>88000</v>
      </c>
      <c r="S8" s="133">
        <f>'5.법카,시재지출'!N19</f>
        <v>0</v>
      </c>
      <c r="T8" s="128"/>
    </row>
    <row r="9" spans="1:20" ht="24.95" customHeight="1" x14ac:dyDescent="0.25">
      <c r="A9" s="26">
        <v>3</v>
      </c>
      <c r="B9" s="528">
        <f t="shared" si="0"/>
        <v>1420808</v>
      </c>
      <c r="C9" s="524">
        <v>443888</v>
      </c>
      <c r="D9" s="525">
        <v>513150</v>
      </c>
      <c r="E9" s="525"/>
      <c r="F9" s="525"/>
      <c r="G9" s="525">
        <v>110000</v>
      </c>
      <c r="H9" s="525"/>
      <c r="I9" s="539"/>
      <c r="J9" s="541">
        <v>341770</v>
      </c>
      <c r="K9" s="525"/>
      <c r="L9" s="525"/>
      <c r="M9" s="539"/>
      <c r="O9" s="529">
        <f>HLOOKUP(A9,'4.데일리단가원재료'!$B$3:$CP$38,36)</f>
        <v>0</v>
      </c>
      <c r="P9" s="133">
        <f>HLOOKUP(A9,'4.데일리단가원재료2'!$B$3:$CP$38,36)</f>
        <v>0</v>
      </c>
      <c r="Q9" s="128"/>
      <c r="R9" s="132">
        <f>IFERROR(VLOOKUP(A9,※계좌이체!$A$6:$B$191,2,0),0)</f>
        <v>0</v>
      </c>
      <c r="S9" s="133">
        <f>'5.법카,시재지출'!N26</f>
        <v>12000</v>
      </c>
      <c r="T9" s="128"/>
    </row>
    <row r="10" spans="1:20" ht="24.95" customHeight="1" x14ac:dyDescent="0.25">
      <c r="A10" s="26">
        <v>4</v>
      </c>
      <c r="B10" s="528">
        <f t="shared" si="0"/>
        <v>1115050</v>
      </c>
      <c r="C10" s="524"/>
      <c r="D10" s="525">
        <v>1115050</v>
      </c>
      <c r="E10" s="525"/>
      <c r="F10" s="525"/>
      <c r="G10" s="525"/>
      <c r="H10" s="525"/>
      <c r="I10" s="539"/>
      <c r="J10" s="541"/>
      <c r="K10" s="525"/>
      <c r="L10" s="525"/>
      <c r="M10" s="539"/>
      <c r="O10" s="529">
        <f>HLOOKUP(A10,'4.데일리단가원재료'!$B$3:$CP$38,36)</f>
        <v>0</v>
      </c>
      <c r="P10" s="133">
        <f>HLOOKUP(A10,'4.데일리단가원재료2'!$B$3:$CP$38,36)</f>
        <v>0</v>
      </c>
      <c r="Q10" s="128"/>
      <c r="R10" s="132">
        <f>IFERROR(VLOOKUP(A10,※계좌이체!$A$6:$B$191,2,0),0)</f>
        <v>0</v>
      </c>
      <c r="S10" s="133">
        <f>'5.법카,시재지출'!N33</f>
        <v>0</v>
      </c>
      <c r="T10" s="128"/>
    </row>
    <row r="11" spans="1:20" ht="24.95" customHeight="1" x14ac:dyDescent="0.25">
      <c r="A11" s="26">
        <v>5</v>
      </c>
      <c r="B11" s="528">
        <f t="shared" si="0"/>
        <v>0</v>
      </c>
      <c r="C11" s="524"/>
      <c r="D11" s="525"/>
      <c r="E11" s="525"/>
      <c r="F11" s="525"/>
      <c r="G11" s="525"/>
      <c r="H11" s="525"/>
      <c r="I11" s="539"/>
      <c r="J11" s="541"/>
      <c r="K11" s="525"/>
      <c r="L11" s="525"/>
      <c r="M11" s="539"/>
      <c r="O11" s="529">
        <f>HLOOKUP(A11,'4.데일리단가원재료'!$B$3:$CP$38,36)</f>
        <v>0</v>
      </c>
      <c r="P11" s="133">
        <f>HLOOKUP(A11,'4.데일리단가원재료2'!$B$3:$CP$38,36)</f>
        <v>0</v>
      </c>
      <c r="Q11" s="128"/>
      <c r="R11" s="132">
        <f>IFERROR(VLOOKUP(A11,※계좌이체!$A$6:$B$191,2,0),0)</f>
        <v>0</v>
      </c>
      <c r="S11" s="133">
        <f>'5.법카,시재지출'!N40</f>
        <v>0</v>
      </c>
      <c r="T11" s="128"/>
    </row>
    <row r="12" spans="1:20" ht="24.95" customHeight="1" x14ac:dyDescent="0.25">
      <c r="A12" s="26">
        <v>6</v>
      </c>
      <c r="B12" s="528">
        <f t="shared" si="0"/>
        <v>2121000</v>
      </c>
      <c r="C12" s="524">
        <v>534300</v>
      </c>
      <c r="D12" s="525">
        <v>493500</v>
      </c>
      <c r="E12" s="525"/>
      <c r="F12" s="525">
        <v>251000</v>
      </c>
      <c r="G12" s="525"/>
      <c r="H12" s="525"/>
      <c r="I12" s="539"/>
      <c r="J12" s="541">
        <v>431200</v>
      </c>
      <c r="K12" s="525"/>
      <c r="L12" s="525"/>
      <c r="M12" s="539">
        <v>36000</v>
      </c>
      <c r="O12" s="529">
        <f>HLOOKUP(A12,'4.데일리단가원재료'!$B$3:$CP$38,36)</f>
        <v>0</v>
      </c>
      <c r="P12" s="133">
        <f>HLOOKUP(A12,'4.데일리단가원재료2'!$B$3:$CP$38,36)</f>
        <v>0</v>
      </c>
      <c r="Q12" s="128"/>
      <c r="R12" s="132">
        <f>IFERROR(VLOOKUP(A12,※계좌이체!$A$6:$B$191,2,0),0)</f>
        <v>375000</v>
      </c>
      <c r="S12" s="133">
        <f>'5.법카,시재지출'!N47</f>
        <v>0</v>
      </c>
      <c r="T12" s="128"/>
    </row>
    <row r="13" spans="1:20" ht="24.95" customHeight="1" x14ac:dyDescent="0.25">
      <c r="A13" s="26">
        <v>7</v>
      </c>
      <c r="B13" s="528">
        <f t="shared" si="0"/>
        <v>292100</v>
      </c>
      <c r="C13" s="524">
        <v>105100</v>
      </c>
      <c r="D13" s="525">
        <v>96000</v>
      </c>
      <c r="E13" s="525"/>
      <c r="F13" s="525"/>
      <c r="G13" s="525"/>
      <c r="H13" s="525"/>
      <c r="I13" s="539"/>
      <c r="J13" s="541"/>
      <c r="K13" s="525"/>
      <c r="L13" s="525"/>
      <c r="M13" s="539"/>
      <c r="O13" s="529">
        <f>HLOOKUP(A13,'4.데일리단가원재료'!$B$3:$CP$38,36)</f>
        <v>0</v>
      </c>
      <c r="P13" s="133">
        <f>HLOOKUP(A13,'4.데일리단가원재료2'!$B$3:$CP$38,36)</f>
        <v>0</v>
      </c>
      <c r="Q13" s="128"/>
      <c r="R13" s="132">
        <f>IFERROR(VLOOKUP(A13,※계좌이체!$A$6:$B$191,2,0),0)</f>
        <v>79000</v>
      </c>
      <c r="S13" s="133">
        <f>'5.법카,시재지출'!N54</f>
        <v>12000</v>
      </c>
      <c r="T13" s="128"/>
    </row>
    <row r="14" spans="1:20" ht="24.95" customHeight="1" x14ac:dyDescent="0.25">
      <c r="A14" s="26">
        <v>8</v>
      </c>
      <c r="B14" s="528">
        <f t="shared" si="0"/>
        <v>434150</v>
      </c>
      <c r="C14" s="524">
        <v>162100</v>
      </c>
      <c r="D14" s="525">
        <v>226050</v>
      </c>
      <c r="E14" s="525"/>
      <c r="F14" s="525"/>
      <c r="G14" s="525"/>
      <c r="H14" s="525"/>
      <c r="I14" s="539"/>
      <c r="J14" s="541"/>
      <c r="K14" s="525"/>
      <c r="L14" s="525"/>
      <c r="M14" s="539"/>
      <c r="O14" s="529">
        <f>HLOOKUP(A14,'4.데일리단가원재료'!$B$3:$CP$38,36)</f>
        <v>0</v>
      </c>
      <c r="P14" s="133">
        <f>HLOOKUP(A14,'4.데일리단가원재료2'!$B$3:$CP$38,36)</f>
        <v>0</v>
      </c>
      <c r="Q14" s="128"/>
      <c r="R14" s="132">
        <f>IFERROR(VLOOKUP(A14,※계좌이체!$A$6:$B$191,2,0),0)</f>
        <v>0</v>
      </c>
      <c r="S14" s="133">
        <f>'5.법카,시재지출'!N61</f>
        <v>46000</v>
      </c>
      <c r="T14" s="128"/>
    </row>
    <row r="15" spans="1:20" ht="24.95" customHeight="1" x14ac:dyDescent="0.25">
      <c r="A15" s="26">
        <v>9</v>
      </c>
      <c r="B15" s="528">
        <f t="shared" si="0"/>
        <v>520090</v>
      </c>
      <c r="C15" s="524">
        <v>106340</v>
      </c>
      <c r="D15" s="525">
        <v>413750</v>
      </c>
      <c r="E15" s="525"/>
      <c r="F15" s="525"/>
      <c r="G15" s="525"/>
      <c r="H15" s="525"/>
      <c r="I15" s="539"/>
      <c r="J15" s="541"/>
      <c r="K15" s="525"/>
      <c r="L15" s="525"/>
      <c r="M15" s="539"/>
      <c r="O15" s="529">
        <f>HLOOKUP(A15,'4.데일리단가원재료'!$B$3:$CP$38,36)</f>
        <v>0</v>
      </c>
      <c r="P15" s="133">
        <f>HLOOKUP(A15,'4.데일리단가원재료2'!$B$3:$CP$38,36)</f>
        <v>0</v>
      </c>
      <c r="Q15" s="128"/>
      <c r="R15" s="132">
        <f>IFERROR(VLOOKUP(A15,※계좌이체!$A$6:$B$191,2,0),0)</f>
        <v>0</v>
      </c>
      <c r="S15" s="133">
        <f>'5.법카,시재지출'!N68</f>
        <v>0</v>
      </c>
      <c r="T15" s="128"/>
    </row>
    <row r="16" spans="1:20" ht="24.95" customHeight="1" x14ac:dyDescent="0.25">
      <c r="A16" s="26">
        <v>10</v>
      </c>
      <c r="B16" s="528">
        <f t="shared" si="0"/>
        <v>1192680</v>
      </c>
      <c r="C16" s="524">
        <v>199580</v>
      </c>
      <c r="D16" s="525">
        <v>705600</v>
      </c>
      <c r="E16" s="525"/>
      <c r="F16" s="525"/>
      <c r="G16" s="525"/>
      <c r="H16" s="525"/>
      <c r="I16" s="539"/>
      <c r="J16" s="541">
        <v>287500</v>
      </c>
      <c r="K16" s="525"/>
      <c r="L16" s="525"/>
      <c r="M16" s="539"/>
      <c r="O16" s="529">
        <f>HLOOKUP(A16,'4.데일리단가원재료'!$B$3:$CP$38,36)</f>
        <v>0</v>
      </c>
      <c r="P16" s="133">
        <f>HLOOKUP(A16,'4.데일리단가원재료2'!$B$3:$CP$38,36)</f>
        <v>0</v>
      </c>
      <c r="Q16" s="128"/>
      <c r="R16" s="132">
        <f>IFERROR(VLOOKUP(A16,※계좌이체!$A$6:$B$191,2,0),0)</f>
        <v>0</v>
      </c>
      <c r="S16" s="133">
        <f>'5.법카,시재지출'!N75</f>
        <v>0</v>
      </c>
      <c r="T16" s="128"/>
    </row>
    <row r="17" spans="1:20" ht="24.95" customHeight="1" x14ac:dyDescent="0.25">
      <c r="A17" s="26">
        <v>11</v>
      </c>
      <c r="B17" s="528">
        <f t="shared" si="0"/>
        <v>1103584</v>
      </c>
      <c r="C17" s="524">
        <v>272134</v>
      </c>
      <c r="D17" s="525">
        <v>747950</v>
      </c>
      <c r="E17" s="525"/>
      <c r="F17" s="525">
        <v>83500</v>
      </c>
      <c r="G17" s="525"/>
      <c r="H17" s="525"/>
      <c r="I17" s="539"/>
      <c r="J17" s="541"/>
      <c r="K17" s="525"/>
      <c r="L17" s="525"/>
      <c r="M17" s="539"/>
      <c r="O17" s="529">
        <f>HLOOKUP(A17,'4.데일리단가원재료'!$B$3:$CP$38,36)</f>
        <v>0</v>
      </c>
      <c r="P17" s="133">
        <f>HLOOKUP(A17,'4.데일리단가원재료2'!$B$3:$CP$38,36)</f>
        <v>0</v>
      </c>
      <c r="Q17" s="128"/>
      <c r="R17" s="132">
        <f>IFERROR(VLOOKUP(A17,※계좌이체!$A$6:$B$191,2,0),0)</f>
        <v>0</v>
      </c>
      <c r="S17" s="133">
        <f>'5.법카,시재지출'!N82</f>
        <v>0</v>
      </c>
      <c r="T17" s="128"/>
    </row>
    <row r="18" spans="1:20" ht="24.95" customHeight="1" x14ac:dyDescent="0.25">
      <c r="A18" s="26">
        <v>12</v>
      </c>
      <c r="B18" s="528">
        <f t="shared" si="0"/>
        <v>613950</v>
      </c>
      <c r="C18" s="524"/>
      <c r="D18" s="525">
        <v>419500</v>
      </c>
      <c r="E18" s="525"/>
      <c r="F18" s="525"/>
      <c r="G18" s="525"/>
      <c r="H18" s="525"/>
      <c r="I18" s="539"/>
      <c r="J18" s="541"/>
      <c r="K18" s="525"/>
      <c r="L18" s="525"/>
      <c r="M18" s="539"/>
      <c r="O18" s="529">
        <f>HLOOKUP(A18,'4.데일리단가원재료'!$B$3:$CP$38,36)</f>
        <v>0</v>
      </c>
      <c r="P18" s="133">
        <f>HLOOKUP(A18,'4.데일리단가원재료2'!$B$3:$CP$38,36)</f>
        <v>0</v>
      </c>
      <c r="Q18" s="128"/>
      <c r="R18" s="132">
        <f>IFERROR(VLOOKUP(A18,※계좌이체!$A$6:$B$191,2,0),0)</f>
        <v>148350</v>
      </c>
      <c r="S18" s="133">
        <f>'5.법카,시재지출'!N89</f>
        <v>46100</v>
      </c>
      <c r="T18" s="128"/>
    </row>
    <row r="19" spans="1:20" ht="24.95" customHeight="1" x14ac:dyDescent="0.25">
      <c r="A19" s="26">
        <v>13</v>
      </c>
      <c r="B19" s="528">
        <f t="shared" si="0"/>
        <v>1819800</v>
      </c>
      <c r="C19" s="524">
        <v>435820</v>
      </c>
      <c r="D19" s="525">
        <v>450200</v>
      </c>
      <c r="E19" s="525"/>
      <c r="F19" s="525"/>
      <c r="G19" s="525">
        <v>215000</v>
      </c>
      <c r="H19" s="525"/>
      <c r="I19" s="539"/>
      <c r="J19" s="541">
        <v>662180</v>
      </c>
      <c r="K19" s="525"/>
      <c r="L19" s="525"/>
      <c r="M19" s="539">
        <v>56600</v>
      </c>
      <c r="O19" s="529">
        <f>HLOOKUP(A19,'4.데일리단가원재료'!$B$3:$CP$38,36)</f>
        <v>0</v>
      </c>
      <c r="P19" s="133">
        <f>HLOOKUP(A19,'4.데일리단가원재료2'!$B$3:$CP$38,36)</f>
        <v>0</v>
      </c>
      <c r="Q19" s="128"/>
      <c r="R19" s="132">
        <f>IFERROR(VLOOKUP(A19,※계좌이체!$A$6:$B$191,2,0),0)</f>
        <v>0</v>
      </c>
      <c r="S19" s="133">
        <f>'5.법카,시재지출'!N96</f>
        <v>0</v>
      </c>
      <c r="T19" s="128"/>
    </row>
    <row r="20" spans="1:20" ht="24.95" customHeight="1" x14ac:dyDescent="0.25">
      <c r="A20" s="26">
        <v>14</v>
      </c>
      <c r="B20" s="528">
        <f t="shared" si="0"/>
        <v>362800</v>
      </c>
      <c r="C20" s="524"/>
      <c r="D20" s="525">
        <v>362800</v>
      </c>
      <c r="E20" s="525"/>
      <c r="F20" s="525"/>
      <c r="G20" s="525"/>
      <c r="H20" s="525"/>
      <c r="I20" s="539"/>
      <c r="J20" s="541"/>
      <c r="K20" s="525"/>
      <c r="L20" s="525"/>
      <c r="M20" s="539"/>
      <c r="O20" s="529">
        <f>HLOOKUP(A20,'4.데일리단가원재료'!$B$3:$CP$38,36)</f>
        <v>0</v>
      </c>
      <c r="P20" s="133">
        <f>HLOOKUP(A20,'4.데일리단가원재료2'!$B$3:$CP$38,36)</f>
        <v>0</v>
      </c>
      <c r="Q20" s="128"/>
      <c r="R20" s="132">
        <f>IFERROR(VLOOKUP(A20,※계좌이체!$A$6:$B$191,2,0),0)</f>
        <v>0</v>
      </c>
      <c r="S20" s="133">
        <f>'5.법카,시재지출'!N103</f>
        <v>0</v>
      </c>
      <c r="T20" s="128"/>
    </row>
    <row r="21" spans="1:20" ht="24.95" customHeight="1" x14ac:dyDescent="0.25">
      <c r="A21" s="26">
        <v>15</v>
      </c>
      <c r="B21" s="528">
        <f t="shared" si="0"/>
        <v>1414560</v>
      </c>
      <c r="C21" s="524">
        <v>373660</v>
      </c>
      <c r="D21" s="525">
        <v>737900</v>
      </c>
      <c r="E21" s="525">
        <v>231000</v>
      </c>
      <c r="F21" s="525"/>
      <c r="G21" s="525"/>
      <c r="H21" s="525"/>
      <c r="I21" s="539"/>
      <c r="J21" s="541">
        <v>72000</v>
      </c>
      <c r="K21" s="525"/>
      <c r="L21" s="525"/>
      <c r="M21" s="539"/>
      <c r="O21" s="529">
        <f>HLOOKUP(A21,'4.데일리단가원재료'!$B$3:$CP$38,36)</f>
        <v>0</v>
      </c>
      <c r="P21" s="133">
        <f>HLOOKUP(A21,'4.데일리단가원재료2'!$B$3:$CP$38,36)</f>
        <v>0</v>
      </c>
      <c r="Q21" s="128"/>
      <c r="R21" s="132">
        <f>IFERROR(VLOOKUP(A21,※계좌이체!$A$6:$B$191,2,0),0)</f>
        <v>0</v>
      </c>
      <c r="S21" s="133">
        <f>'5.법카,시재지출'!N110</f>
        <v>0</v>
      </c>
      <c r="T21" s="128"/>
    </row>
    <row r="22" spans="1:20" ht="24.95" customHeight="1" x14ac:dyDescent="0.25">
      <c r="A22" s="26">
        <v>16</v>
      </c>
      <c r="B22" s="528">
        <f t="shared" si="0"/>
        <v>1864785</v>
      </c>
      <c r="C22" s="524">
        <v>374485</v>
      </c>
      <c r="D22" s="525">
        <v>1108200</v>
      </c>
      <c r="E22" s="525"/>
      <c r="F22" s="525"/>
      <c r="G22" s="525"/>
      <c r="H22" s="525"/>
      <c r="I22" s="539"/>
      <c r="J22" s="541">
        <v>382100</v>
      </c>
      <c r="K22" s="525"/>
      <c r="L22" s="525"/>
      <c r="M22" s="539"/>
      <c r="O22" s="529">
        <f>HLOOKUP(A22,'4.데일리단가원재료'!$B$3:$CP$38,36)</f>
        <v>0</v>
      </c>
      <c r="P22" s="133">
        <f>HLOOKUP(A22,'4.데일리단가원재료2'!$B$3:$CP$38,36)</f>
        <v>0</v>
      </c>
      <c r="Q22" s="128"/>
      <c r="R22" s="132">
        <f>IFERROR(VLOOKUP(A22,※계좌이체!$A$6:$B$191,2,0),0)</f>
        <v>0</v>
      </c>
      <c r="S22" s="133">
        <f>'5.법카,시재지출'!N117</f>
        <v>0</v>
      </c>
      <c r="T22" s="128"/>
    </row>
    <row r="23" spans="1:20" ht="24.95" customHeight="1" x14ac:dyDescent="0.25">
      <c r="A23" s="26">
        <v>17</v>
      </c>
      <c r="B23" s="528">
        <f t="shared" si="0"/>
        <v>2185640</v>
      </c>
      <c r="C23" s="524">
        <v>382640</v>
      </c>
      <c r="D23" s="525">
        <v>907450</v>
      </c>
      <c r="E23" s="525"/>
      <c r="F23" s="525"/>
      <c r="G23" s="525"/>
      <c r="H23" s="525"/>
      <c r="I23" s="539"/>
      <c r="J23" s="541">
        <v>814850</v>
      </c>
      <c r="K23" s="525"/>
      <c r="L23" s="525"/>
      <c r="M23" s="539">
        <v>74600</v>
      </c>
      <c r="O23" s="529">
        <f>HLOOKUP(A23,'4.데일리단가원재료'!$B$3:$CP$38,36)</f>
        <v>0</v>
      </c>
      <c r="P23" s="133">
        <f>HLOOKUP(A23,'4.데일리단가원재료2'!$B$3:$CP$38,36)</f>
        <v>0</v>
      </c>
      <c r="Q23" s="128"/>
      <c r="R23" s="132">
        <f>IFERROR(VLOOKUP(A23,※계좌이체!$A$6:$B$191,2,0),0)</f>
        <v>0</v>
      </c>
      <c r="S23" s="133">
        <f>'5.법카,시재지출'!N124</f>
        <v>6100</v>
      </c>
      <c r="T23" s="128"/>
    </row>
    <row r="24" spans="1:20" ht="24.95" customHeight="1" x14ac:dyDescent="0.25">
      <c r="A24" s="26">
        <v>18</v>
      </c>
      <c r="B24" s="528">
        <f t="shared" si="0"/>
        <v>1249992</v>
      </c>
      <c r="C24" s="524">
        <v>542992</v>
      </c>
      <c r="D24" s="525">
        <v>697600</v>
      </c>
      <c r="E24" s="525"/>
      <c r="F24" s="525"/>
      <c r="G24" s="525"/>
      <c r="H24" s="525"/>
      <c r="I24" s="539"/>
      <c r="J24" s="541"/>
      <c r="K24" s="525"/>
      <c r="L24" s="525"/>
      <c r="M24" s="539"/>
      <c r="O24" s="529">
        <f>HLOOKUP(A24,'4.데일리단가원재료'!$B$3:$CP$38,36)</f>
        <v>0</v>
      </c>
      <c r="P24" s="133">
        <f>HLOOKUP(A24,'4.데일리단가원재료2'!$B$3:$CP$38,36)</f>
        <v>0</v>
      </c>
      <c r="Q24" s="128"/>
      <c r="R24" s="132">
        <f>IFERROR(VLOOKUP(A24,※계좌이체!$A$6:$B$191,2,0),0)</f>
        <v>0</v>
      </c>
      <c r="S24" s="133">
        <f>'5.법카,시재지출'!N131</f>
        <v>9400</v>
      </c>
      <c r="T24" s="128"/>
    </row>
    <row r="25" spans="1:20" ht="24.95" customHeight="1" x14ac:dyDescent="0.25">
      <c r="A25" s="26">
        <v>19</v>
      </c>
      <c r="B25" s="528">
        <f t="shared" si="0"/>
        <v>665050</v>
      </c>
      <c r="C25" s="524"/>
      <c r="D25" s="525">
        <v>665050</v>
      </c>
      <c r="E25" s="525"/>
      <c r="F25" s="525"/>
      <c r="G25" s="525"/>
      <c r="H25" s="525"/>
      <c r="I25" s="539"/>
      <c r="J25" s="541"/>
      <c r="K25" s="525"/>
      <c r="L25" s="525"/>
      <c r="M25" s="539"/>
      <c r="O25" s="529">
        <f>HLOOKUP(A25,'4.데일리단가원재료'!$B$3:$CP$38,36)</f>
        <v>0</v>
      </c>
      <c r="P25" s="133">
        <f>HLOOKUP(A25,'4.데일리단가원재료2'!$B$3:$CP$38,36)</f>
        <v>0</v>
      </c>
      <c r="Q25" s="128"/>
      <c r="R25" s="132">
        <f>IFERROR(VLOOKUP(A25,※계좌이체!$A$6:$B$191,2,0),0)</f>
        <v>0</v>
      </c>
      <c r="S25" s="133">
        <f>'5.법카,시재지출'!N138</f>
        <v>0</v>
      </c>
      <c r="T25" s="128"/>
    </row>
    <row r="26" spans="1:20" ht="24.95" customHeight="1" x14ac:dyDescent="0.25">
      <c r="A26" s="26">
        <v>20</v>
      </c>
      <c r="B26" s="528">
        <f t="shared" si="0"/>
        <v>2242745</v>
      </c>
      <c r="C26" s="524">
        <v>446215</v>
      </c>
      <c r="D26" s="525">
        <v>331150</v>
      </c>
      <c r="E26" s="525">
        <v>486200</v>
      </c>
      <c r="F26" s="525"/>
      <c r="G26" s="525">
        <v>320000</v>
      </c>
      <c r="H26" s="525"/>
      <c r="I26" s="539"/>
      <c r="J26" s="541">
        <v>622380</v>
      </c>
      <c r="K26" s="525"/>
      <c r="L26" s="525"/>
      <c r="M26" s="539">
        <v>36800</v>
      </c>
      <c r="O26" s="529">
        <f>HLOOKUP(A26,'4.데일리단가원재료'!$B$3:$CP$38,36)</f>
        <v>0</v>
      </c>
      <c r="P26" s="133">
        <f>HLOOKUP(A26,'4.데일리단가원재료2'!$B$3:$CP$38,36)</f>
        <v>0</v>
      </c>
      <c r="Q26" s="128"/>
      <c r="R26" s="132">
        <f>IFERROR(VLOOKUP(A26,※계좌이체!$A$6:$B$191,2,0),0)</f>
        <v>0</v>
      </c>
      <c r="S26" s="133">
        <f>'5.법카,시재지출'!N145</f>
        <v>0</v>
      </c>
      <c r="T26" s="128"/>
    </row>
    <row r="27" spans="1:20" ht="24.95" customHeight="1" x14ac:dyDescent="0.25">
      <c r="A27" s="26">
        <v>21</v>
      </c>
      <c r="B27" s="528">
        <f t="shared" si="0"/>
        <v>673500</v>
      </c>
      <c r="C27" s="524"/>
      <c r="D27" s="525">
        <v>277000</v>
      </c>
      <c r="E27" s="525"/>
      <c r="F27" s="525">
        <v>325000</v>
      </c>
      <c r="G27" s="525"/>
      <c r="H27" s="525"/>
      <c r="I27" s="539"/>
      <c r="J27" s="541">
        <v>71500</v>
      </c>
      <c r="K27" s="525"/>
      <c r="L27" s="525"/>
      <c r="M27" s="539"/>
      <c r="O27" s="529">
        <f>HLOOKUP(A27,'4.데일리단가원재료'!$B$3:$CP$38,36)</f>
        <v>0</v>
      </c>
      <c r="P27" s="133">
        <f>HLOOKUP(A27,'4.데일리단가원재료2'!$B$3:$CP$38,36)</f>
        <v>0</v>
      </c>
      <c r="Q27" s="128"/>
      <c r="R27" s="132">
        <f>IFERROR(VLOOKUP(A27,※계좌이체!$A$6:$B$191,2,0),0)</f>
        <v>0</v>
      </c>
      <c r="S27" s="133">
        <f>'5.법카,시재지출'!N152</f>
        <v>0</v>
      </c>
      <c r="T27" s="128"/>
    </row>
    <row r="28" spans="1:20" ht="24.95" customHeight="1" x14ac:dyDescent="0.25">
      <c r="A28" s="26">
        <v>22</v>
      </c>
      <c r="B28" s="528">
        <f t="shared" si="0"/>
        <v>1077870</v>
      </c>
      <c r="C28" s="524">
        <v>211520</v>
      </c>
      <c r="D28" s="525">
        <v>699050</v>
      </c>
      <c r="E28" s="525"/>
      <c r="F28" s="525"/>
      <c r="G28" s="525"/>
      <c r="H28" s="525"/>
      <c r="I28" s="539"/>
      <c r="J28" s="541">
        <v>167300</v>
      </c>
      <c r="K28" s="525"/>
      <c r="L28" s="525"/>
      <c r="M28" s="539"/>
      <c r="O28" s="529">
        <f>HLOOKUP(A28,'4.데일리단가원재료'!$B$3:$CP$38,36)</f>
        <v>0</v>
      </c>
      <c r="P28" s="133">
        <f>HLOOKUP(A28,'4.데일리단가원재료2'!$B$3:$CP$38,36)</f>
        <v>0</v>
      </c>
      <c r="Q28" s="128"/>
      <c r="R28" s="132">
        <f>IFERROR(VLOOKUP(A28,※계좌이체!$A$6:$B$191,2,0),0)</f>
        <v>0</v>
      </c>
      <c r="S28" s="133">
        <f>'5.법카,시재지출'!N159</f>
        <v>0</v>
      </c>
      <c r="T28" s="128"/>
    </row>
    <row r="29" spans="1:20" ht="24.95" customHeight="1" x14ac:dyDescent="0.25">
      <c r="A29" s="26">
        <v>23</v>
      </c>
      <c r="B29" s="528">
        <f t="shared" si="0"/>
        <v>1535340</v>
      </c>
      <c r="C29" s="524">
        <v>388090</v>
      </c>
      <c r="D29" s="525">
        <v>789650</v>
      </c>
      <c r="E29" s="525"/>
      <c r="F29" s="525"/>
      <c r="G29" s="525"/>
      <c r="H29" s="525"/>
      <c r="I29" s="539"/>
      <c r="J29" s="541">
        <v>217600</v>
      </c>
      <c r="K29" s="525"/>
      <c r="L29" s="525"/>
      <c r="M29" s="539">
        <v>76400</v>
      </c>
      <c r="O29" s="529">
        <f>HLOOKUP(A29,'4.데일리단가원재료'!$B$3:$CP$38,36)</f>
        <v>0</v>
      </c>
      <c r="P29" s="133">
        <f>HLOOKUP(A29,'4.데일리단가원재료2'!$B$3:$CP$38,36)</f>
        <v>0</v>
      </c>
      <c r="Q29" s="128"/>
      <c r="R29" s="132">
        <f>IFERROR(VLOOKUP(A29,※계좌이체!$A$6:$B$191,2,0),0)</f>
        <v>63600</v>
      </c>
      <c r="S29" s="133">
        <f>'5.법카,시재지출'!N166</f>
        <v>0</v>
      </c>
      <c r="T29" s="128"/>
    </row>
    <row r="30" spans="1:20" ht="24.95" customHeight="1" x14ac:dyDescent="0.25">
      <c r="A30" s="26">
        <v>24</v>
      </c>
      <c r="B30" s="528">
        <f t="shared" si="0"/>
        <v>1658070</v>
      </c>
      <c r="C30" s="524">
        <v>331190</v>
      </c>
      <c r="D30" s="525">
        <v>647050</v>
      </c>
      <c r="E30" s="525"/>
      <c r="F30" s="525"/>
      <c r="G30" s="525"/>
      <c r="H30" s="525"/>
      <c r="I30" s="539"/>
      <c r="J30" s="541">
        <v>679830</v>
      </c>
      <c r="K30" s="525"/>
      <c r="L30" s="525"/>
      <c r="M30" s="539"/>
      <c r="O30" s="529">
        <f>HLOOKUP(A30,'4.데일리단가원재료'!$B$3:$CP$38,36)</f>
        <v>0</v>
      </c>
      <c r="P30" s="133">
        <f>HLOOKUP(A30,'4.데일리단가원재료2'!$B$3:$CP$38,36)</f>
        <v>0</v>
      </c>
      <c r="Q30" s="128"/>
      <c r="R30" s="132">
        <f>IFERROR(VLOOKUP(A30,※계좌이체!$A$6:$B$191,2,0),0)</f>
        <v>0</v>
      </c>
      <c r="S30" s="133">
        <f>'5.법카,시재지출'!N173</f>
        <v>0</v>
      </c>
      <c r="T30" s="128"/>
    </row>
    <row r="31" spans="1:20" ht="24.95" customHeight="1" x14ac:dyDescent="0.25">
      <c r="A31" s="26">
        <v>25</v>
      </c>
      <c r="B31" s="528">
        <f t="shared" si="0"/>
        <v>1194660</v>
      </c>
      <c r="C31" s="524">
        <v>486760</v>
      </c>
      <c r="D31" s="525">
        <v>707900</v>
      </c>
      <c r="E31" s="525"/>
      <c r="F31" s="525"/>
      <c r="G31" s="525"/>
      <c r="H31" s="525"/>
      <c r="I31" s="539"/>
      <c r="J31" s="541"/>
      <c r="K31" s="525"/>
      <c r="L31" s="525"/>
      <c r="M31" s="539"/>
      <c r="O31" s="529">
        <f>HLOOKUP(A31,'4.데일리단가원재료'!$B$3:$CP$38,36)</f>
        <v>0</v>
      </c>
      <c r="P31" s="133">
        <f>HLOOKUP(A31,'4.데일리단가원재료2'!$B$3:$CP$38,36)</f>
        <v>0</v>
      </c>
      <c r="Q31" s="128"/>
      <c r="R31" s="132">
        <f>IFERROR(VLOOKUP(A31,※계좌이체!$A$6:$B$191,2,0),0)</f>
        <v>0</v>
      </c>
      <c r="S31" s="133">
        <f>'5.법카,시재지출'!N180</f>
        <v>0</v>
      </c>
      <c r="T31" s="128"/>
    </row>
    <row r="32" spans="1:20" ht="24.95" customHeight="1" x14ac:dyDescent="0.25">
      <c r="A32" s="26">
        <v>26</v>
      </c>
      <c r="B32" s="528">
        <f t="shared" si="0"/>
        <v>1149300</v>
      </c>
      <c r="C32" s="524"/>
      <c r="D32" s="525">
        <v>1149300</v>
      </c>
      <c r="E32" s="525"/>
      <c r="F32" s="525"/>
      <c r="G32" s="525"/>
      <c r="H32" s="525"/>
      <c r="I32" s="539"/>
      <c r="J32" s="541"/>
      <c r="K32" s="525"/>
      <c r="L32" s="525"/>
      <c r="M32" s="539"/>
      <c r="O32" s="529">
        <f>HLOOKUP(A32,'4.데일리단가원재료'!$B$3:$CP$38,36)</f>
        <v>0</v>
      </c>
      <c r="P32" s="133">
        <f>HLOOKUP(A32,'4.데일리단가원재료2'!$B$3:$CP$38,36)</f>
        <v>0</v>
      </c>
      <c r="Q32" s="128"/>
      <c r="R32" s="132">
        <f>IFERROR(VLOOKUP(A32,※계좌이체!$A$6:$B$191,2,0),0)</f>
        <v>0</v>
      </c>
      <c r="S32" s="133">
        <f>'5.법카,시재지출'!N187</f>
        <v>0</v>
      </c>
      <c r="T32" s="128"/>
    </row>
    <row r="33" spans="1:20" ht="24.95" customHeight="1" x14ac:dyDescent="0.25">
      <c r="A33" s="26">
        <v>27</v>
      </c>
      <c r="B33" s="528">
        <f t="shared" si="0"/>
        <v>0</v>
      </c>
      <c r="C33" s="524"/>
      <c r="D33" s="525"/>
      <c r="E33" s="525"/>
      <c r="F33" s="525"/>
      <c r="G33" s="525"/>
      <c r="H33" s="525"/>
      <c r="I33" s="539"/>
      <c r="J33" s="541"/>
      <c r="K33" s="525"/>
      <c r="L33" s="525"/>
      <c r="M33" s="539"/>
      <c r="O33" s="529">
        <f>HLOOKUP(A33,'4.데일리단가원재료'!$B$3:$CP$38,36)</f>
        <v>0</v>
      </c>
      <c r="P33" s="133">
        <f>HLOOKUP(A33,'4.데일리단가원재료2'!$B$3:$CP$38,36)</f>
        <v>0</v>
      </c>
      <c r="Q33" s="128"/>
      <c r="R33" s="132">
        <f>IFERROR(VLOOKUP(A33,※계좌이체!$A$6:$B$191,2,0),0)</f>
        <v>0</v>
      </c>
      <c r="S33" s="133">
        <f>'5.법카,시재지출'!N194</f>
        <v>0</v>
      </c>
      <c r="T33" s="128"/>
    </row>
    <row r="34" spans="1:20" ht="24.95" customHeight="1" x14ac:dyDescent="0.25">
      <c r="A34" s="26">
        <v>28</v>
      </c>
      <c r="B34" s="528">
        <f t="shared" si="0"/>
        <v>0</v>
      </c>
      <c r="C34" s="524"/>
      <c r="D34" s="525"/>
      <c r="E34" s="525"/>
      <c r="F34" s="525"/>
      <c r="G34" s="525"/>
      <c r="H34" s="525"/>
      <c r="I34" s="539"/>
      <c r="J34" s="541"/>
      <c r="K34" s="525"/>
      <c r="L34" s="525"/>
      <c r="M34" s="539"/>
      <c r="O34" s="529">
        <f>HLOOKUP(A34,'4.데일리단가원재료'!$B$3:$CP$38,36)</f>
        <v>0</v>
      </c>
      <c r="P34" s="133">
        <f>HLOOKUP(A34,'4.데일리단가원재료2'!$B$3:$CP$38,36)</f>
        <v>0</v>
      </c>
      <c r="Q34" s="128"/>
      <c r="R34" s="132">
        <f>IFERROR(VLOOKUP(A34,※계좌이체!$A$6:$B$191,2,0),0)</f>
        <v>0</v>
      </c>
      <c r="S34" s="133">
        <f>'5.법카,시재지출'!N201</f>
        <v>0</v>
      </c>
      <c r="T34" s="128"/>
    </row>
    <row r="35" spans="1:20" ht="24.95" customHeight="1" x14ac:dyDescent="0.25">
      <c r="A35" s="26">
        <v>29</v>
      </c>
      <c r="B35" s="528">
        <f t="shared" si="0"/>
        <v>0</v>
      </c>
      <c r="C35" s="524"/>
      <c r="D35" s="525"/>
      <c r="E35" s="525"/>
      <c r="F35" s="525"/>
      <c r="G35" s="525"/>
      <c r="H35" s="525"/>
      <c r="I35" s="539"/>
      <c r="J35" s="541"/>
      <c r="K35" s="525"/>
      <c r="L35" s="525"/>
      <c r="M35" s="539"/>
      <c r="O35" s="529">
        <f>HLOOKUP(A35,'4.데일리단가원재료'!$B$3:$CP$38,36)</f>
        <v>0</v>
      </c>
      <c r="P35" s="133">
        <f>HLOOKUP(A35,'4.데일리단가원재료2'!$B$3:$CP$38,36)</f>
        <v>0</v>
      </c>
      <c r="Q35" s="128"/>
      <c r="R35" s="132">
        <f>IFERROR(VLOOKUP(A35,※계좌이체!$A$6:$B$191,2,0),0)</f>
        <v>0</v>
      </c>
      <c r="S35" s="133">
        <f>'5.법카,시재지출'!N208</f>
        <v>0</v>
      </c>
      <c r="T35" s="128"/>
    </row>
    <row r="36" spans="1:20" ht="24.95" customHeight="1" x14ac:dyDescent="0.25">
      <c r="A36" s="26">
        <v>30</v>
      </c>
      <c r="B36" s="528">
        <f t="shared" si="0"/>
        <v>0</v>
      </c>
      <c r="C36" s="524"/>
      <c r="D36" s="525"/>
      <c r="E36" s="525"/>
      <c r="F36" s="525"/>
      <c r="G36" s="525"/>
      <c r="H36" s="525"/>
      <c r="I36" s="539"/>
      <c r="J36" s="541"/>
      <c r="K36" s="525"/>
      <c r="L36" s="525"/>
      <c r="M36" s="539"/>
      <c r="O36" s="529">
        <f>HLOOKUP(A36,'4.데일리단가원재료'!$B$3:$CP$38,36)</f>
        <v>0</v>
      </c>
      <c r="P36" s="133">
        <f>HLOOKUP(A36,'4.데일리단가원재료2'!$B$3:$CP$38,36)</f>
        <v>0</v>
      </c>
      <c r="Q36" s="128"/>
      <c r="R36" s="132">
        <f>IFERROR(VLOOKUP(A36,※계좌이체!$A$6:$B$191,2,0),0)</f>
        <v>0</v>
      </c>
      <c r="S36" s="133">
        <f>'5.법카,시재지출'!N215</f>
        <v>0</v>
      </c>
      <c r="T36" s="128"/>
    </row>
    <row r="37" spans="1:20" ht="24.95" customHeight="1" thickBot="1" x14ac:dyDescent="0.3">
      <c r="A37" s="27">
        <v>31</v>
      </c>
      <c r="B37" s="528">
        <f t="shared" si="0"/>
        <v>0</v>
      </c>
      <c r="C37" s="526"/>
      <c r="D37" s="527"/>
      <c r="E37" s="527"/>
      <c r="F37" s="527"/>
      <c r="G37" s="527"/>
      <c r="H37" s="527"/>
      <c r="I37" s="540"/>
      <c r="J37" s="542"/>
      <c r="K37" s="527"/>
      <c r="L37" s="527"/>
      <c r="M37" s="540"/>
      <c r="O37" s="529">
        <f>HLOOKUP(A37,'4.데일리단가원재료'!$B$3:$CP$38,36)</f>
        <v>0</v>
      </c>
      <c r="P37" s="133">
        <f>HLOOKUP(A37,'4.데일리단가원재료2'!$B$3:$CP$38,36)</f>
        <v>0</v>
      </c>
      <c r="Q37" s="128"/>
      <c r="R37" s="132">
        <f>IFERROR(VLOOKUP(A37,※계좌이체!$A$6:$B$191,2,0),0)</f>
        <v>0</v>
      </c>
      <c r="S37" s="133">
        <f>'5.법카,시재지출'!N222</f>
        <v>0</v>
      </c>
      <c r="T37" s="128"/>
    </row>
    <row r="38" spans="1:20" s="3" customFormat="1" ht="24.95" customHeight="1" thickBot="1" x14ac:dyDescent="0.3">
      <c r="A38" s="28" t="s">
        <v>27</v>
      </c>
      <c r="B38" s="5">
        <f t="shared" ref="B38:P38" si="1">SUM(B7:B37)</f>
        <v>29187244</v>
      </c>
      <c r="C38" s="564">
        <f>SUM(C7:C37)</f>
        <v>5889634</v>
      </c>
      <c r="D38" s="19">
        <f>SUM(D7:D37)</f>
        <v>14969150</v>
      </c>
      <c r="E38" s="19">
        <f t="shared" si="1"/>
        <v>717200</v>
      </c>
      <c r="F38" s="19">
        <f t="shared" si="1"/>
        <v>659500</v>
      </c>
      <c r="G38" s="19">
        <f t="shared" si="1"/>
        <v>645000</v>
      </c>
      <c r="H38" s="19">
        <f t="shared" si="1"/>
        <v>0</v>
      </c>
      <c r="I38" s="111">
        <f t="shared" si="1"/>
        <v>0</v>
      </c>
      <c r="J38" s="480">
        <f t="shared" si="1"/>
        <v>4750210</v>
      </c>
      <c r="K38" s="19">
        <f>SUM(K7:K37)</f>
        <v>0</v>
      </c>
      <c r="L38" s="19">
        <f>SUM(L7:L37)</f>
        <v>0</v>
      </c>
      <c r="M38" s="111">
        <f>SUM(M7:M37)</f>
        <v>355000</v>
      </c>
      <c r="O38" s="113">
        <f>SUM(O7:O37)</f>
        <v>0</v>
      </c>
      <c r="P38" s="109">
        <f t="shared" si="1"/>
        <v>0</v>
      </c>
      <c r="Q38" s="129"/>
      <c r="R38" s="131">
        <f>SUM(R7:R37)</f>
        <v>858950</v>
      </c>
      <c r="S38" s="109">
        <f>SUM(S7:S37)</f>
        <v>342600</v>
      </c>
      <c r="T38" s="129"/>
    </row>
    <row r="41" spans="1:20" ht="20.100000000000001" customHeight="1" x14ac:dyDescent="0.25"/>
    <row r="42" spans="1:20" ht="20.100000000000001" customHeight="1" x14ac:dyDescent="0.25"/>
    <row r="43" spans="1:20" ht="20.100000000000001" customHeight="1" x14ac:dyDescent="0.25"/>
  </sheetData>
  <protectedRanges>
    <protectedRange sqref="C9:M37" name="입력"/>
    <protectedRange sqref="L3:M4 C4:K4 C3:J3" name="범위2"/>
    <protectedRange sqref="L5:M5 F5:J5" name="범위3_1"/>
    <protectedRange sqref="C7:M8" name="입력_1"/>
    <protectedRange sqref="K5" name="범위3_2_1"/>
  </protectedRanges>
  <mergeCells count="8">
    <mergeCell ref="R3:S3"/>
    <mergeCell ref="D1:E1"/>
    <mergeCell ref="A3:A6"/>
    <mergeCell ref="B3:B6"/>
    <mergeCell ref="O1:P1"/>
    <mergeCell ref="C3:I3"/>
    <mergeCell ref="J3:M3"/>
    <mergeCell ref="O3:P3"/>
  </mergeCells>
  <phoneticPr fontId="46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B78D-DA41-4156-9BEB-5B237D33BE39}">
  <sheetPr codeName="Sheet13">
    <tabColor rgb="FFFF0000"/>
  </sheetPr>
  <dimension ref="A1:CP38"/>
  <sheetViews>
    <sheetView zoomScaleNormal="100" workbookViewId="0">
      <pane xSplit="1" ySplit="4" topLeftCell="B5" activePane="bottomRight" state="frozen"/>
      <selection activeCell="R13" sqref="R13"/>
      <selection pane="topRight" activeCell="R13" sqref="R13"/>
      <selection pane="bottomLeft" activeCell="R13" sqref="R13"/>
      <selection pane="bottomRight" activeCell="Q5" sqref="Q5:R9"/>
    </sheetView>
  </sheetViews>
  <sheetFormatPr defaultColWidth="9.140625" defaultRowHeight="13.5" x14ac:dyDescent="0.25"/>
  <cols>
    <col min="1" max="1" width="16.5703125" style="370" customWidth="1"/>
    <col min="2" max="2" width="4.7109375" style="369" customWidth="1"/>
    <col min="3" max="3" width="7.7109375" style="369" customWidth="1"/>
    <col min="4" max="4" width="12.7109375" style="370" customWidth="1"/>
    <col min="5" max="5" width="4.7109375" style="369" customWidth="1"/>
    <col min="6" max="6" width="7.7109375" style="369" customWidth="1"/>
    <col min="7" max="7" width="8.7109375" style="370" customWidth="1"/>
    <col min="8" max="8" width="4.7109375" style="369" customWidth="1"/>
    <col min="9" max="9" width="7.7109375" style="369" customWidth="1"/>
    <col min="10" max="10" width="8.7109375" style="370" customWidth="1"/>
    <col min="11" max="11" width="4.7109375" style="369" customWidth="1"/>
    <col min="12" max="12" width="7.7109375" style="369" customWidth="1"/>
    <col min="13" max="13" width="11.140625" style="370" bestFit="1" customWidth="1"/>
    <col min="14" max="14" width="4.7109375" style="369" customWidth="1"/>
    <col min="15" max="15" width="7.7109375" style="369" customWidth="1"/>
    <col min="16" max="16" width="8.7109375" style="370" customWidth="1"/>
    <col min="17" max="17" width="4.7109375" style="369" customWidth="1"/>
    <col min="18" max="18" width="7.7109375" style="369" customWidth="1"/>
    <col min="19" max="19" width="8.7109375" style="370" customWidth="1"/>
    <col min="20" max="20" width="4.7109375" style="369" customWidth="1"/>
    <col min="21" max="21" width="7.7109375" style="369" customWidth="1"/>
    <col min="22" max="22" width="8.7109375" style="370" customWidth="1"/>
    <col min="23" max="23" width="4.7109375" style="369" customWidth="1"/>
    <col min="24" max="24" width="7.7109375" style="369" customWidth="1"/>
    <col min="25" max="25" width="10.7109375" style="370" customWidth="1"/>
    <col min="26" max="26" width="4.7109375" style="369" customWidth="1"/>
    <col min="27" max="27" width="7.7109375" style="369" customWidth="1"/>
    <col min="28" max="28" width="8.7109375" style="370" customWidth="1"/>
    <col min="29" max="29" width="4.7109375" style="369" customWidth="1"/>
    <col min="30" max="30" width="7.7109375" style="369" customWidth="1"/>
    <col min="31" max="31" width="8.7109375" style="370" customWidth="1"/>
    <col min="32" max="32" width="4.7109375" style="369" customWidth="1"/>
    <col min="33" max="33" width="7.7109375" style="369" customWidth="1"/>
    <col min="34" max="34" width="8.7109375" style="370" customWidth="1"/>
    <col min="35" max="35" width="4.7109375" style="369" customWidth="1"/>
    <col min="36" max="36" width="7.7109375" style="369" customWidth="1"/>
    <col min="37" max="37" width="8.7109375" style="370" customWidth="1"/>
    <col min="38" max="38" width="4.7109375" style="369" customWidth="1"/>
    <col min="39" max="39" width="7.7109375" style="369" customWidth="1"/>
    <col min="40" max="40" width="8.7109375" style="370" customWidth="1"/>
    <col min="41" max="41" width="4.7109375" style="369" customWidth="1"/>
    <col min="42" max="42" width="7.7109375" style="369" customWidth="1"/>
    <col min="43" max="43" width="8.7109375" style="370" customWidth="1"/>
    <col min="44" max="44" width="4.7109375" style="369" customWidth="1"/>
    <col min="45" max="45" width="7.7109375" style="369" customWidth="1"/>
    <col min="46" max="46" width="8.7109375" style="370" customWidth="1"/>
    <col min="47" max="47" width="4.7109375" style="369" customWidth="1"/>
    <col min="48" max="48" width="7.7109375" style="369" customWidth="1"/>
    <col min="49" max="49" width="8.7109375" style="370" customWidth="1"/>
    <col min="50" max="50" width="4.7109375" style="369" customWidth="1"/>
    <col min="51" max="51" width="7.7109375" style="369" customWidth="1"/>
    <col min="52" max="52" width="8.7109375" style="370" customWidth="1"/>
    <col min="53" max="53" width="4.7109375" style="369" customWidth="1"/>
    <col min="54" max="54" width="7.7109375" style="369" customWidth="1"/>
    <col min="55" max="55" width="8.7109375" style="370" customWidth="1"/>
    <col min="56" max="56" width="4.7109375" style="369" customWidth="1"/>
    <col min="57" max="57" width="7.7109375" style="369" customWidth="1"/>
    <col min="58" max="58" width="8.7109375" style="370" customWidth="1"/>
    <col min="59" max="59" width="4.7109375" style="369" customWidth="1"/>
    <col min="60" max="60" width="7.7109375" style="369" customWidth="1"/>
    <col min="61" max="61" width="8.7109375" style="370" customWidth="1"/>
    <col min="62" max="62" width="4.7109375" style="369" customWidth="1"/>
    <col min="63" max="63" width="7.7109375" style="369" customWidth="1"/>
    <col min="64" max="64" width="8.7109375" style="370" customWidth="1"/>
    <col min="65" max="65" width="4.7109375" style="369" customWidth="1"/>
    <col min="66" max="66" width="7.7109375" style="369" customWidth="1"/>
    <col min="67" max="67" width="8.7109375" style="370" customWidth="1"/>
    <col min="68" max="68" width="4.7109375" style="369" customWidth="1"/>
    <col min="69" max="69" width="7.7109375" style="369" customWidth="1"/>
    <col min="70" max="70" width="8.7109375" style="370" customWidth="1"/>
    <col min="71" max="71" width="4.7109375" style="369" customWidth="1"/>
    <col min="72" max="72" width="7.7109375" style="369" customWidth="1"/>
    <col min="73" max="73" width="8.7109375" style="370" customWidth="1"/>
    <col min="74" max="74" width="4.7109375" style="369" customWidth="1"/>
    <col min="75" max="75" width="7.7109375" style="369" customWidth="1"/>
    <col min="76" max="76" width="8.7109375" style="370" customWidth="1"/>
    <col min="77" max="77" width="4.7109375" style="369" customWidth="1"/>
    <col min="78" max="78" width="7.7109375" style="369" customWidth="1"/>
    <col min="79" max="79" width="8.7109375" style="370" customWidth="1"/>
    <col min="80" max="80" width="4.7109375" style="369" customWidth="1"/>
    <col min="81" max="81" width="7.7109375" style="369" customWidth="1"/>
    <col min="82" max="82" width="8.7109375" style="370" customWidth="1"/>
    <col min="83" max="83" width="4.7109375" style="369" customWidth="1"/>
    <col min="84" max="84" width="7.7109375" style="369" customWidth="1"/>
    <col min="85" max="85" width="8.7109375" style="370" customWidth="1"/>
    <col min="86" max="86" width="4.7109375" style="369" customWidth="1"/>
    <col min="87" max="87" width="7.7109375" style="369" customWidth="1"/>
    <col min="88" max="88" width="8.7109375" style="370" customWidth="1"/>
    <col min="89" max="89" width="4.7109375" style="369" customWidth="1"/>
    <col min="90" max="90" width="7.7109375" style="369" customWidth="1"/>
    <col min="91" max="91" width="8.7109375" style="370" customWidth="1"/>
    <col min="92" max="92" width="4.7109375" style="369" customWidth="1"/>
    <col min="93" max="93" width="7.7109375" style="369" customWidth="1"/>
    <col min="94" max="94" width="8.7109375" style="370" customWidth="1"/>
    <col min="95" max="16384" width="9.140625" style="370"/>
  </cols>
  <sheetData>
    <row r="1" spans="1:94" ht="27" thickBot="1" x14ac:dyDescent="0.3">
      <c r="A1" s="368" t="s">
        <v>180</v>
      </c>
      <c r="F1" s="964" t="s">
        <v>181</v>
      </c>
      <c r="G1" s="965"/>
      <c r="H1" s="966"/>
      <c r="I1" s="967"/>
      <c r="J1" s="964" t="s">
        <v>149</v>
      </c>
      <c r="K1" s="965"/>
      <c r="L1" s="968"/>
      <c r="M1" s="969"/>
      <c r="R1" s="371"/>
      <c r="S1" s="369"/>
      <c r="V1" s="369"/>
    </row>
    <row r="2" spans="1:94" ht="7.5" customHeight="1" thickBot="1" x14ac:dyDescent="0.3">
      <c r="A2" s="368"/>
    </row>
    <row r="3" spans="1:94" s="372" customFormat="1" x14ac:dyDescent="0.25">
      <c r="A3" s="962" t="s">
        <v>175</v>
      </c>
      <c r="B3" s="959">
        <v>1</v>
      </c>
      <c r="C3" s="960"/>
      <c r="D3" s="961"/>
      <c r="E3" s="959">
        <v>2</v>
      </c>
      <c r="F3" s="960"/>
      <c r="G3" s="961"/>
      <c r="H3" s="959">
        <v>3</v>
      </c>
      <c r="I3" s="960"/>
      <c r="J3" s="961"/>
      <c r="K3" s="959">
        <v>4</v>
      </c>
      <c r="L3" s="960"/>
      <c r="M3" s="961"/>
      <c r="N3" s="959">
        <v>5</v>
      </c>
      <c r="O3" s="960"/>
      <c r="P3" s="961"/>
      <c r="Q3" s="959">
        <v>6</v>
      </c>
      <c r="R3" s="960"/>
      <c r="S3" s="961"/>
      <c r="T3" s="959">
        <v>7</v>
      </c>
      <c r="U3" s="960"/>
      <c r="V3" s="961"/>
      <c r="W3" s="959">
        <v>8</v>
      </c>
      <c r="X3" s="960"/>
      <c r="Y3" s="961"/>
      <c r="Z3" s="959">
        <v>9</v>
      </c>
      <c r="AA3" s="960"/>
      <c r="AB3" s="961"/>
      <c r="AC3" s="959">
        <v>10</v>
      </c>
      <c r="AD3" s="960"/>
      <c r="AE3" s="961"/>
      <c r="AF3" s="959">
        <v>11</v>
      </c>
      <c r="AG3" s="960"/>
      <c r="AH3" s="961"/>
      <c r="AI3" s="959">
        <v>12</v>
      </c>
      <c r="AJ3" s="960"/>
      <c r="AK3" s="961"/>
      <c r="AL3" s="959">
        <v>13</v>
      </c>
      <c r="AM3" s="960"/>
      <c r="AN3" s="961"/>
      <c r="AO3" s="959">
        <v>14</v>
      </c>
      <c r="AP3" s="960"/>
      <c r="AQ3" s="961"/>
      <c r="AR3" s="959">
        <v>15</v>
      </c>
      <c r="AS3" s="960"/>
      <c r="AT3" s="961"/>
      <c r="AU3" s="959">
        <v>16</v>
      </c>
      <c r="AV3" s="960"/>
      <c r="AW3" s="961"/>
      <c r="AX3" s="959">
        <v>17</v>
      </c>
      <c r="AY3" s="960"/>
      <c r="AZ3" s="961"/>
      <c r="BA3" s="959">
        <v>18</v>
      </c>
      <c r="BB3" s="960"/>
      <c r="BC3" s="961"/>
      <c r="BD3" s="959">
        <v>19</v>
      </c>
      <c r="BE3" s="960"/>
      <c r="BF3" s="961"/>
      <c r="BG3" s="959">
        <v>20</v>
      </c>
      <c r="BH3" s="960"/>
      <c r="BI3" s="961"/>
      <c r="BJ3" s="959">
        <v>21</v>
      </c>
      <c r="BK3" s="960"/>
      <c r="BL3" s="961"/>
      <c r="BM3" s="959">
        <v>22</v>
      </c>
      <c r="BN3" s="960"/>
      <c r="BO3" s="961"/>
      <c r="BP3" s="959">
        <v>23</v>
      </c>
      <c r="BQ3" s="960"/>
      <c r="BR3" s="961"/>
      <c r="BS3" s="959">
        <v>24</v>
      </c>
      <c r="BT3" s="960"/>
      <c r="BU3" s="961"/>
      <c r="BV3" s="959">
        <v>25</v>
      </c>
      <c r="BW3" s="960"/>
      <c r="BX3" s="961"/>
      <c r="BY3" s="959">
        <v>26</v>
      </c>
      <c r="BZ3" s="960"/>
      <c r="CA3" s="961"/>
      <c r="CB3" s="959">
        <v>27</v>
      </c>
      <c r="CC3" s="960"/>
      <c r="CD3" s="961"/>
      <c r="CE3" s="959">
        <v>28</v>
      </c>
      <c r="CF3" s="960"/>
      <c r="CG3" s="961"/>
      <c r="CH3" s="959">
        <v>29</v>
      </c>
      <c r="CI3" s="960"/>
      <c r="CJ3" s="961"/>
      <c r="CK3" s="959">
        <v>30</v>
      </c>
      <c r="CL3" s="960"/>
      <c r="CM3" s="961"/>
      <c r="CN3" s="959">
        <v>31</v>
      </c>
      <c r="CO3" s="960"/>
      <c r="CP3" s="961"/>
    </row>
    <row r="4" spans="1:94" s="372" customFormat="1" x14ac:dyDescent="0.25">
      <c r="A4" s="963"/>
      <c r="B4" s="373" t="s">
        <v>176</v>
      </c>
      <c r="C4" s="374" t="s">
        <v>177</v>
      </c>
      <c r="D4" s="375" t="s">
        <v>178</v>
      </c>
      <c r="E4" s="376" t="s">
        <v>176</v>
      </c>
      <c r="F4" s="374" t="s">
        <v>177</v>
      </c>
      <c r="G4" s="377" t="s">
        <v>178</v>
      </c>
      <c r="H4" s="373" t="s">
        <v>176</v>
      </c>
      <c r="I4" s="374" t="s">
        <v>177</v>
      </c>
      <c r="J4" s="375" t="s">
        <v>178</v>
      </c>
      <c r="K4" s="376" t="s">
        <v>176</v>
      </c>
      <c r="L4" s="374" t="s">
        <v>177</v>
      </c>
      <c r="M4" s="377" t="s">
        <v>178</v>
      </c>
      <c r="N4" s="373" t="s">
        <v>176</v>
      </c>
      <c r="O4" s="374" t="s">
        <v>177</v>
      </c>
      <c r="P4" s="375" t="s">
        <v>178</v>
      </c>
      <c r="Q4" s="376" t="s">
        <v>176</v>
      </c>
      <c r="R4" s="374" t="s">
        <v>177</v>
      </c>
      <c r="S4" s="377" t="s">
        <v>178</v>
      </c>
      <c r="T4" s="373" t="s">
        <v>176</v>
      </c>
      <c r="U4" s="374" t="s">
        <v>177</v>
      </c>
      <c r="V4" s="375" t="s">
        <v>178</v>
      </c>
      <c r="W4" s="376" t="s">
        <v>176</v>
      </c>
      <c r="X4" s="374" t="s">
        <v>177</v>
      </c>
      <c r="Y4" s="377" t="s">
        <v>178</v>
      </c>
      <c r="Z4" s="373" t="s">
        <v>176</v>
      </c>
      <c r="AA4" s="374" t="s">
        <v>177</v>
      </c>
      <c r="AB4" s="375" t="s">
        <v>178</v>
      </c>
      <c r="AC4" s="376" t="s">
        <v>176</v>
      </c>
      <c r="AD4" s="374" t="s">
        <v>177</v>
      </c>
      <c r="AE4" s="377" t="s">
        <v>178</v>
      </c>
      <c r="AF4" s="373" t="s">
        <v>176</v>
      </c>
      <c r="AG4" s="374" t="s">
        <v>177</v>
      </c>
      <c r="AH4" s="375" t="s">
        <v>178</v>
      </c>
      <c r="AI4" s="376" t="s">
        <v>176</v>
      </c>
      <c r="AJ4" s="374" t="s">
        <v>177</v>
      </c>
      <c r="AK4" s="377" t="s">
        <v>178</v>
      </c>
      <c r="AL4" s="373" t="s">
        <v>176</v>
      </c>
      <c r="AM4" s="374" t="s">
        <v>177</v>
      </c>
      <c r="AN4" s="375" t="s">
        <v>178</v>
      </c>
      <c r="AO4" s="376" t="s">
        <v>176</v>
      </c>
      <c r="AP4" s="374" t="s">
        <v>177</v>
      </c>
      <c r="AQ4" s="377" t="s">
        <v>178</v>
      </c>
      <c r="AR4" s="373" t="s">
        <v>176</v>
      </c>
      <c r="AS4" s="374" t="s">
        <v>177</v>
      </c>
      <c r="AT4" s="375" t="s">
        <v>178</v>
      </c>
      <c r="AU4" s="376" t="s">
        <v>176</v>
      </c>
      <c r="AV4" s="374" t="s">
        <v>177</v>
      </c>
      <c r="AW4" s="377" t="s">
        <v>178</v>
      </c>
      <c r="AX4" s="373" t="s">
        <v>176</v>
      </c>
      <c r="AY4" s="374" t="s">
        <v>177</v>
      </c>
      <c r="AZ4" s="375" t="s">
        <v>178</v>
      </c>
      <c r="BA4" s="373" t="s">
        <v>176</v>
      </c>
      <c r="BB4" s="374" t="s">
        <v>177</v>
      </c>
      <c r="BC4" s="375" t="s">
        <v>178</v>
      </c>
      <c r="BD4" s="376" t="s">
        <v>176</v>
      </c>
      <c r="BE4" s="374" t="s">
        <v>177</v>
      </c>
      <c r="BF4" s="377" t="s">
        <v>178</v>
      </c>
      <c r="BG4" s="373" t="s">
        <v>176</v>
      </c>
      <c r="BH4" s="374" t="s">
        <v>177</v>
      </c>
      <c r="BI4" s="375" t="s">
        <v>178</v>
      </c>
      <c r="BJ4" s="373" t="s">
        <v>176</v>
      </c>
      <c r="BK4" s="374" t="s">
        <v>177</v>
      </c>
      <c r="BL4" s="375" t="s">
        <v>178</v>
      </c>
      <c r="BM4" s="376" t="s">
        <v>176</v>
      </c>
      <c r="BN4" s="374" t="s">
        <v>177</v>
      </c>
      <c r="BO4" s="377" t="s">
        <v>178</v>
      </c>
      <c r="BP4" s="373" t="s">
        <v>176</v>
      </c>
      <c r="BQ4" s="374" t="s">
        <v>177</v>
      </c>
      <c r="BR4" s="375" t="s">
        <v>178</v>
      </c>
      <c r="BS4" s="373" t="s">
        <v>176</v>
      </c>
      <c r="BT4" s="374" t="s">
        <v>177</v>
      </c>
      <c r="BU4" s="375" t="s">
        <v>178</v>
      </c>
      <c r="BV4" s="376" t="s">
        <v>176</v>
      </c>
      <c r="BW4" s="374" t="s">
        <v>177</v>
      </c>
      <c r="BX4" s="377" t="s">
        <v>178</v>
      </c>
      <c r="BY4" s="373" t="s">
        <v>176</v>
      </c>
      <c r="BZ4" s="374" t="s">
        <v>177</v>
      </c>
      <c r="CA4" s="375" t="s">
        <v>178</v>
      </c>
      <c r="CB4" s="373" t="s">
        <v>176</v>
      </c>
      <c r="CC4" s="374" t="s">
        <v>177</v>
      </c>
      <c r="CD4" s="375" t="s">
        <v>178</v>
      </c>
      <c r="CE4" s="376" t="s">
        <v>176</v>
      </c>
      <c r="CF4" s="374" t="s">
        <v>177</v>
      </c>
      <c r="CG4" s="377" t="s">
        <v>178</v>
      </c>
      <c r="CH4" s="373" t="s">
        <v>176</v>
      </c>
      <c r="CI4" s="374" t="s">
        <v>177</v>
      </c>
      <c r="CJ4" s="375" t="s">
        <v>178</v>
      </c>
      <c r="CK4" s="373" t="s">
        <v>176</v>
      </c>
      <c r="CL4" s="374" t="s">
        <v>177</v>
      </c>
      <c r="CM4" s="375" t="s">
        <v>178</v>
      </c>
      <c r="CN4" s="373" t="s">
        <v>176</v>
      </c>
      <c r="CO4" s="374" t="s">
        <v>177</v>
      </c>
      <c r="CP4" s="375" t="s">
        <v>178</v>
      </c>
    </row>
    <row r="5" spans="1:94" ht="15.95" customHeight="1" x14ac:dyDescent="0.25">
      <c r="A5" s="378"/>
      <c r="B5" s="379"/>
      <c r="C5" s="380"/>
      <c r="D5" s="381">
        <f t="shared" ref="D5:D37" si="0">B5*C5</f>
        <v>0</v>
      </c>
      <c r="E5" s="379"/>
      <c r="F5" s="380"/>
      <c r="G5" s="381">
        <f t="shared" ref="G5:G37" si="1">E5*F5</f>
        <v>0</v>
      </c>
      <c r="H5" s="379"/>
      <c r="I5" s="380"/>
      <c r="J5" s="381">
        <f t="shared" ref="J5:J37" si="2">H5*I5</f>
        <v>0</v>
      </c>
      <c r="K5" s="379"/>
      <c r="L5" s="380"/>
      <c r="M5" s="381">
        <f t="shared" ref="M5:M37" si="3">K5*L5</f>
        <v>0</v>
      </c>
      <c r="N5" s="379"/>
      <c r="O5" s="380"/>
      <c r="P5" s="381">
        <f t="shared" ref="P5:P37" si="4">N5*O5</f>
        <v>0</v>
      </c>
      <c r="Q5" s="379"/>
      <c r="R5" s="380"/>
      <c r="S5" s="381">
        <f t="shared" ref="S5:S37" si="5">Q5*R5</f>
        <v>0</v>
      </c>
      <c r="T5" s="379"/>
      <c r="U5" s="380"/>
      <c r="V5" s="381">
        <f t="shared" ref="V5:V37" si="6">T5*U5</f>
        <v>0</v>
      </c>
      <c r="W5" s="379"/>
      <c r="X5" s="380"/>
      <c r="Y5" s="381">
        <f t="shared" ref="Y5:Y37" si="7">W5*X5</f>
        <v>0</v>
      </c>
      <c r="Z5" s="379"/>
      <c r="AA5" s="380"/>
      <c r="AB5" s="381">
        <f t="shared" ref="AB5:AB37" si="8">Z5*AA5</f>
        <v>0</v>
      </c>
      <c r="AC5" s="379"/>
      <c r="AD5" s="380"/>
      <c r="AE5" s="381">
        <f t="shared" ref="AE5:AE37" si="9">AC5*AD5</f>
        <v>0</v>
      </c>
      <c r="AF5" s="379"/>
      <c r="AG5" s="380"/>
      <c r="AH5" s="381">
        <f t="shared" ref="AH5:AH37" si="10">AF5*AG5</f>
        <v>0</v>
      </c>
      <c r="AI5" s="379"/>
      <c r="AJ5" s="380"/>
      <c r="AK5" s="381">
        <f t="shared" ref="AK5:AK37" si="11">AI5*AJ5</f>
        <v>0</v>
      </c>
      <c r="AL5" s="379"/>
      <c r="AM5" s="380"/>
      <c r="AN5" s="381">
        <f t="shared" ref="AN5:AN37" si="12">AL5*AM5</f>
        <v>0</v>
      </c>
      <c r="AO5" s="379"/>
      <c r="AP5" s="380"/>
      <c r="AQ5" s="381">
        <f t="shared" ref="AQ5:AQ37" si="13">AO5*AP5</f>
        <v>0</v>
      </c>
      <c r="AR5" s="379"/>
      <c r="AS5" s="380"/>
      <c r="AT5" s="381">
        <f t="shared" ref="AT5:AT37" si="14">AR5*AS5</f>
        <v>0</v>
      </c>
      <c r="AU5" s="379"/>
      <c r="AV5" s="380"/>
      <c r="AW5" s="381">
        <f t="shared" ref="AW5:AW37" si="15">AU5*AV5</f>
        <v>0</v>
      </c>
      <c r="AX5" s="379"/>
      <c r="AY5" s="380"/>
      <c r="AZ5" s="381">
        <f t="shared" ref="AZ5:AZ37" si="16">AX5*AY5</f>
        <v>0</v>
      </c>
      <c r="BA5" s="379"/>
      <c r="BB5" s="380"/>
      <c r="BC5" s="381">
        <f t="shared" ref="BC5:BC37" si="17">BA5*BB5</f>
        <v>0</v>
      </c>
      <c r="BD5" s="379"/>
      <c r="BE5" s="380"/>
      <c r="BF5" s="381">
        <f t="shared" ref="BF5:BF37" si="18">BD5*BE5</f>
        <v>0</v>
      </c>
      <c r="BG5" s="379"/>
      <c r="BH5" s="380"/>
      <c r="BI5" s="381">
        <f t="shared" ref="BI5:BI37" si="19">BG5*BH5</f>
        <v>0</v>
      </c>
      <c r="BJ5" s="379"/>
      <c r="BK5" s="380"/>
      <c r="BL5" s="381">
        <f t="shared" ref="BL5:BL37" si="20">BJ5*BK5</f>
        <v>0</v>
      </c>
      <c r="BM5" s="379"/>
      <c r="BN5" s="380"/>
      <c r="BO5" s="381">
        <f t="shared" ref="BO5:BO37" si="21">BM5*BN5</f>
        <v>0</v>
      </c>
      <c r="BP5" s="379"/>
      <c r="BQ5" s="380"/>
      <c r="BR5" s="381">
        <f t="shared" ref="BR5:BR37" si="22">BP5*BQ5</f>
        <v>0</v>
      </c>
      <c r="BS5" s="379"/>
      <c r="BT5" s="380"/>
      <c r="BU5" s="381">
        <f t="shared" ref="BU5:BU37" si="23">BS5*BT5</f>
        <v>0</v>
      </c>
      <c r="BV5" s="379"/>
      <c r="BW5" s="380"/>
      <c r="BX5" s="381">
        <f t="shared" ref="BX5:BX37" si="24">BV5*BW5</f>
        <v>0</v>
      </c>
      <c r="BY5" s="379"/>
      <c r="BZ5" s="380"/>
      <c r="CA5" s="381">
        <f t="shared" ref="CA5:CA37" si="25">BY5*BZ5</f>
        <v>0</v>
      </c>
      <c r="CB5" s="379"/>
      <c r="CC5" s="380"/>
      <c r="CD5" s="381">
        <f t="shared" ref="CD5:CD37" si="26">CB5*CC5</f>
        <v>0</v>
      </c>
      <c r="CE5" s="379"/>
      <c r="CF5" s="380"/>
      <c r="CG5" s="381">
        <f t="shared" ref="CG5:CG37" si="27">CE5*CF5</f>
        <v>0</v>
      </c>
      <c r="CH5" s="379"/>
      <c r="CI5" s="380"/>
      <c r="CJ5" s="381">
        <f t="shared" ref="CJ5:CJ37" si="28">CH5*CI5</f>
        <v>0</v>
      </c>
      <c r="CK5" s="379"/>
      <c r="CL5" s="380"/>
      <c r="CM5" s="381">
        <f t="shared" ref="CM5:CM37" si="29">CK5*CL5</f>
        <v>0</v>
      </c>
      <c r="CN5" s="379"/>
      <c r="CO5" s="380"/>
      <c r="CP5" s="381">
        <f t="shared" ref="CP5:CP37" si="30">CN5*CO5</f>
        <v>0</v>
      </c>
    </row>
    <row r="6" spans="1:94" ht="15.95" customHeight="1" x14ac:dyDescent="0.25">
      <c r="A6" s="382"/>
      <c r="B6" s="383"/>
      <c r="C6" s="384"/>
      <c r="D6" s="385">
        <f t="shared" si="0"/>
        <v>0</v>
      </c>
      <c r="E6" s="383"/>
      <c r="F6" s="384"/>
      <c r="G6" s="385">
        <f t="shared" si="1"/>
        <v>0</v>
      </c>
      <c r="H6" s="383"/>
      <c r="I6" s="384"/>
      <c r="J6" s="385">
        <f t="shared" si="2"/>
        <v>0</v>
      </c>
      <c r="K6" s="383"/>
      <c r="L6" s="384"/>
      <c r="M6" s="385">
        <f t="shared" si="3"/>
        <v>0</v>
      </c>
      <c r="N6" s="383"/>
      <c r="O6" s="384"/>
      <c r="P6" s="385">
        <f t="shared" si="4"/>
        <v>0</v>
      </c>
      <c r="Q6" s="383"/>
      <c r="R6" s="384"/>
      <c r="S6" s="385">
        <f t="shared" si="5"/>
        <v>0</v>
      </c>
      <c r="T6" s="383"/>
      <c r="U6" s="384"/>
      <c r="V6" s="385">
        <f t="shared" si="6"/>
        <v>0</v>
      </c>
      <c r="W6" s="383"/>
      <c r="X6" s="384"/>
      <c r="Y6" s="385">
        <f t="shared" si="7"/>
        <v>0</v>
      </c>
      <c r="Z6" s="383"/>
      <c r="AA6" s="384"/>
      <c r="AB6" s="385">
        <f t="shared" si="8"/>
        <v>0</v>
      </c>
      <c r="AC6" s="383"/>
      <c r="AD6" s="384"/>
      <c r="AE6" s="385">
        <f t="shared" si="9"/>
        <v>0</v>
      </c>
      <c r="AF6" s="383"/>
      <c r="AG6" s="384"/>
      <c r="AH6" s="385">
        <f t="shared" si="10"/>
        <v>0</v>
      </c>
      <c r="AI6" s="383"/>
      <c r="AJ6" s="384"/>
      <c r="AK6" s="385">
        <f t="shared" si="11"/>
        <v>0</v>
      </c>
      <c r="AL6" s="383"/>
      <c r="AM6" s="384"/>
      <c r="AN6" s="385">
        <f t="shared" si="12"/>
        <v>0</v>
      </c>
      <c r="AO6" s="383"/>
      <c r="AP6" s="384"/>
      <c r="AQ6" s="385">
        <f t="shared" si="13"/>
        <v>0</v>
      </c>
      <c r="AR6" s="383"/>
      <c r="AS6" s="384"/>
      <c r="AT6" s="385">
        <f t="shared" si="14"/>
        <v>0</v>
      </c>
      <c r="AU6" s="383"/>
      <c r="AV6" s="384"/>
      <c r="AW6" s="385">
        <f t="shared" si="15"/>
        <v>0</v>
      </c>
      <c r="AX6" s="383"/>
      <c r="AY6" s="384"/>
      <c r="AZ6" s="385">
        <f t="shared" si="16"/>
        <v>0</v>
      </c>
      <c r="BA6" s="383"/>
      <c r="BB6" s="384"/>
      <c r="BC6" s="385">
        <f t="shared" si="17"/>
        <v>0</v>
      </c>
      <c r="BD6" s="383"/>
      <c r="BE6" s="384"/>
      <c r="BF6" s="385">
        <f t="shared" si="18"/>
        <v>0</v>
      </c>
      <c r="BG6" s="383"/>
      <c r="BH6" s="384"/>
      <c r="BI6" s="385">
        <f t="shared" si="19"/>
        <v>0</v>
      </c>
      <c r="BJ6" s="383"/>
      <c r="BK6" s="384"/>
      <c r="BL6" s="385">
        <f t="shared" si="20"/>
        <v>0</v>
      </c>
      <c r="BM6" s="383"/>
      <c r="BN6" s="384"/>
      <c r="BO6" s="385">
        <f t="shared" si="21"/>
        <v>0</v>
      </c>
      <c r="BP6" s="383"/>
      <c r="BQ6" s="384"/>
      <c r="BR6" s="385">
        <f t="shared" si="22"/>
        <v>0</v>
      </c>
      <c r="BS6" s="383"/>
      <c r="BT6" s="384"/>
      <c r="BU6" s="385">
        <f t="shared" si="23"/>
        <v>0</v>
      </c>
      <c r="BV6" s="383"/>
      <c r="BW6" s="384"/>
      <c r="BX6" s="385">
        <f t="shared" si="24"/>
        <v>0</v>
      </c>
      <c r="BY6" s="383"/>
      <c r="BZ6" s="384"/>
      <c r="CA6" s="385">
        <f t="shared" si="25"/>
        <v>0</v>
      </c>
      <c r="CB6" s="383"/>
      <c r="CC6" s="384"/>
      <c r="CD6" s="385">
        <f t="shared" si="26"/>
        <v>0</v>
      </c>
      <c r="CE6" s="383"/>
      <c r="CF6" s="384"/>
      <c r="CG6" s="385">
        <f t="shared" si="27"/>
        <v>0</v>
      </c>
      <c r="CH6" s="383"/>
      <c r="CI6" s="384"/>
      <c r="CJ6" s="385">
        <f t="shared" si="28"/>
        <v>0</v>
      </c>
      <c r="CK6" s="383"/>
      <c r="CL6" s="384"/>
      <c r="CM6" s="385">
        <f t="shared" si="29"/>
        <v>0</v>
      </c>
      <c r="CN6" s="383"/>
      <c r="CO6" s="384"/>
      <c r="CP6" s="385">
        <f t="shared" si="30"/>
        <v>0</v>
      </c>
    </row>
    <row r="7" spans="1:94" ht="15.95" customHeight="1" x14ac:dyDescent="0.25">
      <c r="A7" s="382"/>
      <c r="B7" s="383"/>
      <c r="C7" s="384"/>
      <c r="D7" s="385">
        <f t="shared" si="0"/>
        <v>0</v>
      </c>
      <c r="E7" s="383"/>
      <c r="F7" s="384"/>
      <c r="G7" s="385">
        <f t="shared" si="1"/>
        <v>0</v>
      </c>
      <c r="H7" s="383"/>
      <c r="I7" s="384"/>
      <c r="J7" s="385">
        <f t="shared" si="2"/>
        <v>0</v>
      </c>
      <c r="K7" s="383"/>
      <c r="L7" s="384"/>
      <c r="M7" s="385">
        <f t="shared" si="3"/>
        <v>0</v>
      </c>
      <c r="N7" s="383"/>
      <c r="O7" s="384"/>
      <c r="P7" s="385">
        <f t="shared" si="4"/>
        <v>0</v>
      </c>
      <c r="Q7" s="383"/>
      <c r="R7" s="384"/>
      <c r="S7" s="385">
        <f t="shared" si="5"/>
        <v>0</v>
      </c>
      <c r="T7" s="383"/>
      <c r="U7" s="384"/>
      <c r="V7" s="385">
        <f t="shared" si="6"/>
        <v>0</v>
      </c>
      <c r="W7" s="383"/>
      <c r="X7" s="384"/>
      <c r="Y7" s="385">
        <f t="shared" si="7"/>
        <v>0</v>
      </c>
      <c r="Z7" s="383"/>
      <c r="AA7" s="384"/>
      <c r="AB7" s="385">
        <f t="shared" si="8"/>
        <v>0</v>
      </c>
      <c r="AC7" s="383"/>
      <c r="AD7" s="384"/>
      <c r="AE7" s="385">
        <f t="shared" si="9"/>
        <v>0</v>
      </c>
      <c r="AF7" s="383"/>
      <c r="AG7" s="384"/>
      <c r="AH7" s="385">
        <f t="shared" si="10"/>
        <v>0</v>
      </c>
      <c r="AI7" s="383"/>
      <c r="AJ7" s="384"/>
      <c r="AK7" s="385">
        <f t="shared" si="11"/>
        <v>0</v>
      </c>
      <c r="AL7" s="383"/>
      <c r="AM7" s="384"/>
      <c r="AN7" s="385">
        <f t="shared" si="12"/>
        <v>0</v>
      </c>
      <c r="AO7" s="383"/>
      <c r="AP7" s="384"/>
      <c r="AQ7" s="385">
        <f t="shared" si="13"/>
        <v>0</v>
      </c>
      <c r="AR7" s="383"/>
      <c r="AS7" s="384"/>
      <c r="AT7" s="385">
        <f t="shared" si="14"/>
        <v>0</v>
      </c>
      <c r="AU7" s="383"/>
      <c r="AV7" s="384"/>
      <c r="AW7" s="385">
        <f t="shared" si="15"/>
        <v>0</v>
      </c>
      <c r="AX7" s="383"/>
      <c r="AY7" s="384"/>
      <c r="AZ7" s="385">
        <f t="shared" si="16"/>
        <v>0</v>
      </c>
      <c r="BA7" s="383"/>
      <c r="BB7" s="384"/>
      <c r="BC7" s="385">
        <f t="shared" si="17"/>
        <v>0</v>
      </c>
      <c r="BD7" s="383"/>
      <c r="BE7" s="384"/>
      <c r="BF7" s="385">
        <f t="shared" si="18"/>
        <v>0</v>
      </c>
      <c r="BG7" s="383"/>
      <c r="BH7" s="384"/>
      <c r="BI7" s="385">
        <f t="shared" si="19"/>
        <v>0</v>
      </c>
      <c r="BJ7" s="383"/>
      <c r="BK7" s="384"/>
      <c r="BL7" s="385">
        <f t="shared" si="20"/>
        <v>0</v>
      </c>
      <c r="BM7" s="383"/>
      <c r="BN7" s="384"/>
      <c r="BO7" s="385">
        <f t="shared" si="21"/>
        <v>0</v>
      </c>
      <c r="BP7" s="383"/>
      <c r="BQ7" s="384"/>
      <c r="BR7" s="385">
        <f t="shared" si="22"/>
        <v>0</v>
      </c>
      <c r="BS7" s="383"/>
      <c r="BT7" s="384"/>
      <c r="BU7" s="385">
        <f t="shared" si="23"/>
        <v>0</v>
      </c>
      <c r="BV7" s="383"/>
      <c r="BW7" s="384"/>
      <c r="BX7" s="385">
        <f t="shared" si="24"/>
        <v>0</v>
      </c>
      <c r="BY7" s="383"/>
      <c r="BZ7" s="384"/>
      <c r="CA7" s="385">
        <f t="shared" si="25"/>
        <v>0</v>
      </c>
      <c r="CB7" s="383"/>
      <c r="CC7" s="384"/>
      <c r="CD7" s="385">
        <f t="shared" si="26"/>
        <v>0</v>
      </c>
      <c r="CE7" s="383"/>
      <c r="CF7" s="384"/>
      <c r="CG7" s="385">
        <f t="shared" si="27"/>
        <v>0</v>
      </c>
      <c r="CH7" s="383"/>
      <c r="CI7" s="384"/>
      <c r="CJ7" s="385">
        <f t="shared" si="28"/>
        <v>0</v>
      </c>
      <c r="CK7" s="383"/>
      <c r="CL7" s="384"/>
      <c r="CM7" s="385">
        <f t="shared" si="29"/>
        <v>0</v>
      </c>
      <c r="CN7" s="383"/>
      <c r="CO7" s="384"/>
      <c r="CP7" s="385">
        <f t="shared" si="30"/>
        <v>0</v>
      </c>
    </row>
    <row r="8" spans="1:94" ht="15.95" customHeight="1" x14ac:dyDescent="0.25">
      <c r="A8" s="382"/>
      <c r="B8" s="383"/>
      <c r="C8" s="384"/>
      <c r="D8" s="385">
        <f t="shared" si="0"/>
        <v>0</v>
      </c>
      <c r="E8" s="383"/>
      <c r="F8" s="384"/>
      <c r="G8" s="385">
        <f t="shared" si="1"/>
        <v>0</v>
      </c>
      <c r="H8" s="383"/>
      <c r="I8" s="384"/>
      <c r="J8" s="385">
        <f t="shared" si="2"/>
        <v>0</v>
      </c>
      <c r="K8" s="383"/>
      <c r="L8" s="384"/>
      <c r="M8" s="385">
        <f t="shared" si="3"/>
        <v>0</v>
      </c>
      <c r="N8" s="383"/>
      <c r="O8" s="384"/>
      <c r="P8" s="385">
        <f t="shared" si="4"/>
        <v>0</v>
      </c>
      <c r="Q8" s="383"/>
      <c r="R8" s="384"/>
      <c r="S8" s="385">
        <f t="shared" si="5"/>
        <v>0</v>
      </c>
      <c r="T8" s="383"/>
      <c r="U8" s="384"/>
      <c r="V8" s="385">
        <f t="shared" si="6"/>
        <v>0</v>
      </c>
      <c r="W8" s="383"/>
      <c r="X8" s="384"/>
      <c r="Y8" s="385">
        <f t="shared" si="7"/>
        <v>0</v>
      </c>
      <c r="Z8" s="383"/>
      <c r="AA8" s="384"/>
      <c r="AB8" s="385">
        <f t="shared" si="8"/>
        <v>0</v>
      </c>
      <c r="AC8" s="383"/>
      <c r="AD8" s="384"/>
      <c r="AE8" s="385">
        <f t="shared" si="9"/>
        <v>0</v>
      </c>
      <c r="AF8" s="383"/>
      <c r="AG8" s="384"/>
      <c r="AH8" s="385">
        <f t="shared" si="10"/>
        <v>0</v>
      </c>
      <c r="AI8" s="383"/>
      <c r="AJ8" s="384"/>
      <c r="AK8" s="385">
        <f t="shared" si="11"/>
        <v>0</v>
      </c>
      <c r="AL8" s="383"/>
      <c r="AM8" s="384"/>
      <c r="AN8" s="385">
        <f t="shared" si="12"/>
        <v>0</v>
      </c>
      <c r="AO8" s="383"/>
      <c r="AP8" s="384"/>
      <c r="AQ8" s="385">
        <f t="shared" si="13"/>
        <v>0</v>
      </c>
      <c r="AR8" s="383"/>
      <c r="AS8" s="384"/>
      <c r="AT8" s="385">
        <f t="shared" si="14"/>
        <v>0</v>
      </c>
      <c r="AU8" s="383"/>
      <c r="AV8" s="384"/>
      <c r="AW8" s="385">
        <f t="shared" si="15"/>
        <v>0</v>
      </c>
      <c r="AX8" s="383"/>
      <c r="AY8" s="384"/>
      <c r="AZ8" s="385">
        <f t="shared" si="16"/>
        <v>0</v>
      </c>
      <c r="BA8" s="383"/>
      <c r="BB8" s="384"/>
      <c r="BC8" s="385">
        <f t="shared" si="17"/>
        <v>0</v>
      </c>
      <c r="BD8" s="383"/>
      <c r="BE8" s="384"/>
      <c r="BF8" s="385">
        <f t="shared" si="18"/>
        <v>0</v>
      </c>
      <c r="BG8" s="383"/>
      <c r="BH8" s="384"/>
      <c r="BI8" s="385">
        <f t="shared" si="19"/>
        <v>0</v>
      </c>
      <c r="BJ8" s="383"/>
      <c r="BK8" s="384"/>
      <c r="BL8" s="385">
        <f t="shared" si="20"/>
        <v>0</v>
      </c>
      <c r="BM8" s="383"/>
      <c r="BN8" s="384"/>
      <c r="BO8" s="385">
        <f t="shared" si="21"/>
        <v>0</v>
      </c>
      <c r="BP8" s="383"/>
      <c r="BQ8" s="384"/>
      <c r="BR8" s="385">
        <f t="shared" si="22"/>
        <v>0</v>
      </c>
      <c r="BS8" s="383"/>
      <c r="BT8" s="384"/>
      <c r="BU8" s="385">
        <f t="shared" si="23"/>
        <v>0</v>
      </c>
      <c r="BV8" s="383"/>
      <c r="BW8" s="384"/>
      <c r="BX8" s="385">
        <f t="shared" si="24"/>
        <v>0</v>
      </c>
      <c r="BY8" s="383"/>
      <c r="BZ8" s="384"/>
      <c r="CA8" s="385">
        <f t="shared" si="25"/>
        <v>0</v>
      </c>
      <c r="CB8" s="383"/>
      <c r="CC8" s="384"/>
      <c r="CD8" s="385">
        <f t="shared" si="26"/>
        <v>0</v>
      </c>
      <c r="CE8" s="383"/>
      <c r="CF8" s="384"/>
      <c r="CG8" s="385">
        <f t="shared" si="27"/>
        <v>0</v>
      </c>
      <c r="CH8" s="383"/>
      <c r="CI8" s="384"/>
      <c r="CJ8" s="385">
        <f t="shared" si="28"/>
        <v>0</v>
      </c>
      <c r="CK8" s="383"/>
      <c r="CL8" s="384"/>
      <c r="CM8" s="385">
        <f t="shared" si="29"/>
        <v>0</v>
      </c>
      <c r="CN8" s="383"/>
      <c r="CO8" s="384"/>
      <c r="CP8" s="385">
        <f t="shared" si="30"/>
        <v>0</v>
      </c>
    </row>
    <row r="9" spans="1:94" ht="15.95" customHeight="1" x14ac:dyDescent="0.25">
      <c r="A9" s="382"/>
      <c r="B9" s="383"/>
      <c r="C9" s="384"/>
      <c r="D9" s="385">
        <f t="shared" si="0"/>
        <v>0</v>
      </c>
      <c r="E9" s="383"/>
      <c r="F9" s="384"/>
      <c r="G9" s="385">
        <f t="shared" si="1"/>
        <v>0</v>
      </c>
      <c r="H9" s="383"/>
      <c r="I9" s="384"/>
      <c r="J9" s="385">
        <f t="shared" si="2"/>
        <v>0</v>
      </c>
      <c r="K9" s="383"/>
      <c r="L9" s="384"/>
      <c r="M9" s="385">
        <f t="shared" si="3"/>
        <v>0</v>
      </c>
      <c r="N9" s="383"/>
      <c r="O9" s="384"/>
      <c r="P9" s="385">
        <f t="shared" si="4"/>
        <v>0</v>
      </c>
      <c r="Q9" s="383"/>
      <c r="R9" s="384"/>
      <c r="S9" s="385">
        <f t="shared" si="5"/>
        <v>0</v>
      </c>
      <c r="T9" s="383"/>
      <c r="U9" s="384"/>
      <c r="V9" s="385">
        <f t="shared" si="6"/>
        <v>0</v>
      </c>
      <c r="W9" s="383"/>
      <c r="X9" s="384"/>
      <c r="Y9" s="385">
        <f t="shared" si="7"/>
        <v>0</v>
      </c>
      <c r="Z9" s="383"/>
      <c r="AA9" s="384"/>
      <c r="AB9" s="385">
        <f t="shared" si="8"/>
        <v>0</v>
      </c>
      <c r="AC9" s="383"/>
      <c r="AD9" s="384"/>
      <c r="AE9" s="385">
        <f t="shared" si="9"/>
        <v>0</v>
      </c>
      <c r="AF9" s="383"/>
      <c r="AG9" s="384"/>
      <c r="AH9" s="385">
        <f t="shared" si="10"/>
        <v>0</v>
      </c>
      <c r="AI9" s="383"/>
      <c r="AJ9" s="384"/>
      <c r="AK9" s="385">
        <f t="shared" si="11"/>
        <v>0</v>
      </c>
      <c r="AL9" s="383"/>
      <c r="AM9" s="384"/>
      <c r="AN9" s="385">
        <f t="shared" si="12"/>
        <v>0</v>
      </c>
      <c r="AO9" s="383"/>
      <c r="AP9" s="384"/>
      <c r="AQ9" s="385">
        <f t="shared" si="13"/>
        <v>0</v>
      </c>
      <c r="AR9" s="383"/>
      <c r="AS9" s="384"/>
      <c r="AT9" s="385">
        <f t="shared" si="14"/>
        <v>0</v>
      </c>
      <c r="AU9" s="383"/>
      <c r="AV9" s="384"/>
      <c r="AW9" s="385">
        <f t="shared" si="15"/>
        <v>0</v>
      </c>
      <c r="AX9" s="383"/>
      <c r="AY9" s="384"/>
      <c r="AZ9" s="385">
        <f t="shared" si="16"/>
        <v>0</v>
      </c>
      <c r="BA9" s="383"/>
      <c r="BB9" s="384"/>
      <c r="BC9" s="385">
        <f t="shared" si="17"/>
        <v>0</v>
      </c>
      <c r="BD9" s="383"/>
      <c r="BE9" s="384"/>
      <c r="BF9" s="385">
        <f t="shared" si="18"/>
        <v>0</v>
      </c>
      <c r="BG9" s="383"/>
      <c r="BH9" s="384"/>
      <c r="BI9" s="385">
        <f t="shared" si="19"/>
        <v>0</v>
      </c>
      <c r="BJ9" s="383"/>
      <c r="BK9" s="384"/>
      <c r="BL9" s="385">
        <f t="shared" si="20"/>
        <v>0</v>
      </c>
      <c r="BM9" s="383"/>
      <c r="BN9" s="384"/>
      <c r="BO9" s="385">
        <f t="shared" si="21"/>
        <v>0</v>
      </c>
      <c r="BP9" s="383"/>
      <c r="BQ9" s="384"/>
      <c r="BR9" s="385">
        <f t="shared" si="22"/>
        <v>0</v>
      </c>
      <c r="BS9" s="383"/>
      <c r="BT9" s="384"/>
      <c r="BU9" s="385">
        <f t="shared" si="23"/>
        <v>0</v>
      </c>
      <c r="BV9" s="383"/>
      <c r="BW9" s="384"/>
      <c r="BX9" s="385">
        <f t="shared" si="24"/>
        <v>0</v>
      </c>
      <c r="BY9" s="383"/>
      <c r="BZ9" s="384"/>
      <c r="CA9" s="385">
        <f t="shared" si="25"/>
        <v>0</v>
      </c>
      <c r="CB9" s="383"/>
      <c r="CC9" s="384"/>
      <c r="CD9" s="385">
        <f t="shared" si="26"/>
        <v>0</v>
      </c>
      <c r="CE9" s="383"/>
      <c r="CF9" s="384"/>
      <c r="CG9" s="385">
        <f t="shared" si="27"/>
        <v>0</v>
      </c>
      <c r="CH9" s="383"/>
      <c r="CI9" s="384"/>
      <c r="CJ9" s="385">
        <f t="shared" si="28"/>
        <v>0</v>
      </c>
      <c r="CK9" s="383"/>
      <c r="CL9" s="384"/>
      <c r="CM9" s="385">
        <f t="shared" si="29"/>
        <v>0</v>
      </c>
      <c r="CN9" s="383"/>
      <c r="CO9" s="384"/>
      <c r="CP9" s="385">
        <f t="shared" si="30"/>
        <v>0</v>
      </c>
    </row>
    <row r="10" spans="1:94" ht="15.95" customHeight="1" x14ac:dyDescent="0.25">
      <c r="A10" s="382"/>
      <c r="B10" s="383"/>
      <c r="C10" s="384"/>
      <c r="D10" s="385">
        <f t="shared" si="0"/>
        <v>0</v>
      </c>
      <c r="E10" s="383"/>
      <c r="F10" s="384"/>
      <c r="G10" s="385">
        <f t="shared" si="1"/>
        <v>0</v>
      </c>
      <c r="H10" s="383"/>
      <c r="I10" s="384"/>
      <c r="J10" s="385">
        <f t="shared" si="2"/>
        <v>0</v>
      </c>
      <c r="K10" s="383"/>
      <c r="L10" s="384"/>
      <c r="M10" s="385">
        <f t="shared" si="3"/>
        <v>0</v>
      </c>
      <c r="N10" s="383"/>
      <c r="O10" s="384"/>
      <c r="P10" s="385">
        <f t="shared" si="4"/>
        <v>0</v>
      </c>
      <c r="Q10" s="383"/>
      <c r="R10" s="384"/>
      <c r="S10" s="385">
        <f t="shared" si="5"/>
        <v>0</v>
      </c>
      <c r="T10" s="383"/>
      <c r="U10" s="384"/>
      <c r="V10" s="385">
        <f t="shared" si="6"/>
        <v>0</v>
      </c>
      <c r="W10" s="383"/>
      <c r="X10" s="384"/>
      <c r="Y10" s="385">
        <f t="shared" si="7"/>
        <v>0</v>
      </c>
      <c r="Z10" s="383"/>
      <c r="AA10" s="384"/>
      <c r="AB10" s="385">
        <f t="shared" si="8"/>
        <v>0</v>
      </c>
      <c r="AC10" s="383"/>
      <c r="AD10" s="384"/>
      <c r="AE10" s="385">
        <f t="shared" si="9"/>
        <v>0</v>
      </c>
      <c r="AF10" s="383"/>
      <c r="AG10" s="384"/>
      <c r="AH10" s="385">
        <f t="shared" si="10"/>
        <v>0</v>
      </c>
      <c r="AI10" s="383"/>
      <c r="AJ10" s="384"/>
      <c r="AK10" s="385">
        <f t="shared" si="11"/>
        <v>0</v>
      </c>
      <c r="AL10" s="383"/>
      <c r="AM10" s="384"/>
      <c r="AN10" s="385">
        <f t="shared" si="12"/>
        <v>0</v>
      </c>
      <c r="AO10" s="383"/>
      <c r="AP10" s="384"/>
      <c r="AQ10" s="385">
        <f t="shared" si="13"/>
        <v>0</v>
      </c>
      <c r="AR10" s="383"/>
      <c r="AS10" s="384"/>
      <c r="AT10" s="385">
        <f t="shared" si="14"/>
        <v>0</v>
      </c>
      <c r="AU10" s="383"/>
      <c r="AV10" s="384"/>
      <c r="AW10" s="385">
        <f t="shared" si="15"/>
        <v>0</v>
      </c>
      <c r="AX10" s="383"/>
      <c r="AY10" s="384"/>
      <c r="AZ10" s="385">
        <f t="shared" si="16"/>
        <v>0</v>
      </c>
      <c r="BA10" s="383"/>
      <c r="BB10" s="384"/>
      <c r="BC10" s="385">
        <f t="shared" si="17"/>
        <v>0</v>
      </c>
      <c r="BD10" s="383"/>
      <c r="BE10" s="384"/>
      <c r="BF10" s="385">
        <f t="shared" si="18"/>
        <v>0</v>
      </c>
      <c r="BG10" s="383"/>
      <c r="BH10" s="384"/>
      <c r="BI10" s="385">
        <f t="shared" si="19"/>
        <v>0</v>
      </c>
      <c r="BJ10" s="383"/>
      <c r="BK10" s="384"/>
      <c r="BL10" s="385">
        <f t="shared" si="20"/>
        <v>0</v>
      </c>
      <c r="BM10" s="383"/>
      <c r="BN10" s="384"/>
      <c r="BO10" s="385">
        <f t="shared" si="21"/>
        <v>0</v>
      </c>
      <c r="BP10" s="383"/>
      <c r="BQ10" s="384"/>
      <c r="BR10" s="385">
        <f t="shared" si="22"/>
        <v>0</v>
      </c>
      <c r="BS10" s="383"/>
      <c r="BT10" s="384"/>
      <c r="BU10" s="385">
        <f t="shared" si="23"/>
        <v>0</v>
      </c>
      <c r="BV10" s="383"/>
      <c r="BW10" s="384"/>
      <c r="BX10" s="385">
        <f t="shared" si="24"/>
        <v>0</v>
      </c>
      <c r="BY10" s="383"/>
      <c r="BZ10" s="384"/>
      <c r="CA10" s="385">
        <f t="shared" si="25"/>
        <v>0</v>
      </c>
      <c r="CB10" s="383"/>
      <c r="CC10" s="384"/>
      <c r="CD10" s="385">
        <f t="shared" si="26"/>
        <v>0</v>
      </c>
      <c r="CE10" s="383"/>
      <c r="CF10" s="384"/>
      <c r="CG10" s="385">
        <f t="shared" si="27"/>
        <v>0</v>
      </c>
      <c r="CH10" s="383"/>
      <c r="CI10" s="384"/>
      <c r="CJ10" s="385">
        <f t="shared" si="28"/>
        <v>0</v>
      </c>
      <c r="CK10" s="383"/>
      <c r="CL10" s="384"/>
      <c r="CM10" s="385">
        <f t="shared" si="29"/>
        <v>0</v>
      </c>
      <c r="CN10" s="383"/>
      <c r="CO10" s="384"/>
      <c r="CP10" s="385">
        <f t="shared" si="30"/>
        <v>0</v>
      </c>
    </row>
    <row r="11" spans="1:94" ht="15.95" customHeight="1" x14ac:dyDescent="0.25">
      <c r="A11" s="382"/>
      <c r="B11" s="383"/>
      <c r="C11" s="384"/>
      <c r="D11" s="385">
        <f t="shared" si="0"/>
        <v>0</v>
      </c>
      <c r="E11" s="383"/>
      <c r="F11" s="384"/>
      <c r="G11" s="385">
        <f t="shared" si="1"/>
        <v>0</v>
      </c>
      <c r="H11" s="383"/>
      <c r="I11" s="384"/>
      <c r="J11" s="385">
        <f t="shared" si="2"/>
        <v>0</v>
      </c>
      <c r="K11" s="383"/>
      <c r="L11" s="384"/>
      <c r="M11" s="385">
        <f t="shared" si="3"/>
        <v>0</v>
      </c>
      <c r="N11" s="383"/>
      <c r="O11" s="384"/>
      <c r="P11" s="385">
        <f t="shared" si="4"/>
        <v>0</v>
      </c>
      <c r="Q11" s="383"/>
      <c r="R11" s="384"/>
      <c r="S11" s="385">
        <f t="shared" si="5"/>
        <v>0</v>
      </c>
      <c r="T11" s="383"/>
      <c r="U11" s="384"/>
      <c r="V11" s="385">
        <f t="shared" si="6"/>
        <v>0</v>
      </c>
      <c r="W11" s="383"/>
      <c r="X11" s="384"/>
      <c r="Y11" s="385">
        <f t="shared" si="7"/>
        <v>0</v>
      </c>
      <c r="Z11" s="383"/>
      <c r="AA11" s="384"/>
      <c r="AB11" s="385">
        <f t="shared" si="8"/>
        <v>0</v>
      </c>
      <c r="AC11" s="383"/>
      <c r="AD11" s="384"/>
      <c r="AE11" s="385">
        <f t="shared" si="9"/>
        <v>0</v>
      </c>
      <c r="AF11" s="383"/>
      <c r="AG11" s="384"/>
      <c r="AH11" s="385">
        <f t="shared" si="10"/>
        <v>0</v>
      </c>
      <c r="AI11" s="383"/>
      <c r="AJ11" s="384"/>
      <c r="AK11" s="385">
        <f t="shared" si="11"/>
        <v>0</v>
      </c>
      <c r="AL11" s="383"/>
      <c r="AM11" s="384"/>
      <c r="AN11" s="385">
        <f t="shared" si="12"/>
        <v>0</v>
      </c>
      <c r="AO11" s="383"/>
      <c r="AP11" s="384"/>
      <c r="AQ11" s="385">
        <f t="shared" si="13"/>
        <v>0</v>
      </c>
      <c r="AR11" s="383"/>
      <c r="AS11" s="384"/>
      <c r="AT11" s="385">
        <f t="shared" si="14"/>
        <v>0</v>
      </c>
      <c r="AU11" s="383"/>
      <c r="AV11" s="384"/>
      <c r="AW11" s="385">
        <f t="shared" si="15"/>
        <v>0</v>
      </c>
      <c r="AX11" s="383"/>
      <c r="AY11" s="384"/>
      <c r="AZ11" s="385">
        <f t="shared" si="16"/>
        <v>0</v>
      </c>
      <c r="BA11" s="383"/>
      <c r="BB11" s="384"/>
      <c r="BC11" s="385">
        <f t="shared" si="17"/>
        <v>0</v>
      </c>
      <c r="BD11" s="383"/>
      <c r="BE11" s="384"/>
      <c r="BF11" s="385">
        <f t="shared" si="18"/>
        <v>0</v>
      </c>
      <c r="BG11" s="383"/>
      <c r="BH11" s="384"/>
      <c r="BI11" s="385">
        <f t="shared" si="19"/>
        <v>0</v>
      </c>
      <c r="BJ11" s="383"/>
      <c r="BK11" s="384"/>
      <c r="BL11" s="385">
        <f t="shared" si="20"/>
        <v>0</v>
      </c>
      <c r="BM11" s="383"/>
      <c r="BN11" s="384"/>
      <c r="BO11" s="385">
        <f t="shared" si="21"/>
        <v>0</v>
      </c>
      <c r="BP11" s="383"/>
      <c r="BQ11" s="384"/>
      <c r="BR11" s="385">
        <f t="shared" si="22"/>
        <v>0</v>
      </c>
      <c r="BS11" s="383"/>
      <c r="BT11" s="384"/>
      <c r="BU11" s="385">
        <f t="shared" si="23"/>
        <v>0</v>
      </c>
      <c r="BV11" s="383"/>
      <c r="BW11" s="384"/>
      <c r="BX11" s="385">
        <f t="shared" si="24"/>
        <v>0</v>
      </c>
      <c r="BY11" s="383"/>
      <c r="BZ11" s="384"/>
      <c r="CA11" s="385">
        <f t="shared" si="25"/>
        <v>0</v>
      </c>
      <c r="CB11" s="383"/>
      <c r="CC11" s="384"/>
      <c r="CD11" s="385">
        <f t="shared" si="26"/>
        <v>0</v>
      </c>
      <c r="CE11" s="383"/>
      <c r="CF11" s="384"/>
      <c r="CG11" s="385">
        <f t="shared" si="27"/>
        <v>0</v>
      </c>
      <c r="CH11" s="383"/>
      <c r="CI11" s="384"/>
      <c r="CJ11" s="385">
        <f t="shared" si="28"/>
        <v>0</v>
      </c>
      <c r="CK11" s="383"/>
      <c r="CL11" s="384"/>
      <c r="CM11" s="385">
        <f t="shared" si="29"/>
        <v>0</v>
      </c>
      <c r="CN11" s="383"/>
      <c r="CO11" s="384"/>
      <c r="CP11" s="385">
        <f t="shared" si="30"/>
        <v>0</v>
      </c>
    </row>
    <row r="12" spans="1:94" ht="15.95" customHeight="1" x14ac:dyDescent="0.25">
      <c r="A12" s="382"/>
      <c r="B12" s="383"/>
      <c r="C12" s="384"/>
      <c r="D12" s="385">
        <f t="shared" si="0"/>
        <v>0</v>
      </c>
      <c r="E12" s="383"/>
      <c r="F12" s="384"/>
      <c r="G12" s="385">
        <f t="shared" si="1"/>
        <v>0</v>
      </c>
      <c r="H12" s="383"/>
      <c r="I12" s="384"/>
      <c r="J12" s="385">
        <f t="shared" si="2"/>
        <v>0</v>
      </c>
      <c r="K12" s="383"/>
      <c r="L12" s="384"/>
      <c r="M12" s="385">
        <f t="shared" si="3"/>
        <v>0</v>
      </c>
      <c r="N12" s="383"/>
      <c r="O12" s="384"/>
      <c r="P12" s="385">
        <f t="shared" si="4"/>
        <v>0</v>
      </c>
      <c r="Q12" s="383"/>
      <c r="R12" s="384"/>
      <c r="S12" s="385">
        <f t="shared" si="5"/>
        <v>0</v>
      </c>
      <c r="T12" s="383"/>
      <c r="U12" s="384"/>
      <c r="V12" s="385">
        <f t="shared" si="6"/>
        <v>0</v>
      </c>
      <c r="W12" s="383"/>
      <c r="X12" s="384"/>
      <c r="Y12" s="385">
        <f t="shared" si="7"/>
        <v>0</v>
      </c>
      <c r="Z12" s="383"/>
      <c r="AA12" s="384"/>
      <c r="AB12" s="385">
        <f t="shared" si="8"/>
        <v>0</v>
      </c>
      <c r="AC12" s="383"/>
      <c r="AD12" s="384"/>
      <c r="AE12" s="385">
        <f t="shared" si="9"/>
        <v>0</v>
      </c>
      <c r="AF12" s="383"/>
      <c r="AG12" s="384"/>
      <c r="AH12" s="385">
        <f t="shared" si="10"/>
        <v>0</v>
      </c>
      <c r="AI12" s="383"/>
      <c r="AJ12" s="384"/>
      <c r="AK12" s="385">
        <f t="shared" si="11"/>
        <v>0</v>
      </c>
      <c r="AL12" s="383"/>
      <c r="AM12" s="384"/>
      <c r="AN12" s="385">
        <f t="shared" si="12"/>
        <v>0</v>
      </c>
      <c r="AO12" s="383"/>
      <c r="AP12" s="384"/>
      <c r="AQ12" s="385">
        <f t="shared" si="13"/>
        <v>0</v>
      </c>
      <c r="AR12" s="383"/>
      <c r="AS12" s="384"/>
      <c r="AT12" s="385">
        <f t="shared" si="14"/>
        <v>0</v>
      </c>
      <c r="AU12" s="383"/>
      <c r="AV12" s="384"/>
      <c r="AW12" s="385">
        <f t="shared" si="15"/>
        <v>0</v>
      </c>
      <c r="AX12" s="383"/>
      <c r="AY12" s="384"/>
      <c r="AZ12" s="385">
        <f t="shared" si="16"/>
        <v>0</v>
      </c>
      <c r="BA12" s="383"/>
      <c r="BB12" s="384"/>
      <c r="BC12" s="385">
        <f t="shared" si="17"/>
        <v>0</v>
      </c>
      <c r="BD12" s="383"/>
      <c r="BE12" s="384"/>
      <c r="BF12" s="385">
        <f t="shared" si="18"/>
        <v>0</v>
      </c>
      <c r="BG12" s="383"/>
      <c r="BH12" s="384"/>
      <c r="BI12" s="385">
        <f t="shared" si="19"/>
        <v>0</v>
      </c>
      <c r="BJ12" s="383"/>
      <c r="BK12" s="384"/>
      <c r="BL12" s="385">
        <f t="shared" si="20"/>
        <v>0</v>
      </c>
      <c r="BM12" s="383"/>
      <c r="BN12" s="384"/>
      <c r="BO12" s="385">
        <f t="shared" si="21"/>
        <v>0</v>
      </c>
      <c r="BP12" s="383"/>
      <c r="BQ12" s="384"/>
      <c r="BR12" s="385">
        <f t="shared" si="22"/>
        <v>0</v>
      </c>
      <c r="BS12" s="383"/>
      <c r="BT12" s="384"/>
      <c r="BU12" s="385">
        <f t="shared" si="23"/>
        <v>0</v>
      </c>
      <c r="BV12" s="383"/>
      <c r="BW12" s="384"/>
      <c r="BX12" s="385">
        <f t="shared" si="24"/>
        <v>0</v>
      </c>
      <c r="BY12" s="383"/>
      <c r="BZ12" s="384"/>
      <c r="CA12" s="385">
        <f t="shared" si="25"/>
        <v>0</v>
      </c>
      <c r="CB12" s="383"/>
      <c r="CC12" s="384"/>
      <c r="CD12" s="385">
        <f t="shared" si="26"/>
        <v>0</v>
      </c>
      <c r="CE12" s="383"/>
      <c r="CF12" s="384"/>
      <c r="CG12" s="385">
        <f t="shared" si="27"/>
        <v>0</v>
      </c>
      <c r="CH12" s="383"/>
      <c r="CI12" s="384"/>
      <c r="CJ12" s="385">
        <f t="shared" si="28"/>
        <v>0</v>
      </c>
      <c r="CK12" s="383"/>
      <c r="CL12" s="384"/>
      <c r="CM12" s="385">
        <f t="shared" si="29"/>
        <v>0</v>
      </c>
      <c r="CN12" s="383"/>
      <c r="CO12" s="384"/>
      <c r="CP12" s="385">
        <f t="shared" si="30"/>
        <v>0</v>
      </c>
    </row>
    <row r="13" spans="1:94" ht="15.95" customHeight="1" x14ac:dyDescent="0.25">
      <c r="A13" s="382"/>
      <c r="B13" s="383"/>
      <c r="C13" s="384"/>
      <c r="D13" s="385">
        <f t="shared" si="0"/>
        <v>0</v>
      </c>
      <c r="E13" s="383"/>
      <c r="F13" s="384"/>
      <c r="G13" s="385">
        <f t="shared" si="1"/>
        <v>0</v>
      </c>
      <c r="H13" s="383"/>
      <c r="I13" s="384"/>
      <c r="J13" s="385">
        <f t="shared" si="2"/>
        <v>0</v>
      </c>
      <c r="K13" s="383"/>
      <c r="L13" s="384"/>
      <c r="M13" s="385">
        <f t="shared" si="3"/>
        <v>0</v>
      </c>
      <c r="N13" s="383"/>
      <c r="O13" s="384"/>
      <c r="P13" s="385">
        <f t="shared" si="4"/>
        <v>0</v>
      </c>
      <c r="Q13" s="383"/>
      <c r="R13" s="384"/>
      <c r="S13" s="385">
        <f t="shared" si="5"/>
        <v>0</v>
      </c>
      <c r="T13" s="383"/>
      <c r="U13" s="384"/>
      <c r="V13" s="385">
        <f t="shared" si="6"/>
        <v>0</v>
      </c>
      <c r="W13" s="383"/>
      <c r="X13" s="384"/>
      <c r="Y13" s="385">
        <f t="shared" si="7"/>
        <v>0</v>
      </c>
      <c r="Z13" s="383"/>
      <c r="AA13" s="384"/>
      <c r="AB13" s="385">
        <f t="shared" si="8"/>
        <v>0</v>
      </c>
      <c r="AC13" s="383"/>
      <c r="AD13" s="384"/>
      <c r="AE13" s="385">
        <f t="shared" si="9"/>
        <v>0</v>
      </c>
      <c r="AF13" s="383"/>
      <c r="AG13" s="384"/>
      <c r="AH13" s="385">
        <f t="shared" si="10"/>
        <v>0</v>
      </c>
      <c r="AI13" s="383"/>
      <c r="AJ13" s="384"/>
      <c r="AK13" s="385">
        <f t="shared" si="11"/>
        <v>0</v>
      </c>
      <c r="AL13" s="383"/>
      <c r="AM13" s="384"/>
      <c r="AN13" s="385">
        <f t="shared" si="12"/>
        <v>0</v>
      </c>
      <c r="AO13" s="383"/>
      <c r="AP13" s="384"/>
      <c r="AQ13" s="385">
        <f t="shared" si="13"/>
        <v>0</v>
      </c>
      <c r="AR13" s="383"/>
      <c r="AS13" s="384"/>
      <c r="AT13" s="385">
        <f t="shared" si="14"/>
        <v>0</v>
      </c>
      <c r="AU13" s="383"/>
      <c r="AV13" s="384"/>
      <c r="AW13" s="385">
        <f t="shared" si="15"/>
        <v>0</v>
      </c>
      <c r="AX13" s="383"/>
      <c r="AY13" s="384"/>
      <c r="AZ13" s="385">
        <f t="shared" si="16"/>
        <v>0</v>
      </c>
      <c r="BA13" s="383"/>
      <c r="BB13" s="384"/>
      <c r="BC13" s="385">
        <f t="shared" si="17"/>
        <v>0</v>
      </c>
      <c r="BD13" s="383"/>
      <c r="BE13" s="384"/>
      <c r="BF13" s="385">
        <f t="shared" si="18"/>
        <v>0</v>
      </c>
      <c r="BG13" s="383"/>
      <c r="BH13" s="384"/>
      <c r="BI13" s="385">
        <f t="shared" si="19"/>
        <v>0</v>
      </c>
      <c r="BJ13" s="383"/>
      <c r="BK13" s="384"/>
      <c r="BL13" s="385">
        <f t="shared" si="20"/>
        <v>0</v>
      </c>
      <c r="BM13" s="383"/>
      <c r="BN13" s="384"/>
      <c r="BO13" s="385">
        <f t="shared" si="21"/>
        <v>0</v>
      </c>
      <c r="BP13" s="383"/>
      <c r="BQ13" s="384"/>
      <c r="BR13" s="385">
        <f t="shared" si="22"/>
        <v>0</v>
      </c>
      <c r="BS13" s="383"/>
      <c r="BT13" s="384"/>
      <c r="BU13" s="385">
        <f t="shared" si="23"/>
        <v>0</v>
      </c>
      <c r="BV13" s="383"/>
      <c r="BW13" s="384"/>
      <c r="BX13" s="385">
        <f t="shared" si="24"/>
        <v>0</v>
      </c>
      <c r="BY13" s="383"/>
      <c r="BZ13" s="384"/>
      <c r="CA13" s="385">
        <f t="shared" si="25"/>
        <v>0</v>
      </c>
      <c r="CB13" s="383"/>
      <c r="CC13" s="384"/>
      <c r="CD13" s="385">
        <f t="shared" si="26"/>
        <v>0</v>
      </c>
      <c r="CE13" s="383"/>
      <c r="CF13" s="384"/>
      <c r="CG13" s="385">
        <f t="shared" si="27"/>
        <v>0</v>
      </c>
      <c r="CH13" s="383"/>
      <c r="CI13" s="384"/>
      <c r="CJ13" s="385">
        <f t="shared" si="28"/>
        <v>0</v>
      </c>
      <c r="CK13" s="383"/>
      <c r="CL13" s="384"/>
      <c r="CM13" s="385">
        <f t="shared" si="29"/>
        <v>0</v>
      </c>
      <c r="CN13" s="383"/>
      <c r="CO13" s="384"/>
      <c r="CP13" s="385">
        <f t="shared" si="30"/>
        <v>0</v>
      </c>
    </row>
    <row r="14" spans="1:94" ht="15.95" customHeight="1" x14ac:dyDescent="0.25">
      <c r="A14" s="382"/>
      <c r="B14" s="383"/>
      <c r="C14" s="384"/>
      <c r="D14" s="385">
        <f t="shared" si="0"/>
        <v>0</v>
      </c>
      <c r="E14" s="383"/>
      <c r="F14" s="384"/>
      <c r="G14" s="385">
        <f t="shared" si="1"/>
        <v>0</v>
      </c>
      <c r="H14" s="383"/>
      <c r="I14" s="384"/>
      <c r="J14" s="385">
        <f t="shared" si="2"/>
        <v>0</v>
      </c>
      <c r="K14" s="383"/>
      <c r="L14" s="384"/>
      <c r="M14" s="385">
        <f t="shared" si="3"/>
        <v>0</v>
      </c>
      <c r="N14" s="383"/>
      <c r="O14" s="384"/>
      <c r="P14" s="385">
        <f t="shared" si="4"/>
        <v>0</v>
      </c>
      <c r="Q14" s="383"/>
      <c r="R14" s="384"/>
      <c r="S14" s="385">
        <f t="shared" si="5"/>
        <v>0</v>
      </c>
      <c r="T14" s="383"/>
      <c r="U14" s="384"/>
      <c r="V14" s="385">
        <f t="shared" si="6"/>
        <v>0</v>
      </c>
      <c r="W14" s="383"/>
      <c r="X14" s="384"/>
      <c r="Y14" s="385">
        <f t="shared" si="7"/>
        <v>0</v>
      </c>
      <c r="Z14" s="383"/>
      <c r="AA14" s="384"/>
      <c r="AB14" s="385">
        <f t="shared" si="8"/>
        <v>0</v>
      </c>
      <c r="AC14" s="383"/>
      <c r="AD14" s="384"/>
      <c r="AE14" s="385">
        <f t="shared" si="9"/>
        <v>0</v>
      </c>
      <c r="AF14" s="383"/>
      <c r="AG14" s="384"/>
      <c r="AH14" s="385">
        <f t="shared" si="10"/>
        <v>0</v>
      </c>
      <c r="AI14" s="383"/>
      <c r="AJ14" s="384"/>
      <c r="AK14" s="385">
        <f t="shared" si="11"/>
        <v>0</v>
      </c>
      <c r="AL14" s="383"/>
      <c r="AM14" s="384"/>
      <c r="AN14" s="385">
        <f t="shared" si="12"/>
        <v>0</v>
      </c>
      <c r="AO14" s="383"/>
      <c r="AP14" s="384"/>
      <c r="AQ14" s="385">
        <f t="shared" si="13"/>
        <v>0</v>
      </c>
      <c r="AR14" s="383"/>
      <c r="AS14" s="384"/>
      <c r="AT14" s="385">
        <f t="shared" si="14"/>
        <v>0</v>
      </c>
      <c r="AU14" s="383"/>
      <c r="AV14" s="384"/>
      <c r="AW14" s="385">
        <f t="shared" si="15"/>
        <v>0</v>
      </c>
      <c r="AX14" s="383"/>
      <c r="AY14" s="384"/>
      <c r="AZ14" s="385">
        <f t="shared" si="16"/>
        <v>0</v>
      </c>
      <c r="BA14" s="383"/>
      <c r="BB14" s="384"/>
      <c r="BC14" s="385">
        <f t="shared" si="17"/>
        <v>0</v>
      </c>
      <c r="BD14" s="383"/>
      <c r="BE14" s="384"/>
      <c r="BF14" s="385">
        <f t="shared" si="18"/>
        <v>0</v>
      </c>
      <c r="BG14" s="383"/>
      <c r="BH14" s="384"/>
      <c r="BI14" s="385">
        <f t="shared" si="19"/>
        <v>0</v>
      </c>
      <c r="BJ14" s="383"/>
      <c r="BK14" s="384"/>
      <c r="BL14" s="385">
        <f t="shared" si="20"/>
        <v>0</v>
      </c>
      <c r="BM14" s="383"/>
      <c r="BN14" s="384"/>
      <c r="BO14" s="385">
        <f t="shared" si="21"/>
        <v>0</v>
      </c>
      <c r="BP14" s="383"/>
      <c r="BQ14" s="384"/>
      <c r="BR14" s="385">
        <f t="shared" si="22"/>
        <v>0</v>
      </c>
      <c r="BS14" s="383"/>
      <c r="BT14" s="384"/>
      <c r="BU14" s="385">
        <f t="shared" si="23"/>
        <v>0</v>
      </c>
      <c r="BV14" s="383"/>
      <c r="BW14" s="384"/>
      <c r="BX14" s="385">
        <f t="shared" si="24"/>
        <v>0</v>
      </c>
      <c r="BY14" s="383"/>
      <c r="BZ14" s="384"/>
      <c r="CA14" s="385">
        <f t="shared" si="25"/>
        <v>0</v>
      </c>
      <c r="CB14" s="383"/>
      <c r="CC14" s="384"/>
      <c r="CD14" s="385">
        <f t="shared" si="26"/>
        <v>0</v>
      </c>
      <c r="CE14" s="383"/>
      <c r="CF14" s="384"/>
      <c r="CG14" s="385">
        <f t="shared" si="27"/>
        <v>0</v>
      </c>
      <c r="CH14" s="383"/>
      <c r="CI14" s="384"/>
      <c r="CJ14" s="385">
        <f t="shared" si="28"/>
        <v>0</v>
      </c>
      <c r="CK14" s="383"/>
      <c r="CL14" s="384"/>
      <c r="CM14" s="385">
        <f t="shared" si="29"/>
        <v>0</v>
      </c>
      <c r="CN14" s="383"/>
      <c r="CO14" s="384"/>
      <c r="CP14" s="385">
        <f t="shared" si="30"/>
        <v>0</v>
      </c>
    </row>
    <row r="15" spans="1:94" ht="15.95" customHeight="1" x14ac:dyDescent="0.25">
      <c r="A15" s="382"/>
      <c r="B15" s="383"/>
      <c r="C15" s="384"/>
      <c r="D15" s="385">
        <f t="shared" si="0"/>
        <v>0</v>
      </c>
      <c r="E15" s="383"/>
      <c r="F15" s="384"/>
      <c r="G15" s="385">
        <f t="shared" si="1"/>
        <v>0</v>
      </c>
      <c r="H15" s="383"/>
      <c r="I15" s="384"/>
      <c r="J15" s="385">
        <f t="shared" si="2"/>
        <v>0</v>
      </c>
      <c r="K15" s="383"/>
      <c r="L15" s="384"/>
      <c r="M15" s="385">
        <f t="shared" si="3"/>
        <v>0</v>
      </c>
      <c r="N15" s="383"/>
      <c r="O15" s="384"/>
      <c r="P15" s="385">
        <f t="shared" si="4"/>
        <v>0</v>
      </c>
      <c r="Q15" s="383"/>
      <c r="R15" s="384"/>
      <c r="S15" s="385">
        <f t="shared" si="5"/>
        <v>0</v>
      </c>
      <c r="T15" s="383"/>
      <c r="U15" s="384"/>
      <c r="V15" s="385">
        <f t="shared" si="6"/>
        <v>0</v>
      </c>
      <c r="W15" s="383"/>
      <c r="X15" s="384"/>
      <c r="Y15" s="385">
        <f t="shared" si="7"/>
        <v>0</v>
      </c>
      <c r="Z15" s="383"/>
      <c r="AA15" s="384"/>
      <c r="AB15" s="385">
        <f t="shared" si="8"/>
        <v>0</v>
      </c>
      <c r="AC15" s="383"/>
      <c r="AD15" s="384"/>
      <c r="AE15" s="385">
        <f t="shared" si="9"/>
        <v>0</v>
      </c>
      <c r="AF15" s="383"/>
      <c r="AG15" s="384"/>
      <c r="AH15" s="385">
        <f t="shared" si="10"/>
        <v>0</v>
      </c>
      <c r="AI15" s="383"/>
      <c r="AJ15" s="384"/>
      <c r="AK15" s="385">
        <f t="shared" si="11"/>
        <v>0</v>
      </c>
      <c r="AL15" s="383"/>
      <c r="AM15" s="384"/>
      <c r="AN15" s="385">
        <f t="shared" si="12"/>
        <v>0</v>
      </c>
      <c r="AO15" s="383"/>
      <c r="AP15" s="384"/>
      <c r="AQ15" s="385">
        <f t="shared" si="13"/>
        <v>0</v>
      </c>
      <c r="AR15" s="383"/>
      <c r="AS15" s="384"/>
      <c r="AT15" s="385">
        <f t="shared" si="14"/>
        <v>0</v>
      </c>
      <c r="AU15" s="383"/>
      <c r="AV15" s="384"/>
      <c r="AW15" s="385">
        <f t="shared" si="15"/>
        <v>0</v>
      </c>
      <c r="AX15" s="383"/>
      <c r="AY15" s="384"/>
      <c r="AZ15" s="385">
        <f t="shared" si="16"/>
        <v>0</v>
      </c>
      <c r="BA15" s="383"/>
      <c r="BB15" s="384"/>
      <c r="BC15" s="385">
        <f t="shared" si="17"/>
        <v>0</v>
      </c>
      <c r="BD15" s="383"/>
      <c r="BE15" s="384"/>
      <c r="BF15" s="385">
        <f t="shared" si="18"/>
        <v>0</v>
      </c>
      <c r="BG15" s="383"/>
      <c r="BH15" s="384"/>
      <c r="BI15" s="385">
        <f t="shared" si="19"/>
        <v>0</v>
      </c>
      <c r="BJ15" s="383"/>
      <c r="BK15" s="384"/>
      <c r="BL15" s="385">
        <f t="shared" si="20"/>
        <v>0</v>
      </c>
      <c r="BM15" s="383"/>
      <c r="BN15" s="384"/>
      <c r="BO15" s="385">
        <f t="shared" si="21"/>
        <v>0</v>
      </c>
      <c r="BP15" s="383"/>
      <c r="BQ15" s="384"/>
      <c r="BR15" s="385">
        <f t="shared" si="22"/>
        <v>0</v>
      </c>
      <c r="BS15" s="383"/>
      <c r="BT15" s="384"/>
      <c r="BU15" s="385">
        <f t="shared" si="23"/>
        <v>0</v>
      </c>
      <c r="BV15" s="383"/>
      <c r="BW15" s="384"/>
      <c r="BX15" s="385">
        <f t="shared" si="24"/>
        <v>0</v>
      </c>
      <c r="BY15" s="383"/>
      <c r="BZ15" s="384"/>
      <c r="CA15" s="385">
        <f t="shared" si="25"/>
        <v>0</v>
      </c>
      <c r="CB15" s="383"/>
      <c r="CC15" s="384"/>
      <c r="CD15" s="385">
        <f t="shared" si="26"/>
        <v>0</v>
      </c>
      <c r="CE15" s="383"/>
      <c r="CF15" s="384"/>
      <c r="CG15" s="385">
        <f t="shared" si="27"/>
        <v>0</v>
      </c>
      <c r="CH15" s="383"/>
      <c r="CI15" s="384"/>
      <c r="CJ15" s="385">
        <f t="shared" si="28"/>
        <v>0</v>
      </c>
      <c r="CK15" s="383"/>
      <c r="CL15" s="384"/>
      <c r="CM15" s="385">
        <f t="shared" si="29"/>
        <v>0</v>
      </c>
      <c r="CN15" s="383"/>
      <c r="CO15" s="384"/>
      <c r="CP15" s="385">
        <f t="shared" si="30"/>
        <v>0</v>
      </c>
    </row>
    <row r="16" spans="1:94" ht="15.95" customHeight="1" x14ac:dyDescent="0.25">
      <c r="A16" s="382"/>
      <c r="B16" s="383"/>
      <c r="C16" s="384"/>
      <c r="D16" s="385">
        <f t="shared" si="0"/>
        <v>0</v>
      </c>
      <c r="E16" s="383"/>
      <c r="F16" s="384"/>
      <c r="G16" s="385">
        <f t="shared" si="1"/>
        <v>0</v>
      </c>
      <c r="H16" s="383"/>
      <c r="I16" s="384"/>
      <c r="J16" s="385">
        <f t="shared" si="2"/>
        <v>0</v>
      </c>
      <c r="K16" s="383"/>
      <c r="L16" s="384"/>
      <c r="M16" s="385">
        <f t="shared" si="3"/>
        <v>0</v>
      </c>
      <c r="N16" s="383"/>
      <c r="O16" s="384"/>
      <c r="P16" s="385">
        <f t="shared" si="4"/>
        <v>0</v>
      </c>
      <c r="Q16" s="383"/>
      <c r="R16" s="384"/>
      <c r="S16" s="385">
        <f t="shared" si="5"/>
        <v>0</v>
      </c>
      <c r="T16" s="383"/>
      <c r="U16" s="384"/>
      <c r="V16" s="385">
        <f t="shared" si="6"/>
        <v>0</v>
      </c>
      <c r="W16" s="383"/>
      <c r="X16" s="384"/>
      <c r="Y16" s="385">
        <f t="shared" si="7"/>
        <v>0</v>
      </c>
      <c r="Z16" s="383"/>
      <c r="AA16" s="384"/>
      <c r="AB16" s="385">
        <f t="shared" si="8"/>
        <v>0</v>
      </c>
      <c r="AC16" s="383"/>
      <c r="AD16" s="384"/>
      <c r="AE16" s="385">
        <f t="shared" si="9"/>
        <v>0</v>
      </c>
      <c r="AF16" s="383"/>
      <c r="AG16" s="384"/>
      <c r="AH16" s="385">
        <f t="shared" si="10"/>
        <v>0</v>
      </c>
      <c r="AI16" s="383"/>
      <c r="AJ16" s="384"/>
      <c r="AK16" s="385">
        <f t="shared" si="11"/>
        <v>0</v>
      </c>
      <c r="AL16" s="383"/>
      <c r="AM16" s="384"/>
      <c r="AN16" s="385">
        <f t="shared" si="12"/>
        <v>0</v>
      </c>
      <c r="AO16" s="383"/>
      <c r="AP16" s="384"/>
      <c r="AQ16" s="385">
        <f t="shared" si="13"/>
        <v>0</v>
      </c>
      <c r="AR16" s="383"/>
      <c r="AS16" s="384"/>
      <c r="AT16" s="385">
        <f t="shared" si="14"/>
        <v>0</v>
      </c>
      <c r="AU16" s="383"/>
      <c r="AV16" s="384"/>
      <c r="AW16" s="385">
        <f t="shared" si="15"/>
        <v>0</v>
      </c>
      <c r="AX16" s="383"/>
      <c r="AY16" s="384"/>
      <c r="AZ16" s="385">
        <f t="shared" si="16"/>
        <v>0</v>
      </c>
      <c r="BA16" s="383"/>
      <c r="BB16" s="384"/>
      <c r="BC16" s="385">
        <f t="shared" si="17"/>
        <v>0</v>
      </c>
      <c r="BD16" s="383"/>
      <c r="BE16" s="384"/>
      <c r="BF16" s="385">
        <f t="shared" si="18"/>
        <v>0</v>
      </c>
      <c r="BG16" s="383"/>
      <c r="BH16" s="384"/>
      <c r="BI16" s="385">
        <f t="shared" si="19"/>
        <v>0</v>
      </c>
      <c r="BJ16" s="383"/>
      <c r="BK16" s="384"/>
      <c r="BL16" s="385">
        <f t="shared" si="20"/>
        <v>0</v>
      </c>
      <c r="BM16" s="383"/>
      <c r="BN16" s="384"/>
      <c r="BO16" s="385">
        <f t="shared" si="21"/>
        <v>0</v>
      </c>
      <c r="BP16" s="383"/>
      <c r="BQ16" s="384"/>
      <c r="BR16" s="385">
        <f t="shared" si="22"/>
        <v>0</v>
      </c>
      <c r="BS16" s="383"/>
      <c r="BT16" s="384"/>
      <c r="BU16" s="385">
        <f t="shared" si="23"/>
        <v>0</v>
      </c>
      <c r="BV16" s="383"/>
      <c r="BW16" s="384"/>
      <c r="BX16" s="385">
        <f t="shared" si="24"/>
        <v>0</v>
      </c>
      <c r="BY16" s="383"/>
      <c r="BZ16" s="384"/>
      <c r="CA16" s="385">
        <f t="shared" si="25"/>
        <v>0</v>
      </c>
      <c r="CB16" s="383"/>
      <c r="CC16" s="384"/>
      <c r="CD16" s="385">
        <f t="shared" si="26"/>
        <v>0</v>
      </c>
      <c r="CE16" s="383"/>
      <c r="CF16" s="384"/>
      <c r="CG16" s="385">
        <f t="shared" si="27"/>
        <v>0</v>
      </c>
      <c r="CH16" s="383"/>
      <c r="CI16" s="384"/>
      <c r="CJ16" s="385">
        <f t="shared" si="28"/>
        <v>0</v>
      </c>
      <c r="CK16" s="383"/>
      <c r="CL16" s="384"/>
      <c r="CM16" s="385">
        <f t="shared" si="29"/>
        <v>0</v>
      </c>
      <c r="CN16" s="383"/>
      <c r="CO16" s="384"/>
      <c r="CP16" s="385">
        <f t="shared" si="30"/>
        <v>0</v>
      </c>
    </row>
    <row r="17" spans="1:94" ht="15.95" customHeight="1" x14ac:dyDescent="0.25">
      <c r="A17" s="382"/>
      <c r="B17" s="383"/>
      <c r="C17" s="384"/>
      <c r="D17" s="385">
        <f t="shared" si="0"/>
        <v>0</v>
      </c>
      <c r="E17" s="383"/>
      <c r="F17" s="384"/>
      <c r="G17" s="385">
        <f t="shared" si="1"/>
        <v>0</v>
      </c>
      <c r="H17" s="383"/>
      <c r="I17" s="384"/>
      <c r="J17" s="385">
        <f t="shared" si="2"/>
        <v>0</v>
      </c>
      <c r="K17" s="383"/>
      <c r="L17" s="384"/>
      <c r="M17" s="385">
        <f t="shared" si="3"/>
        <v>0</v>
      </c>
      <c r="N17" s="383"/>
      <c r="O17" s="384"/>
      <c r="P17" s="385">
        <f t="shared" si="4"/>
        <v>0</v>
      </c>
      <c r="Q17" s="383"/>
      <c r="R17" s="384"/>
      <c r="S17" s="385">
        <f t="shared" si="5"/>
        <v>0</v>
      </c>
      <c r="T17" s="383"/>
      <c r="U17" s="384"/>
      <c r="V17" s="385">
        <f t="shared" si="6"/>
        <v>0</v>
      </c>
      <c r="W17" s="383"/>
      <c r="X17" s="384"/>
      <c r="Y17" s="385">
        <f t="shared" si="7"/>
        <v>0</v>
      </c>
      <c r="Z17" s="383"/>
      <c r="AA17" s="384"/>
      <c r="AB17" s="385">
        <f t="shared" si="8"/>
        <v>0</v>
      </c>
      <c r="AC17" s="383"/>
      <c r="AD17" s="384"/>
      <c r="AE17" s="385">
        <f t="shared" si="9"/>
        <v>0</v>
      </c>
      <c r="AF17" s="383"/>
      <c r="AG17" s="384"/>
      <c r="AH17" s="385">
        <f t="shared" si="10"/>
        <v>0</v>
      </c>
      <c r="AI17" s="383"/>
      <c r="AJ17" s="384"/>
      <c r="AK17" s="385">
        <f t="shared" si="11"/>
        <v>0</v>
      </c>
      <c r="AL17" s="383"/>
      <c r="AM17" s="384"/>
      <c r="AN17" s="385">
        <f t="shared" si="12"/>
        <v>0</v>
      </c>
      <c r="AO17" s="383"/>
      <c r="AP17" s="384"/>
      <c r="AQ17" s="385">
        <f t="shared" si="13"/>
        <v>0</v>
      </c>
      <c r="AR17" s="383"/>
      <c r="AS17" s="384"/>
      <c r="AT17" s="385">
        <f t="shared" si="14"/>
        <v>0</v>
      </c>
      <c r="AU17" s="383"/>
      <c r="AV17" s="384"/>
      <c r="AW17" s="385">
        <f t="shared" si="15"/>
        <v>0</v>
      </c>
      <c r="AX17" s="383"/>
      <c r="AY17" s="384"/>
      <c r="AZ17" s="385">
        <f t="shared" si="16"/>
        <v>0</v>
      </c>
      <c r="BA17" s="383"/>
      <c r="BB17" s="384"/>
      <c r="BC17" s="385">
        <f t="shared" si="17"/>
        <v>0</v>
      </c>
      <c r="BD17" s="383"/>
      <c r="BE17" s="384"/>
      <c r="BF17" s="385">
        <f t="shared" si="18"/>
        <v>0</v>
      </c>
      <c r="BG17" s="383"/>
      <c r="BH17" s="384"/>
      <c r="BI17" s="385">
        <f t="shared" si="19"/>
        <v>0</v>
      </c>
      <c r="BJ17" s="383"/>
      <c r="BK17" s="384"/>
      <c r="BL17" s="385">
        <f t="shared" si="20"/>
        <v>0</v>
      </c>
      <c r="BM17" s="383"/>
      <c r="BN17" s="384"/>
      <c r="BO17" s="385">
        <f t="shared" si="21"/>
        <v>0</v>
      </c>
      <c r="BP17" s="383"/>
      <c r="BQ17" s="384"/>
      <c r="BR17" s="385">
        <f t="shared" si="22"/>
        <v>0</v>
      </c>
      <c r="BS17" s="383"/>
      <c r="BT17" s="384"/>
      <c r="BU17" s="385">
        <f t="shared" si="23"/>
        <v>0</v>
      </c>
      <c r="BV17" s="383"/>
      <c r="BW17" s="384"/>
      <c r="BX17" s="385">
        <f t="shared" si="24"/>
        <v>0</v>
      </c>
      <c r="BY17" s="383"/>
      <c r="BZ17" s="384"/>
      <c r="CA17" s="385">
        <f t="shared" si="25"/>
        <v>0</v>
      </c>
      <c r="CB17" s="383"/>
      <c r="CC17" s="384"/>
      <c r="CD17" s="385">
        <f t="shared" si="26"/>
        <v>0</v>
      </c>
      <c r="CE17" s="383"/>
      <c r="CF17" s="384"/>
      <c r="CG17" s="385">
        <f t="shared" si="27"/>
        <v>0</v>
      </c>
      <c r="CH17" s="383"/>
      <c r="CI17" s="384"/>
      <c r="CJ17" s="385">
        <f t="shared" si="28"/>
        <v>0</v>
      </c>
      <c r="CK17" s="383"/>
      <c r="CL17" s="384"/>
      <c r="CM17" s="385">
        <f t="shared" si="29"/>
        <v>0</v>
      </c>
      <c r="CN17" s="383"/>
      <c r="CO17" s="384"/>
      <c r="CP17" s="385">
        <f t="shared" si="30"/>
        <v>0</v>
      </c>
    </row>
    <row r="18" spans="1:94" ht="15.95" customHeight="1" x14ac:dyDescent="0.25">
      <c r="A18" s="382"/>
      <c r="B18" s="383"/>
      <c r="C18" s="384"/>
      <c r="D18" s="385">
        <f t="shared" si="0"/>
        <v>0</v>
      </c>
      <c r="E18" s="383"/>
      <c r="F18" s="384"/>
      <c r="G18" s="385">
        <f t="shared" si="1"/>
        <v>0</v>
      </c>
      <c r="H18" s="383"/>
      <c r="I18" s="384"/>
      <c r="J18" s="385">
        <f t="shared" si="2"/>
        <v>0</v>
      </c>
      <c r="K18" s="383"/>
      <c r="L18" s="384"/>
      <c r="M18" s="385">
        <f t="shared" si="3"/>
        <v>0</v>
      </c>
      <c r="N18" s="383"/>
      <c r="O18" s="384"/>
      <c r="P18" s="385">
        <f t="shared" si="4"/>
        <v>0</v>
      </c>
      <c r="Q18" s="383"/>
      <c r="R18" s="384"/>
      <c r="S18" s="385">
        <f t="shared" si="5"/>
        <v>0</v>
      </c>
      <c r="T18" s="383"/>
      <c r="U18" s="384"/>
      <c r="V18" s="385">
        <f t="shared" si="6"/>
        <v>0</v>
      </c>
      <c r="W18" s="383"/>
      <c r="X18" s="384"/>
      <c r="Y18" s="385">
        <f t="shared" si="7"/>
        <v>0</v>
      </c>
      <c r="Z18" s="383"/>
      <c r="AA18" s="384"/>
      <c r="AB18" s="385">
        <f t="shared" si="8"/>
        <v>0</v>
      </c>
      <c r="AC18" s="383"/>
      <c r="AD18" s="384"/>
      <c r="AE18" s="385">
        <f t="shared" si="9"/>
        <v>0</v>
      </c>
      <c r="AF18" s="383"/>
      <c r="AG18" s="384"/>
      <c r="AH18" s="385">
        <f t="shared" si="10"/>
        <v>0</v>
      </c>
      <c r="AI18" s="383"/>
      <c r="AJ18" s="384"/>
      <c r="AK18" s="385">
        <f t="shared" si="11"/>
        <v>0</v>
      </c>
      <c r="AL18" s="383"/>
      <c r="AM18" s="384"/>
      <c r="AN18" s="385">
        <f t="shared" si="12"/>
        <v>0</v>
      </c>
      <c r="AO18" s="383"/>
      <c r="AP18" s="384"/>
      <c r="AQ18" s="385">
        <f t="shared" si="13"/>
        <v>0</v>
      </c>
      <c r="AR18" s="383"/>
      <c r="AS18" s="384"/>
      <c r="AT18" s="385">
        <f t="shared" si="14"/>
        <v>0</v>
      </c>
      <c r="AU18" s="383"/>
      <c r="AV18" s="384"/>
      <c r="AW18" s="385">
        <f t="shared" si="15"/>
        <v>0</v>
      </c>
      <c r="AX18" s="383"/>
      <c r="AY18" s="384"/>
      <c r="AZ18" s="385">
        <f t="shared" si="16"/>
        <v>0</v>
      </c>
      <c r="BA18" s="383"/>
      <c r="BB18" s="384"/>
      <c r="BC18" s="385">
        <f t="shared" si="17"/>
        <v>0</v>
      </c>
      <c r="BD18" s="383"/>
      <c r="BE18" s="384"/>
      <c r="BF18" s="385">
        <f t="shared" si="18"/>
        <v>0</v>
      </c>
      <c r="BG18" s="383"/>
      <c r="BH18" s="384"/>
      <c r="BI18" s="385">
        <f t="shared" si="19"/>
        <v>0</v>
      </c>
      <c r="BJ18" s="383"/>
      <c r="BK18" s="384"/>
      <c r="BL18" s="385">
        <f t="shared" si="20"/>
        <v>0</v>
      </c>
      <c r="BM18" s="383"/>
      <c r="BN18" s="384"/>
      <c r="BO18" s="385">
        <f t="shared" si="21"/>
        <v>0</v>
      </c>
      <c r="BP18" s="383"/>
      <c r="BQ18" s="384"/>
      <c r="BR18" s="385">
        <f t="shared" si="22"/>
        <v>0</v>
      </c>
      <c r="BS18" s="383"/>
      <c r="BT18" s="384"/>
      <c r="BU18" s="385">
        <f t="shared" si="23"/>
        <v>0</v>
      </c>
      <c r="BV18" s="383"/>
      <c r="BW18" s="384"/>
      <c r="BX18" s="385">
        <f t="shared" si="24"/>
        <v>0</v>
      </c>
      <c r="BY18" s="383"/>
      <c r="BZ18" s="384"/>
      <c r="CA18" s="385">
        <f t="shared" si="25"/>
        <v>0</v>
      </c>
      <c r="CB18" s="383"/>
      <c r="CC18" s="384"/>
      <c r="CD18" s="385">
        <f t="shared" si="26"/>
        <v>0</v>
      </c>
      <c r="CE18" s="383"/>
      <c r="CF18" s="384"/>
      <c r="CG18" s="385">
        <f t="shared" si="27"/>
        <v>0</v>
      </c>
      <c r="CH18" s="383"/>
      <c r="CI18" s="384"/>
      <c r="CJ18" s="385">
        <f t="shared" si="28"/>
        <v>0</v>
      </c>
      <c r="CK18" s="383"/>
      <c r="CL18" s="384"/>
      <c r="CM18" s="385">
        <f t="shared" si="29"/>
        <v>0</v>
      </c>
      <c r="CN18" s="383"/>
      <c r="CO18" s="384"/>
      <c r="CP18" s="385">
        <f t="shared" si="30"/>
        <v>0</v>
      </c>
    </row>
    <row r="19" spans="1:94" ht="15.95" customHeight="1" x14ac:dyDescent="0.25">
      <c r="A19" s="386"/>
      <c r="B19" s="387"/>
      <c r="C19" s="388"/>
      <c r="D19" s="389">
        <f t="shared" si="0"/>
        <v>0</v>
      </c>
      <c r="E19" s="387"/>
      <c r="F19" s="388"/>
      <c r="G19" s="389">
        <f t="shared" si="1"/>
        <v>0</v>
      </c>
      <c r="H19" s="387"/>
      <c r="I19" s="388"/>
      <c r="J19" s="389">
        <f t="shared" si="2"/>
        <v>0</v>
      </c>
      <c r="K19" s="387"/>
      <c r="L19" s="388"/>
      <c r="M19" s="389">
        <f t="shared" si="3"/>
        <v>0</v>
      </c>
      <c r="N19" s="387"/>
      <c r="O19" s="388"/>
      <c r="P19" s="389">
        <f t="shared" si="4"/>
        <v>0</v>
      </c>
      <c r="Q19" s="387"/>
      <c r="R19" s="388"/>
      <c r="S19" s="389">
        <f t="shared" si="5"/>
        <v>0</v>
      </c>
      <c r="T19" s="387"/>
      <c r="U19" s="388"/>
      <c r="V19" s="389">
        <f t="shared" si="6"/>
        <v>0</v>
      </c>
      <c r="W19" s="387"/>
      <c r="X19" s="388"/>
      <c r="Y19" s="389">
        <f t="shared" si="7"/>
        <v>0</v>
      </c>
      <c r="Z19" s="387"/>
      <c r="AA19" s="388"/>
      <c r="AB19" s="389">
        <f t="shared" si="8"/>
        <v>0</v>
      </c>
      <c r="AC19" s="387"/>
      <c r="AD19" s="388"/>
      <c r="AE19" s="389">
        <f t="shared" si="9"/>
        <v>0</v>
      </c>
      <c r="AF19" s="387"/>
      <c r="AG19" s="388"/>
      <c r="AH19" s="389">
        <f t="shared" si="10"/>
        <v>0</v>
      </c>
      <c r="AI19" s="387"/>
      <c r="AJ19" s="388"/>
      <c r="AK19" s="389">
        <f t="shared" si="11"/>
        <v>0</v>
      </c>
      <c r="AL19" s="387"/>
      <c r="AM19" s="388"/>
      <c r="AN19" s="389">
        <f t="shared" si="12"/>
        <v>0</v>
      </c>
      <c r="AO19" s="387"/>
      <c r="AP19" s="388"/>
      <c r="AQ19" s="389">
        <f t="shared" si="13"/>
        <v>0</v>
      </c>
      <c r="AR19" s="387"/>
      <c r="AS19" s="388"/>
      <c r="AT19" s="389">
        <f t="shared" si="14"/>
        <v>0</v>
      </c>
      <c r="AU19" s="387"/>
      <c r="AV19" s="388"/>
      <c r="AW19" s="389">
        <f t="shared" si="15"/>
        <v>0</v>
      </c>
      <c r="AX19" s="387"/>
      <c r="AY19" s="388"/>
      <c r="AZ19" s="389">
        <f t="shared" si="16"/>
        <v>0</v>
      </c>
      <c r="BA19" s="387"/>
      <c r="BB19" s="388"/>
      <c r="BC19" s="389">
        <f t="shared" si="17"/>
        <v>0</v>
      </c>
      <c r="BD19" s="387"/>
      <c r="BE19" s="388"/>
      <c r="BF19" s="389">
        <f t="shared" si="18"/>
        <v>0</v>
      </c>
      <c r="BG19" s="387"/>
      <c r="BH19" s="388"/>
      <c r="BI19" s="389">
        <f t="shared" si="19"/>
        <v>0</v>
      </c>
      <c r="BJ19" s="387"/>
      <c r="BK19" s="388"/>
      <c r="BL19" s="389">
        <f t="shared" si="20"/>
        <v>0</v>
      </c>
      <c r="BM19" s="387"/>
      <c r="BN19" s="388"/>
      <c r="BO19" s="389">
        <f t="shared" si="21"/>
        <v>0</v>
      </c>
      <c r="BP19" s="387"/>
      <c r="BQ19" s="388"/>
      <c r="BR19" s="389">
        <f t="shared" si="22"/>
        <v>0</v>
      </c>
      <c r="BS19" s="387"/>
      <c r="BT19" s="388"/>
      <c r="BU19" s="389">
        <f t="shared" si="23"/>
        <v>0</v>
      </c>
      <c r="BV19" s="387"/>
      <c r="BW19" s="388"/>
      <c r="BX19" s="389">
        <f t="shared" si="24"/>
        <v>0</v>
      </c>
      <c r="BY19" s="387"/>
      <c r="BZ19" s="388"/>
      <c r="CA19" s="389">
        <f t="shared" si="25"/>
        <v>0</v>
      </c>
      <c r="CB19" s="387"/>
      <c r="CC19" s="388"/>
      <c r="CD19" s="389">
        <f t="shared" si="26"/>
        <v>0</v>
      </c>
      <c r="CE19" s="387"/>
      <c r="CF19" s="388"/>
      <c r="CG19" s="389">
        <f t="shared" si="27"/>
        <v>0</v>
      </c>
      <c r="CH19" s="387"/>
      <c r="CI19" s="388"/>
      <c r="CJ19" s="389">
        <f t="shared" si="28"/>
        <v>0</v>
      </c>
      <c r="CK19" s="387"/>
      <c r="CL19" s="388"/>
      <c r="CM19" s="389">
        <f t="shared" si="29"/>
        <v>0</v>
      </c>
      <c r="CN19" s="387"/>
      <c r="CO19" s="388"/>
      <c r="CP19" s="389">
        <f t="shared" si="30"/>
        <v>0</v>
      </c>
    </row>
    <row r="20" spans="1:94" ht="15.95" customHeight="1" x14ac:dyDescent="0.25">
      <c r="A20" s="386"/>
      <c r="B20" s="387"/>
      <c r="C20" s="388"/>
      <c r="D20" s="389">
        <f t="shared" si="0"/>
        <v>0</v>
      </c>
      <c r="E20" s="387"/>
      <c r="F20" s="388"/>
      <c r="G20" s="389">
        <f t="shared" si="1"/>
        <v>0</v>
      </c>
      <c r="H20" s="387"/>
      <c r="I20" s="388"/>
      <c r="J20" s="389">
        <f t="shared" si="2"/>
        <v>0</v>
      </c>
      <c r="K20" s="387"/>
      <c r="L20" s="388"/>
      <c r="M20" s="389">
        <f t="shared" si="3"/>
        <v>0</v>
      </c>
      <c r="N20" s="387"/>
      <c r="O20" s="388"/>
      <c r="P20" s="389">
        <f t="shared" si="4"/>
        <v>0</v>
      </c>
      <c r="Q20" s="387"/>
      <c r="R20" s="388"/>
      <c r="S20" s="389">
        <f t="shared" si="5"/>
        <v>0</v>
      </c>
      <c r="T20" s="387"/>
      <c r="U20" s="388"/>
      <c r="V20" s="389">
        <f t="shared" si="6"/>
        <v>0</v>
      </c>
      <c r="W20" s="387"/>
      <c r="X20" s="388"/>
      <c r="Y20" s="389">
        <f t="shared" si="7"/>
        <v>0</v>
      </c>
      <c r="Z20" s="387"/>
      <c r="AA20" s="388"/>
      <c r="AB20" s="389">
        <f t="shared" si="8"/>
        <v>0</v>
      </c>
      <c r="AC20" s="387"/>
      <c r="AD20" s="388"/>
      <c r="AE20" s="389">
        <f t="shared" si="9"/>
        <v>0</v>
      </c>
      <c r="AF20" s="387"/>
      <c r="AG20" s="388"/>
      <c r="AH20" s="389">
        <f t="shared" si="10"/>
        <v>0</v>
      </c>
      <c r="AI20" s="387"/>
      <c r="AJ20" s="388"/>
      <c r="AK20" s="389">
        <f t="shared" si="11"/>
        <v>0</v>
      </c>
      <c r="AL20" s="387"/>
      <c r="AM20" s="388"/>
      <c r="AN20" s="389">
        <f t="shared" si="12"/>
        <v>0</v>
      </c>
      <c r="AO20" s="387"/>
      <c r="AP20" s="388"/>
      <c r="AQ20" s="389">
        <f t="shared" si="13"/>
        <v>0</v>
      </c>
      <c r="AR20" s="387"/>
      <c r="AS20" s="388"/>
      <c r="AT20" s="389">
        <f t="shared" si="14"/>
        <v>0</v>
      </c>
      <c r="AU20" s="387"/>
      <c r="AV20" s="388"/>
      <c r="AW20" s="389">
        <f t="shared" si="15"/>
        <v>0</v>
      </c>
      <c r="AX20" s="387"/>
      <c r="AY20" s="388"/>
      <c r="AZ20" s="389">
        <f t="shared" si="16"/>
        <v>0</v>
      </c>
      <c r="BA20" s="387"/>
      <c r="BB20" s="388"/>
      <c r="BC20" s="389">
        <f t="shared" si="17"/>
        <v>0</v>
      </c>
      <c r="BD20" s="387"/>
      <c r="BE20" s="388"/>
      <c r="BF20" s="389">
        <f t="shared" si="18"/>
        <v>0</v>
      </c>
      <c r="BG20" s="387"/>
      <c r="BH20" s="388"/>
      <c r="BI20" s="389">
        <f t="shared" si="19"/>
        <v>0</v>
      </c>
      <c r="BJ20" s="387"/>
      <c r="BK20" s="388"/>
      <c r="BL20" s="389">
        <f t="shared" si="20"/>
        <v>0</v>
      </c>
      <c r="BM20" s="387"/>
      <c r="BN20" s="388"/>
      <c r="BO20" s="389">
        <f t="shared" si="21"/>
        <v>0</v>
      </c>
      <c r="BP20" s="387"/>
      <c r="BQ20" s="388"/>
      <c r="BR20" s="389">
        <f t="shared" si="22"/>
        <v>0</v>
      </c>
      <c r="BS20" s="387"/>
      <c r="BT20" s="388"/>
      <c r="BU20" s="389">
        <f t="shared" si="23"/>
        <v>0</v>
      </c>
      <c r="BV20" s="387"/>
      <c r="BW20" s="388"/>
      <c r="BX20" s="389">
        <f t="shared" si="24"/>
        <v>0</v>
      </c>
      <c r="BY20" s="387"/>
      <c r="BZ20" s="388"/>
      <c r="CA20" s="389">
        <f t="shared" si="25"/>
        <v>0</v>
      </c>
      <c r="CB20" s="387"/>
      <c r="CC20" s="388"/>
      <c r="CD20" s="389">
        <f t="shared" si="26"/>
        <v>0</v>
      </c>
      <c r="CE20" s="387"/>
      <c r="CF20" s="388"/>
      <c r="CG20" s="389">
        <f t="shared" si="27"/>
        <v>0</v>
      </c>
      <c r="CH20" s="387"/>
      <c r="CI20" s="388"/>
      <c r="CJ20" s="389">
        <f t="shared" si="28"/>
        <v>0</v>
      </c>
      <c r="CK20" s="387"/>
      <c r="CL20" s="388"/>
      <c r="CM20" s="389">
        <f t="shared" si="29"/>
        <v>0</v>
      </c>
      <c r="CN20" s="387"/>
      <c r="CO20" s="388"/>
      <c r="CP20" s="389">
        <f t="shared" si="30"/>
        <v>0</v>
      </c>
    </row>
    <row r="21" spans="1:94" ht="15.95" customHeight="1" x14ac:dyDescent="0.25">
      <c r="A21" s="386"/>
      <c r="B21" s="387"/>
      <c r="C21" s="388"/>
      <c r="D21" s="389">
        <f t="shared" si="0"/>
        <v>0</v>
      </c>
      <c r="E21" s="387"/>
      <c r="F21" s="388"/>
      <c r="G21" s="389">
        <f t="shared" si="1"/>
        <v>0</v>
      </c>
      <c r="H21" s="387"/>
      <c r="I21" s="388"/>
      <c r="J21" s="389">
        <f t="shared" si="2"/>
        <v>0</v>
      </c>
      <c r="K21" s="387"/>
      <c r="L21" s="388"/>
      <c r="M21" s="389">
        <f t="shared" si="3"/>
        <v>0</v>
      </c>
      <c r="N21" s="387"/>
      <c r="O21" s="388"/>
      <c r="P21" s="389">
        <f t="shared" si="4"/>
        <v>0</v>
      </c>
      <c r="Q21" s="387"/>
      <c r="R21" s="388"/>
      <c r="S21" s="389">
        <f t="shared" si="5"/>
        <v>0</v>
      </c>
      <c r="T21" s="387"/>
      <c r="U21" s="388"/>
      <c r="V21" s="389">
        <f t="shared" si="6"/>
        <v>0</v>
      </c>
      <c r="W21" s="387"/>
      <c r="X21" s="388"/>
      <c r="Y21" s="389">
        <f t="shared" si="7"/>
        <v>0</v>
      </c>
      <c r="Z21" s="387"/>
      <c r="AA21" s="388"/>
      <c r="AB21" s="389">
        <f t="shared" si="8"/>
        <v>0</v>
      </c>
      <c r="AC21" s="387"/>
      <c r="AD21" s="388"/>
      <c r="AE21" s="389">
        <f t="shared" si="9"/>
        <v>0</v>
      </c>
      <c r="AF21" s="387"/>
      <c r="AG21" s="388"/>
      <c r="AH21" s="389">
        <f t="shared" si="10"/>
        <v>0</v>
      </c>
      <c r="AI21" s="387"/>
      <c r="AJ21" s="388"/>
      <c r="AK21" s="389">
        <f t="shared" si="11"/>
        <v>0</v>
      </c>
      <c r="AL21" s="387"/>
      <c r="AM21" s="388"/>
      <c r="AN21" s="389">
        <f t="shared" si="12"/>
        <v>0</v>
      </c>
      <c r="AO21" s="387"/>
      <c r="AP21" s="388"/>
      <c r="AQ21" s="389">
        <f t="shared" si="13"/>
        <v>0</v>
      </c>
      <c r="AR21" s="387"/>
      <c r="AS21" s="388"/>
      <c r="AT21" s="389">
        <f t="shared" si="14"/>
        <v>0</v>
      </c>
      <c r="AU21" s="387"/>
      <c r="AV21" s="388"/>
      <c r="AW21" s="389">
        <f t="shared" si="15"/>
        <v>0</v>
      </c>
      <c r="AX21" s="387"/>
      <c r="AY21" s="388"/>
      <c r="AZ21" s="389">
        <f t="shared" si="16"/>
        <v>0</v>
      </c>
      <c r="BA21" s="387"/>
      <c r="BB21" s="388"/>
      <c r="BC21" s="389">
        <f t="shared" si="17"/>
        <v>0</v>
      </c>
      <c r="BD21" s="387"/>
      <c r="BE21" s="388"/>
      <c r="BF21" s="389">
        <f t="shared" si="18"/>
        <v>0</v>
      </c>
      <c r="BG21" s="387"/>
      <c r="BH21" s="388"/>
      <c r="BI21" s="389">
        <f t="shared" si="19"/>
        <v>0</v>
      </c>
      <c r="BJ21" s="387"/>
      <c r="BK21" s="388"/>
      <c r="BL21" s="389">
        <f t="shared" si="20"/>
        <v>0</v>
      </c>
      <c r="BM21" s="387"/>
      <c r="BN21" s="388"/>
      <c r="BO21" s="389">
        <f t="shared" si="21"/>
        <v>0</v>
      </c>
      <c r="BP21" s="387"/>
      <c r="BQ21" s="388"/>
      <c r="BR21" s="389">
        <f t="shared" si="22"/>
        <v>0</v>
      </c>
      <c r="BS21" s="387"/>
      <c r="BT21" s="388"/>
      <c r="BU21" s="389">
        <f t="shared" si="23"/>
        <v>0</v>
      </c>
      <c r="BV21" s="387"/>
      <c r="BW21" s="388"/>
      <c r="BX21" s="389">
        <f t="shared" si="24"/>
        <v>0</v>
      </c>
      <c r="BY21" s="387"/>
      <c r="BZ21" s="388"/>
      <c r="CA21" s="389">
        <f t="shared" si="25"/>
        <v>0</v>
      </c>
      <c r="CB21" s="387"/>
      <c r="CC21" s="388"/>
      <c r="CD21" s="389">
        <f t="shared" si="26"/>
        <v>0</v>
      </c>
      <c r="CE21" s="387"/>
      <c r="CF21" s="388"/>
      <c r="CG21" s="389">
        <f t="shared" si="27"/>
        <v>0</v>
      </c>
      <c r="CH21" s="387"/>
      <c r="CI21" s="388"/>
      <c r="CJ21" s="389">
        <f t="shared" si="28"/>
        <v>0</v>
      </c>
      <c r="CK21" s="387"/>
      <c r="CL21" s="388"/>
      <c r="CM21" s="389">
        <f t="shared" si="29"/>
        <v>0</v>
      </c>
      <c r="CN21" s="387"/>
      <c r="CO21" s="388"/>
      <c r="CP21" s="389">
        <f t="shared" si="30"/>
        <v>0</v>
      </c>
    </row>
    <row r="22" spans="1:94" ht="15.95" customHeight="1" x14ac:dyDescent="0.25">
      <c r="A22" s="386"/>
      <c r="B22" s="387"/>
      <c r="C22" s="388"/>
      <c r="D22" s="389">
        <f t="shared" si="0"/>
        <v>0</v>
      </c>
      <c r="E22" s="387"/>
      <c r="F22" s="388"/>
      <c r="G22" s="389">
        <f t="shared" si="1"/>
        <v>0</v>
      </c>
      <c r="H22" s="387"/>
      <c r="I22" s="388"/>
      <c r="J22" s="389">
        <f t="shared" si="2"/>
        <v>0</v>
      </c>
      <c r="K22" s="387"/>
      <c r="L22" s="388"/>
      <c r="M22" s="389">
        <f t="shared" si="3"/>
        <v>0</v>
      </c>
      <c r="N22" s="387"/>
      <c r="O22" s="388"/>
      <c r="P22" s="389">
        <f t="shared" si="4"/>
        <v>0</v>
      </c>
      <c r="Q22" s="387"/>
      <c r="R22" s="388"/>
      <c r="S22" s="389">
        <f t="shared" si="5"/>
        <v>0</v>
      </c>
      <c r="T22" s="387"/>
      <c r="U22" s="388"/>
      <c r="V22" s="389">
        <f t="shared" si="6"/>
        <v>0</v>
      </c>
      <c r="W22" s="387"/>
      <c r="X22" s="388"/>
      <c r="Y22" s="389">
        <f t="shared" si="7"/>
        <v>0</v>
      </c>
      <c r="Z22" s="387"/>
      <c r="AA22" s="388"/>
      <c r="AB22" s="389">
        <f t="shared" si="8"/>
        <v>0</v>
      </c>
      <c r="AC22" s="387"/>
      <c r="AD22" s="388"/>
      <c r="AE22" s="389">
        <f t="shared" si="9"/>
        <v>0</v>
      </c>
      <c r="AF22" s="387"/>
      <c r="AG22" s="388"/>
      <c r="AH22" s="389">
        <f t="shared" si="10"/>
        <v>0</v>
      </c>
      <c r="AI22" s="387"/>
      <c r="AJ22" s="388"/>
      <c r="AK22" s="389">
        <f t="shared" si="11"/>
        <v>0</v>
      </c>
      <c r="AL22" s="387"/>
      <c r="AM22" s="388"/>
      <c r="AN22" s="389">
        <f t="shared" si="12"/>
        <v>0</v>
      </c>
      <c r="AO22" s="387"/>
      <c r="AP22" s="388"/>
      <c r="AQ22" s="389">
        <f t="shared" si="13"/>
        <v>0</v>
      </c>
      <c r="AR22" s="387"/>
      <c r="AS22" s="388"/>
      <c r="AT22" s="389">
        <f t="shared" si="14"/>
        <v>0</v>
      </c>
      <c r="AU22" s="387"/>
      <c r="AV22" s="388"/>
      <c r="AW22" s="389">
        <f t="shared" si="15"/>
        <v>0</v>
      </c>
      <c r="AX22" s="387"/>
      <c r="AY22" s="388"/>
      <c r="AZ22" s="389">
        <f t="shared" si="16"/>
        <v>0</v>
      </c>
      <c r="BA22" s="387"/>
      <c r="BB22" s="388"/>
      <c r="BC22" s="389">
        <f t="shared" si="17"/>
        <v>0</v>
      </c>
      <c r="BD22" s="387"/>
      <c r="BE22" s="388"/>
      <c r="BF22" s="389">
        <f t="shared" si="18"/>
        <v>0</v>
      </c>
      <c r="BG22" s="387"/>
      <c r="BH22" s="388"/>
      <c r="BI22" s="389">
        <f t="shared" si="19"/>
        <v>0</v>
      </c>
      <c r="BJ22" s="387"/>
      <c r="BK22" s="388"/>
      <c r="BL22" s="389">
        <f t="shared" si="20"/>
        <v>0</v>
      </c>
      <c r="BM22" s="387"/>
      <c r="BN22" s="388"/>
      <c r="BO22" s="389">
        <f t="shared" si="21"/>
        <v>0</v>
      </c>
      <c r="BP22" s="387"/>
      <c r="BQ22" s="388"/>
      <c r="BR22" s="389">
        <f t="shared" si="22"/>
        <v>0</v>
      </c>
      <c r="BS22" s="387"/>
      <c r="BT22" s="388"/>
      <c r="BU22" s="389">
        <f t="shared" si="23"/>
        <v>0</v>
      </c>
      <c r="BV22" s="387"/>
      <c r="BW22" s="388"/>
      <c r="BX22" s="389">
        <f t="shared" si="24"/>
        <v>0</v>
      </c>
      <c r="BY22" s="387"/>
      <c r="BZ22" s="388"/>
      <c r="CA22" s="389">
        <f t="shared" si="25"/>
        <v>0</v>
      </c>
      <c r="CB22" s="387"/>
      <c r="CC22" s="388"/>
      <c r="CD22" s="389">
        <f t="shared" si="26"/>
        <v>0</v>
      </c>
      <c r="CE22" s="387"/>
      <c r="CF22" s="388"/>
      <c r="CG22" s="389">
        <f t="shared" si="27"/>
        <v>0</v>
      </c>
      <c r="CH22" s="387"/>
      <c r="CI22" s="388"/>
      <c r="CJ22" s="389">
        <f t="shared" si="28"/>
        <v>0</v>
      </c>
      <c r="CK22" s="387"/>
      <c r="CL22" s="388"/>
      <c r="CM22" s="389">
        <f t="shared" si="29"/>
        <v>0</v>
      </c>
      <c r="CN22" s="387"/>
      <c r="CO22" s="388"/>
      <c r="CP22" s="389">
        <f t="shared" si="30"/>
        <v>0</v>
      </c>
    </row>
    <row r="23" spans="1:94" ht="15.95" customHeight="1" x14ac:dyDescent="0.25">
      <c r="A23" s="386"/>
      <c r="B23" s="387"/>
      <c r="C23" s="388"/>
      <c r="D23" s="389">
        <f t="shared" si="0"/>
        <v>0</v>
      </c>
      <c r="E23" s="387"/>
      <c r="F23" s="388"/>
      <c r="G23" s="389">
        <f t="shared" si="1"/>
        <v>0</v>
      </c>
      <c r="H23" s="387"/>
      <c r="I23" s="388"/>
      <c r="J23" s="389">
        <f t="shared" si="2"/>
        <v>0</v>
      </c>
      <c r="K23" s="387"/>
      <c r="L23" s="388"/>
      <c r="M23" s="389">
        <f t="shared" si="3"/>
        <v>0</v>
      </c>
      <c r="N23" s="387"/>
      <c r="O23" s="388"/>
      <c r="P23" s="389">
        <f t="shared" si="4"/>
        <v>0</v>
      </c>
      <c r="Q23" s="387"/>
      <c r="R23" s="388"/>
      <c r="S23" s="389">
        <f t="shared" si="5"/>
        <v>0</v>
      </c>
      <c r="T23" s="387"/>
      <c r="U23" s="388"/>
      <c r="V23" s="389">
        <f t="shared" si="6"/>
        <v>0</v>
      </c>
      <c r="W23" s="387"/>
      <c r="X23" s="388"/>
      <c r="Y23" s="389">
        <f t="shared" si="7"/>
        <v>0</v>
      </c>
      <c r="Z23" s="387"/>
      <c r="AA23" s="388"/>
      <c r="AB23" s="389">
        <f t="shared" si="8"/>
        <v>0</v>
      </c>
      <c r="AC23" s="387"/>
      <c r="AD23" s="388"/>
      <c r="AE23" s="389">
        <f t="shared" si="9"/>
        <v>0</v>
      </c>
      <c r="AF23" s="387"/>
      <c r="AG23" s="388"/>
      <c r="AH23" s="389">
        <f t="shared" si="10"/>
        <v>0</v>
      </c>
      <c r="AI23" s="387"/>
      <c r="AJ23" s="388"/>
      <c r="AK23" s="389">
        <f t="shared" si="11"/>
        <v>0</v>
      </c>
      <c r="AL23" s="387"/>
      <c r="AM23" s="388"/>
      <c r="AN23" s="389">
        <f t="shared" si="12"/>
        <v>0</v>
      </c>
      <c r="AO23" s="387"/>
      <c r="AP23" s="388"/>
      <c r="AQ23" s="389">
        <f t="shared" si="13"/>
        <v>0</v>
      </c>
      <c r="AR23" s="387"/>
      <c r="AS23" s="388"/>
      <c r="AT23" s="389">
        <f t="shared" si="14"/>
        <v>0</v>
      </c>
      <c r="AU23" s="387"/>
      <c r="AV23" s="388"/>
      <c r="AW23" s="389">
        <f t="shared" si="15"/>
        <v>0</v>
      </c>
      <c r="AX23" s="387"/>
      <c r="AY23" s="388"/>
      <c r="AZ23" s="389">
        <f t="shared" si="16"/>
        <v>0</v>
      </c>
      <c r="BA23" s="387"/>
      <c r="BB23" s="388"/>
      <c r="BC23" s="389">
        <f t="shared" si="17"/>
        <v>0</v>
      </c>
      <c r="BD23" s="387"/>
      <c r="BE23" s="388"/>
      <c r="BF23" s="389">
        <f t="shared" si="18"/>
        <v>0</v>
      </c>
      <c r="BG23" s="387"/>
      <c r="BH23" s="388"/>
      <c r="BI23" s="389">
        <f t="shared" si="19"/>
        <v>0</v>
      </c>
      <c r="BJ23" s="387"/>
      <c r="BK23" s="388"/>
      <c r="BL23" s="389">
        <f t="shared" si="20"/>
        <v>0</v>
      </c>
      <c r="BM23" s="387"/>
      <c r="BN23" s="388"/>
      <c r="BO23" s="389">
        <f t="shared" si="21"/>
        <v>0</v>
      </c>
      <c r="BP23" s="387"/>
      <c r="BQ23" s="388"/>
      <c r="BR23" s="389">
        <f t="shared" si="22"/>
        <v>0</v>
      </c>
      <c r="BS23" s="387"/>
      <c r="BT23" s="388"/>
      <c r="BU23" s="389">
        <f t="shared" si="23"/>
        <v>0</v>
      </c>
      <c r="BV23" s="387"/>
      <c r="BW23" s="388"/>
      <c r="BX23" s="389">
        <f t="shared" si="24"/>
        <v>0</v>
      </c>
      <c r="BY23" s="387"/>
      <c r="BZ23" s="388"/>
      <c r="CA23" s="389">
        <f t="shared" si="25"/>
        <v>0</v>
      </c>
      <c r="CB23" s="387"/>
      <c r="CC23" s="388"/>
      <c r="CD23" s="389">
        <f t="shared" si="26"/>
        <v>0</v>
      </c>
      <c r="CE23" s="387"/>
      <c r="CF23" s="388"/>
      <c r="CG23" s="389">
        <f t="shared" si="27"/>
        <v>0</v>
      </c>
      <c r="CH23" s="387"/>
      <c r="CI23" s="388"/>
      <c r="CJ23" s="389">
        <f t="shared" si="28"/>
        <v>0</v>
      </c>
      <c r="CK23" s="387"/>
      <c r="CL23" s="388"/>
      <c r="CM23" s="389">
        <f t="shared" si="29"/>
        <v>0</v>
      </c>
      <c r="CN23" s="387"/>
      <c r="CO23" s="388"/>
      <c r="CP23" s="389">
        <f t="shared" si="30"/>
        <v>0</v>
      </c>
    </row>
    <row r="24" spans="1:94" ht="15.95" customHeight="1" x14ac:dyDescent="0.25">
      <c r="A24" s="386"/>
      <c r="B24" s="387"/>
      <c r="C24" s="388"/>
      <c r="D24" s="389">
        <f t="shared" si="0"/>
        <v>0</v>
      </c>
      <c r="E24" s="387"/>
      <c r="F24" s="388"/>
      <c r="G24" s="389">
        <f t="shared" si="1"/>
        <v>0</v>
      </c>
      <c r="H24" s="387"/>
      <c r="I24" s="388"/>
      <c r="J24" s="389">
        <f t="shared" si="2"/>
        <v>0</v>
      </c>
      <c r="K24" s="387"/>
      <c r="L24" s="388"/>
      <c r="M24" s="389">
        <f t="shared" si="3"/>
        <v>0</v>
      </c>
      <c r="N24" s="387"/>
      <c r="O24" s="388"/>
      <c r="P24" s="389">
        <f t="shared" si="4"/>
        <v>0</v>
      </c>
      <c r="Q24" s="387"/>
      <c r="R24" s="388"/>
      <c r="S24" s="389">
        <f t="shared" si="5"/>
        <v>0</v>
      </c>
      <c r="T24" s="387"/>
      <c r="U24" s="388"/>
      <c r="V24" s="389">
        <f t="shared" si="6"/>
        <v>0</v>
      </c>
      <c r="W24" s="387"/>
      <c r="X24" s="388"/>
      <c r="Y24" s="389">
        <f t="shared" si="7"/>
        <v>0</v>
      </c>
      <c r="Z24" s="387"/>
      <c r="AA24" s="388"/>
      <c r="AB24" s="389">
        <f t="shared" si="8"/>
        <v>0</v>
      </c>
      <c r="AC24" s="387"/>
      <c r="AD24" s="388"/>
      <c r="AE24" s="389">
        <f t="shared" si="9"/>
        <v>0</v>
      </c>
      <c r="AF24" s="387"/>
      <c r="AG24" s="388"/>
      <c r="AH24" s="389">
        <f t="shared" si="10"/>
        <v>0</v>
      </c>
      <c r="AI24" s="387"/>
      <c r="AJ24" s="388"/>
      <c r="AK24" s="389">
        <f t="shared" si="11"/>
        <v>0</v>
      </c>
      <c r="AL24" s="387"/>
      <c r="AM24" s="388"/>
      <c r="AN24" s="389">
        <f t="shared" si="12"/>
        <v>0</v>
      </c>
      <c r="AO24" s="387"/>
      <c r="AP24" s="388"/>
      <c r="AQ24" s="389">
        <f t="shared" si="13"/>
        <v>0</v>
      </c>
      <c r="AR24" s="387"/>
      <c r="AS24" s="388"/>
      <c r="AT24" s="389">
        <f t="shared" si="14"/>
        <v>0</v>
      </c>
      <c r="AU24" s="387"/>
      <c r="AV24" s="388"/>
      <c r="AW24" s="389">
        <f t="shared" si="15"/>
        <v>0</v>
      </c>
      <c r="AX24" s="387"/>
      <c r="AY24" s="388"/>
      <c r="AZ24" s="389">
        <f t="shared" si="16"/>
        <v>0</v>
      </c>
      <c r="BA24" s="387"/>
      <c r="BB24" s="388"/>
      <c r="BC24" s="389">
        <f t="shared" si="17"/>
        <v>0</v>
      </c>
      <c r="BD24" s="387"/>
      <c r="BE24" s="388"/>
      <c r="BF24" s="389">
        <f t="shared" si="18"/>
        <v>0</v>
      </c>
      <c r="BG24" s="387"/>
      <c r="BH24" s="388"/>
      <c r="BI24" s="389">
        <f t="shared" si="19"/>
        <v>0</v>
      </c>
      <c r="BJ24" s="387"/>
      <c r="BK24" s="388"/>
      <c r="BL24" s="389">
        <f t="shared" si="20"/>
        <v>0</v>
      </c>
      <c r="BM24" s="387"/>
      <c r="BN24" s="388"/>
      <c r="BO24" s="389">
        <f t="shared" si="21"/>
        <v>0</v>
      </c>
      <c r="BP24" s="387"/>
      <c r="BQ24" s="388"/>
      <c r="BR24" s="389">
        <f t="shared" si="22"/>
        <v>0</v>
      </c>
      <c r="BS24" s="387"/>
      <c r="BT24" s="388"/>
      <c r="BU24" s="389">
        <f t="shared" si="23"/>
        <v>0</v>
      </c>
      <c r="BV24" s="387"/>
      <c r="BW24" s="388"/>
      <c r="BX24" s="389">
        <f t="shared" si="24"/>
        <v>0</v>
      </c>
      <c r="BY24" s="387"/>
      <c r="BZ24" s="388"/>
      <c r="CA24" s="389">
        <f t="shared" si="25"/>
        <v>0</v>
      </c>
      <c r="CB24" s="387"/>
      <c r="CC24" s="388"/>
      <c r="CD24" s="389">
        <f t="shared" si="26"/>
        <v>0</v>
      </c>
      <c r="CE24" s="387"/>
      <c r="CF24" s="388"/>
      <c r="CG24" s="389">
        <f t="shared" si="27"/>
        <v>0</v>
      </c>
      <c r="CH24" s="387"/>
      <c r="CI24" s="388"/>
      <c r="CJ24" s="389">
        <f t="shared" si="28"/>
        <v>0</v>
      </c>
      <c r="CK24" s="387"/>
      <c r="CL24" s="388"/>
      <c r="CM24" s="389">
        <f t="shared" si="29"/>
        <v>0</v>
      </c>
      <c r="CN24" s="387"/>
      <c r="CO24" s="388"/>
      <c r="CP24" s="389">
        <f t="shared" si="30"/>
        <v>0</v>
      </c>
    </row>
    <row r="25" spans="1:94" ht="15.95" customHeight="1" x14ac:dyDescent="0.25">
      <c r="A25" s="386"/>
      <c r="B25" s="387"/>
      <c r="C25" s="388"/>
      <c r="D25" s="389">
        <f t="shared" si="0"/>
        <v>0</v>
      </c>
      <c r="E25" s="387"/>
      <c r="F25" s="388"/>
      <c r="G25" s="389">
        <f t="shared" si="1"/>
        <v>0</v>
      </c>
      <c r="H25" s="387"/>
      <c r="I25" s="388"/>
      <c r="J25" s="389">
        <f t="shared" si="2"/>
        <v>0</v>
      </c>
      <c r="K25" s="387"/>
      <c r="L25" s="388"/>
      <c r="M25" s="389">
        <f t="shared" si="3"/>
        <v>0</v>
      </c>
      <c r="N25" s="387"/>
      <c r="O25" s="388"/>
      <c r="P25" s="389">
        <f t="shared" si="4"/>
        <v>0</v>
      </c>
      <c r="Q25" s="387"/>
      <c r="R25" s="388"/>
      <c r="S25" s="389">
        <f t="shared" si="5"/>
        <v>0</v>
      </c>
      <c r="T25" s="387"/>
      <c r="U25" s="388"/>
      <c r="V25" s="389">
        <f t="shared" si="6"/>
        <v>0</v>
      </c>
      <c r="W25" s="387"/>
      <c r="X25" s="388"/>
      <c r="Y25" s="389">
        <f t="shared" si="7"/>
        <v>0</v>
      </c>
      <c r="Z25" s="387"/>
      <c r="AA25" s="388"/>
      <c r="AB25" s="389">
        <f t="shared" si="8"/>
        <v>0</v>
      </c>
      <c r="AC25" s="387"/>
      <c r="AD25" s="388"/>
      <c r="AE25" s="389">
        <f t="shared" si="9"/>
        <v>0</v>
      </c>
      <c r="AF25" s="387"/>
      <c r="AG25" s="388"/>
      <c r="AH25" s="389">
        <f t="shared" si="10"/>
        <v>0</v>
      </c>
      <c r="AI25" s="387"/>
      <c r="AJ25" s="388"/>
      <c r="AK25" s="389">
        <f t="shared" si="11"/>
        <v>0</v>
      </c>
      <c r="AL25" s="387"/>
      <c r="AM25" s="388"/>
      <c r="AN25" s="389">
        <f t="shared" si="12"/>
        <v>0</v>
      </c>
      <c r="AO25" s="387"/>
      <c r="AP25" s="388"/>
      <c r="AQ25" s="389">
        <f t="shared" si="13"/>
        <v>0</v>
      </c>
      <c r="AR25" s="387"/>
      <c r="AS25" s="388"/>
      <c r="AT25" s="389">
        <f t="shared" si="14"/>
        <v>0</v>
      </c>
      <c r="AU25" s="387"/>
      <c r="AV25" s="388"/>
      <c r="AW25" s="389">
        <f t="shared" si="15"/>
        <v>0</v>
      </c>
      <c r="AX25" s="387"/>
      <c r="AY25" s="388"/>
      <c r="AZ25" s="389">
        <f t="shared" si="16"/>
        <v>0</v>
      </c>
      <c r="BA25" s="387"/>
      <c r="BB25" s="388"/>
      <c r="BC25" s="389">
        <f t="shared" si="17"/>
        <v>0</v>
      </c>
      <c r="BD25" s="387"/>
      <c r="BE25" s="388"/>
      <c r="BF25" s="389">
        <f t="shared" si="18"/>
        <v>0</v>
      </c>
      <c r="BG25" s="387"/>
      <c r="BH25" s="388"/>
      <c r="BI25" s="389">
        <f t="shared" si="19"/>
        <v>0</v>
      </c>
      <c r="BJ25" s="387"/>
      <c r="BK25" s="388"/>
      <c r="BL25" s="389">
        <f t="shared" si="20"/>
        <v>0</v>
      </c>
      <c r="BM25" s="387"/>
      <c r="BN25" s="388"/>
      <c r="BO25" s="389">
        <f t="shared" si="21"/>
        <v>0</v>
      </c>
      <c r="BP25" s="387"/>
      <c r="BQ25" s="388"/>
      <c r="BR25" s="389">
        <f t="shared" si="22"/>
        <v>0</v>
      </c>
      <c r="BS25" s="387"/>
      <c r="BT25" s="388"/>
      <c r="BU25" s="389">
        <f t="shared" si="23"/>
        <v>0</v>
      </c>
      <c r="BV25" s="387"/>
      <c r="BW25" s="388"/>
      <c r="BX25" s="389">
        <f t="shared" si="24"/>
        <v>0</v>
      </c>
      <c r="BY25" s="387"/>
      <c r="BZ25" s="388"/>
      <c r="CA25" s="389">
        <f t="shared" si="25"/>
        <v>0</v>
      </c>
      <c r="CB25" s="387"/>
      <c r="CC25" s="388"/>
      <c r="CD25" s="389">
        <f t="shared" si="26"/>
        <v>0</v>
      </c>
      <c r="CE25" s="387"/>
      <c r="CF25" s="388"/>
      <c r="CG25" s="389">
        <f t="shared" si="27"/>
        <v>0</v>
      </c>
      <c r="CH25" s="387"/>
      <c r="CI25" s="388"/>
      <c r="CJ25" s="389">
        <f t="shared" si="28"/>
        <v>0</v>
      </c>
      <c r="CK25" s="387"/>
      <c r="CL25" s="388"/>
      <c r="CM25" s="389">
        <f t="shared" si="29"/>
        <v>0</v>
      </c>
      <c r="CN25" s="387"/>
      <c r="CO25" s="388"/>
      <c r="CP25" s="389">
        <f t="shared" si="30"/>
        <v>0</v>
      </c>
    </row>
    <row r="26" spans="1:94" ht="15.95" customHeight="1" x14ac:dyDescent="0.25">
      <c r="A26" s="386"/>
      <c r="B26" s="387"/>
      <c r="C26" s="388"/>
      <c r="D26" s="389">
        <f t="shared" si="0"/>
        <v>0</v>
      </c>
      <c r="E26" s="387"/>
      <c r="F26" s="388"/>
      <c r="G26" s="389">
        <f t="shared" si="1"/>
        <v>0</v>
      </c>
      <c r="H26" s="387"/>
      <c r="I26" s="388"/>
      <c r="J26" s="389">
        <f t="shared" si="2"/>
        <v>0</v>
      </c>
      <c r="K26" s="387"/>
      <c r="L26" s="388"/>
      <c r="M26" s="389">
        <f t="shared" si="3"/>
        <v>0</v>
      </c>
      <c r="N26" s="387"/>
      <c r="O26" s="388"/>
      <c r="P26" s="389">
        <f t="shared" si="4"/>
        <v>0</v>
      </c>
      <c r="Q26" s="387"/>
      <c r="R26" s="388"/>
      <c r="S26" s="389">
        <f t="shared" si="5"/>
        <v>0</v>
      </c>
      <c r="T26" s="387"/>
      <c r="U26" s="388"/>
      <c r="V26" s="389">
        <f t="shared" si="6"/>
        <v>0</v>
      </c>
      <c r="W26" s="387"/>
      <c r="X26" s="388"/>
      <c r="Y26" s="389">
        <f t="shared" si="7"/>
        <v>0</v>
      </c>
      <c r="Z26" s="387"/>
      <c r="AA26" s="388"/>
      <c r="AB26" s="389">
        <f t="shared" si="8"/>
        <v>0</v>
      </c>
      <c r="AC26" s="387"/>
      <c r="AD26" s="388"/>
      <c r="AE26" s="389">
        <f t="shared" si="9"/>
        <v>0</v>
      </c>
      <c r="AF26" s="387"/>
      <c r="AG26" s="388"/>
      <c r="AH26" s="389">
        <f t="shared" si="10"/>
        <v>0</v>
      </c>
      <c r="AI26" s="387"/>
      <c r="AJ26" s="388"/>
      <c r="AK26" s="389">
        <f t="shared" si="11"/>
        <v>0</v>
      </c>
      <c r="AL26" s="387"/>
      <c r="AM26" s="388"/>
      <c r="AN26" s="389">
        <f t="shared" si="12"/>
        <v>0</v>
      </c>
      <c r="AO26" s="387"/>
      <c r="AP26" s="388"/>
      <c r="AQ26" s="389">
        <f t="shared" si="13"/>
        <v>0</v>
      </c>
      <c r="AR26" s="387"/>
      <c r="AS26" s="388"/>
      <c r="AT26" s="389">
        <f t="shared" si="14"/>
        <v>0</v>
      </c>
      <c r="AU26" s="387"/>
      <c r="AV26" s="388"/>
      <c r="AW26" s="389">
        <f t="shared" si="15"/>
        <v>0</v>
      </c>
      <c r="AX26" s="387"/>
      <c r="AY26" s="388"/>
      <c r="AZ26" s="389">
        <f t="shared" si="16"/>
        <v>0</v>
      </c>
      <c r="BA26" s="387"/>
      <c r="BB26" s="388"/>
      <c r="BC26" s="389">
        <f t="shared" si="17"/>
        <v>0</v>
      </c>
      <c r="BD26" s="387"/>
      <c r="BE26" s="388"/>
      <c r="BF26" s="389">
        <f t="shared" si="18"/>
        <v>0</v>
      </c>
      <c r="BG26" s="387"/>
      <c r="BH26" s="388"/>
      <c r="BI26" s="389">
        <f t="shared" si="19"/>
        <v>0</v>
      </c>
      <c r="BJ26" s="387"/>
      <c r="BK26" s="388"/>
      <c r="BL26" s="389">
        <f t="shared" si="20"/>
        <v>0</v>
      </c>
      <c r="BM26" s="387"/>
      <c r="BN26" s="388"/>
      <c r="BO26" s="389">
        <f t="shared" si="21"/>
        <v>0</v>
      </c>
      <c r="BP26" s="387"/>
      <c r="BQ26" s="388"/>
      <c r="BR26" s="389">
        <f t="shared" si="22"/>
        <v>0</v>
      </c>
      <c r="BS26" s="387"/>
      <c r="BT26" s="388"/>
      <c r="BU26" s="389">
        <f t="shared" si="23"/>
        <v>0</v>
      </c>
      <c r="BV26" s="387"/>
      <c r="BW26" s="388"/>
      <c r="BX26" s="389">
        <f t="shared" si="24"/>
        <v>0</v>
      </c>
      <c r="BY26" s="387"/>
      <c r="BZ26" s="388"/>
      <c r="CA26" s="389">
        <f t="shared" si="25"/>
        <v>0</v>
      </c>
      <c r="CB26" s="387"/>
      <c r="CC26" s="388"/>
      <c r="CD26" s="389">
        <f t="shared" si="26"/>
        <v>0</v>
      </c>
      <c r="CE26" s="387"/>
      <c r="CF26" s="388"/>
      <c r="CG26" s="389">
        <f t="shared" si="27"/>
        <v>0</v>
      </c>
      <c r="CH26" s="387"/>
      <c r="CI26" s="388"/>
      <c r="CJ26" s="389">
        <f t="shared" si="28"/>
        <v>0</v>
      </c>
      <c r="CK26" s="387"/>
      <c r="CL26" s="388"/>
      <c r="CM26" s="389">
        <f t="shared" si="29"/>
        <v>0</v>
      </c>
      <c r="CN26" s="387"/>
      <c r="CO26" s="388"/>
      <c r="CP26" s="389">
        <f t="shared" si="30"/>
        <v>0</v>
      </c>
    </row>
    <row r="27" spans="1:94" ht="15.95" customHeight="1" x14ac:dyDescent="0.25">
      <c r="A27" s="386"/>
      <c r="B27" s="387"/>
      <c r="C27" s="388"/>
      <c r="D27" s="389">
        <f t="shared" si="0"/>
        <v>0</v>
      </c>
      <c r="E27" s="387"/>
      <c r="F27" s="388"/>
      <c r="G27" s="389">
        <f t="shared" si="1"/>
        <v>0</v>
      </c>
      <c r="H27" s="387"/>
      <c r="I27" s="388"/>
      <c r="J27" s="389">
        <f t="shared" si="2"/>
        <v>0</v>
      </c>
      <c r="K27" s="387"/>
      <c r="L27" s="388"/>
      <c r="M27" s="389">
        <f t="shared" si="3"/>
        <v>0</v>
      </c>
      <c r="N27" s="387"/>
      <c r="O27" s="388"/>
      <c r="P27" s="389">
        <f t="shared" si="4"/>
        <v>0</v>
      </c>
      <c r="Q27" s="387"/>
      <c r="R27" s="388"/>
      <c r="S27" s="389">
        <f t="shared" si="5"/>
        <v>0</v>
      </c>
      <c r="T27" s="387"/>
      <c r="U27" s="388"/>
      <c r="V27" s="389">
        <f t="shared" si="6"/>
        <v>0</v>
      </c>
      <c r="W27" s="387"/>
      <c r="X27" s="388"/>
      <c r="Y27" s="389">
        <f t="shared" si="7"/>
        <v>0</v>
      </c>
      <c r="Z27" s="387"/>
      <c r="AA27" s="388"/>
      <c r="AB27" s="389">
        <f t="shared" si="8"/>
        <v>0</v>
      </c>
      <c r="AC27" s="387"/>
      <c r="AD27" s="388"/>
      <c r="AE27" s="389">
        <f t="shared" si="9"/>
        <v>0</v>
      </c>
      <c r="AF27" s="387"/>
      <c r="AG27" s="388"/>
      <c r="AH27" s="389">
        <f t="shared" si="10"/>
        <v>0</v>
      </c>
      <c r="AI27" s="387"/>
      <c r="AJ27" s="388"/>
      <c r="AK27" s="389">
        <f t="shared" si="11"/>
        <v>0</v>
      </c>
      <c r="AL27" s="387"/>
      <c r="AM27" s="388"/>
      <c r="AN27" s="389">
        <f t="shared" si="12"/>
        <v>0</v>
      </c>
      <c r="AO27" s="387"/>
      <c r="AP27" s="388"/>
      <c r="AQ27" s="389">
        <f t="shared" si="13"/>
        <v>0</v>
      </c>
      <c r="AR27" s="387"/>
      <c r="AS27" s="388"/>
      <c r="AT27" s="389">
        <f t="shared" si="14"/>
        <v>0</v>
      </c>
      <c r="AU27" s="387"/>
      <c r="AV27" s="388"/>
      <c r="AW27" s="389">
        <f t="shared" si="15"/>
        <v>0</v>
      </c>
      <c r="AX27" s="387"/>
      <c r="AY27" s="388"/>
      <c r="AZ27" s="389">
        <f t="shared" si="16"/>
        <v>0</v>
      </c>
      <c r="BA27" s="387"/>
      <c r="BB27" s="388"/>
      <c r="BC27" s="389">
        <f t="shared" si="17"/>
        <v>0</v>
      </c>
      <c r="BD27" s="387"/>
      <c r="BE27" s="388"/>
      <c r="BF27" s="389">
        <f t="shared" si="18"/>
        <v>0</v>
      </c>
      <c r="BG27" s="387"/>
      <c r="BH27" s="388"/>
      <c r="BI27" s="389">
        <f t="shared" si="19"/>
        <v>0</v>
      </c>
      <c r="BJ27" s="387"/>
      <c r="BK27" s="388"/>
      <c r="BL27" s="389">
        <f t="shared" si="20"/>
        <v>0</v>
      </c>
      <c r="BM27" s="387"/>
      <c r="BN27" s="388"/>
      <c r="BO27" s="389">
        <f t="shared" si="21"/>
        <v>0</v>
      </c>
      <c r="BP27" s="387"/>
      <c r="BQ27" s="388"/>
      <c r="BR27" s="389">
        <f t="shared" si="22"/>
        <v>0</v>
      </c>
      <c r="BS27" s="387"/>
      <c r="BT27" s="388"/>
      <c r="BU27" s="389">
        <f t="shared" si="23"/>
        <v>0</v>
      </c>
      <c r="BV27" s="387"/>
      <c r="BW27" s="388"/>
      <c r="BX27" s="389">
        <f t="shared" si="24"/>
        <v>0</v>
      </c>
      <c r="BY27" s="387"/>
      <c r="BZ27" s="388"/>
      <c r="CA27" s="389">
        <f t="shared" si="25"/>
        <v>0</v>
      </c>
      <c r="CB27" s="387"/>
      <c r="CC27" s="388"/>
      <c r="CD27" s="389">
        <f t="shared" si="26"/>
        <v>0</v>
      </c>
      <c r="CE27" s="387"/>
      <c r="CF27" s="388"/>
      <c r="CG27" s="389">
        <f t="shared" si="27"/>
        <v>0</v>
      </c>
      <c r="CH27" s="387"/>
      <c r="CI27" s="388"/>
      <c r="CJ27" s="389">
        <f t="shared" si="28"/>
        <v>0</v>
      </c>
      <c r="CK27" s="387"/>
      <c r="CL27" s="388"/>
      <c r="CM27" s="389">
        <f t="shared" si="29"/>
        <v>0</v>
      </c>
      <c r="CN27" s="387"/>
      <c r="CO27" s="388"/>
      <c r="CP27" s="389">
        <f t="shared" si="30"/>
        <v>0</v>
      </c>
    </row>
    <row r="28" spans="1:94" ht="15.95" customHeight="1" x14ac:dyDescent="0.25">
      <c r="A28" s="386"/>
      <c r="B28" s="387"/>
      <c r="C28" s="388"/>
      <c r="D28" s="389">
        <f t="shared" si="0"/>
        <v>0</v>
      </c>
      <c r="E28" s="387"/>
      <c r="F28" s="388"/>
      <c r="G28" s="389">
        <f t="shared" si="1"/>
        <v>0</v>
      </c>
      <c r="H28" s="387"/>
      <c r="I28" s="388"/>
      <c r="J28" s="389">
        <f t="shared" si="2"/>
        <v>0</v>
      </c>
      <c r="K28" s="387"/>
      <c r="L28" s="388"/>
      <c r="M28" s="389">
        <f t="shared" si="3"/>
        <v>0</v>
      </c>
      <c r="N28" s="387"/>
      <c r="O28" s="388"/>
      <c r="P28" s="389">
        <f t="shared" si="4"/>
        <v>0</v>
      </c>
      <c r="Q28" s="387"/>
      <c r="R28" s="388"/>
      <c r="S28" s="389">
        <f t="shared" si="5"/>
        <v>0</v>
      </c>
      <c r="T28" s="387"/>
      <c r="U28" s="388"/>
      <c r="V28" s="389">
        <f t="shared" si="6"/>
        <v>0</v>
      </c>
      <c r="W28" s="387"/>
      <c r="X28" s="388"/>
      <c r="Y28" s="389">
        <f t="shared" si="7"/>
        <v>0</v>
      </c>
      <c r="Z28" s="387"/>
      <c r="AA28" s="388"/>
      <c r="AB28" s="389">
        <f t="shared" si="8"/>
        <v>0</v>
      </c>
      <c r="AC28" s="387"/>
      <c r="AD28" s="388"/>
      <c r="AE28" s="389">
        <f t="shared" si="9"/>
        <v>0</v>
      </c>
      <c r="AF28" s="387"/>
      <c r="AG28" s="388"/>
      <c r="AH28" s="389">
        <f t="shared" si="10"/>
        <v>0</v>
      </c>
      <c r="AI28" s="387"/>
      <c r="AJ28" s="388"/>
      <c r="AK28" s="389">
        <f t="shared" si="11"/>
        <v>0</v>
      </c>
      <c r="AL28" s="387"/>
      <c r="AM28" s="388"/>
      <c r="AN28" s="389">
        <f t="shared" si="12"/>
        <v>0</v>
      </c>
      <c r="AO28" s="387"/>
      <c r="AP28" s="388"/>
      <c r="AQ28" s="389">
        <f t="shared" si="13"/>
        <v>0</v>
      </c>
      <c r="AR28" s="387"/>
      <c r="AS28" s="388"/>
      <c r="AT28" s="389">
        <f t="shared" si="14"/>
        <v>0</v>
      </c>
      <c r="AU28" s="387"/>
      <c r="AV28" s="388"/>
      <c r="AW28" s="389">
        <f t="shared" si="15"/>
        <v>0</v>
      </c>
      <c r="AX28" s="387"/>
      <c r="AY28" s="388"/>
      <c r="AZ28" s="389">
        <f t="shared" si="16"/>
        <v>0</v>
      </c>
      <c r="BA28" s="387"/>
      <c r="BB28" s="388"/>
      <c r="BC28" s="389">
        <f t="shared" si="17"/>
        <v>0</v>
      </c>
      <c r="BD28" s="387"/>
      <c r="BE28" s="388"/>
      <c r="BF28" s="389">
        <f t="shared" si="18"/>
        <v>0</v>
      </c>
      <c r="BG28" s="387"/>
      <c r="BH28" s="388"/>
      <c r="BI28" s="389">
        <f t="shared" si="19"/>
        <v>0</v>
      </c>
      <c r="BJ28" s="387"/>
      <c r="BK28" s="388"/>
      <c r="BL28" s="389">
        <f t="shared" si="20"/>
        <v>0</v>
      </c>
      <c r="BM28" s="387"/>
      <c r="BN28" s="388"/>
      <c r="BO28" s="389">
        <f t="shared" si="21"/>
        <v>0</v>
      </c>
      <c r="BP28" s="387"/>
      <c r="BQ28" s="388"/>
      <c r="BR28" s="389">
        <f t="shared" si="22"/>
        <v>0</v>
      </c>
      <c r="BS28" s="387"/>
      <c r="BT28" s="388"/>
      <c r="BU28" s="389">
        <f t="shared" si="23"/>
        <v>0</v>
      </c>
      <c r="BV28" s="387"/>
      <c r="BW28" s="388"/>
      <c r="BX28" s="389">
        <f t="shared" si="24"/>
        <v>0</v>
      </c>
      <c r="BY28" s="387"/>
      <c r="BZ28" s="388"/>
      <c r="CA28" s="389">
        <f t="shared" si="25"/>
        <v>0</v>
      </c>
      <c r="CB28" s="387"/>
      <c r="CC28" s="388"/>
      <c r="CD28" s="389">
        <f t="shared" si="26"/>
        <v>0</v>
      </c>
      <c r="CE28" s="387"/>
      <c r="CF28" s="388"/>
      <c r="CG28" s="389">
        <f t="shared" si="27"/>
        <v>0</v>
      </c>
      <c r="CH28" s="387"/>
      <c r="CI28" s="388"/>
      <c r="CJ28" s="389">
        <f t="shared" si="28"/>
        <v>0</v>
      </c>
      <c r="CK28" s="387"/>
      <c r="CL28" s="388"/>
      <c r="CM28" s="389">
        <f t="shared" si="29"/>
        <v>0</v>
      </c>
      <c r="CN28" s="387"/>
      <c r="CO28" s="388"/>
      <c r="CP28" s="389">
        <f t="shared" si="30"/>
        <v>0</v>
      </c>
    </row>
    <row r="29" spans="1:94" ht="15.95" customHeight="1" x14ac:dyDescent="0.25">
      <c r="A29" s="386"/>
      <c r="B29" s="387"/>
      <c r="C29" s="388"/>
      <c r="D29" s="389">
        <f t="shared" si="0"/>
        <v>0</v>
      </c>
      <c r="E29" s="387"/>
      <c r="F29" s="388"/>
      <c r="G29" s="389">
        <f t="shared" si="1"/>
        <v>0</v>
      </c>
      <c r="H29" s="387"/>
      <c r="I29" s="388"/>
      <c r="J29" s="389">
        <f t="shared" si="2"/>
        <v>0</v>
      </c>
      <c r="K29" s="387"/>
      <c r="L29" s="388"/>
      <c r="M29" s="389">
        <f t="shared" si="3"/>
        <v>0</v>
      </c>
      <c r="N29" s="387"/>
      <c r="O29" s="388"/>
      <c r="P29" s="389">
        <f t="shared" si="4"/>
        <v>0</v>
      </c>
      <c r="Q29" s="387"/>
      <c r="R29" s="388"/>
      <c r="S29" s="389">
        <f t="shared" si="5"/>
        <v>0</v>
      </c>
      <c r="T29" s="387"/>
      <c r="U29" s="388"/>
      <c r="V29" s="389">
        <f t="shared" si="6"/>
        <v>0</v>
      </c>
      <c r="W29" s="387"/>
      <c r="X29" s="388"/>
      <c r="Y29" s="389">
        <f t="shared" si="7"/>
        <v>0</v>
      </c>
      <c r="Z29" s="387"/>
      <c r="AA29" s="388"/>
      <c r="AB29" s="389">
        <f t="shared" si="8"/>
        <v>0</v>
      </c>
      <c r="AC29" s="387"/>
      <c r="AD29" s="388"/>
      <c r="AE29" s="389">
        <f t="shared" si="9"/>
        <v>0</v>
      </c>
      <c r="AF29" s="387"/>
      <c r="AG29" s="388"/>
      <c r="AH29" s="389">
        <f t="shared" si="10"/>
        <v>0</v>
      </c>
      <c r="AI29" s="387"/>
      <c r="AJ29" s="388"/>
      <c r="AK29" s="389">
        <f t="shared" si="11"/>
        <v>0</v>
      </c>
      <c r="AL29" s="387"/>
      <c r="AM29" s="388"/>
      <c r="AN29" s="389">
        <f t="shared" si="12"/>
        <v>0</v>
      </c>
      <c r="AO29" s="387"/>
      <c r="AP29" s="388"/>
      <c r="AQ29" s="389">
        <f t="shared" si="13"/>
        <v>0</v>
      </c>
      <c r="AR29" s="387"/>
      <c r="AS29" s="388"/>
      <c r="AT29" s="389">
        <f t="shared" si="14"/>
        <v>0</v>
      </c>
      <c r="AU29" s="387"/>
      <c r="AV29" s="388"/>
      <c r="AW29" s="389">
        <f t="shared" si="15"/>
        <v>0</v>
      </c>
      <c r="AX29" s="387"/>
      <c r="AY29" s="388"/>
      <c r="AZ29" s="389">
        <f t="shared" si="16"/>
        <v>0</v>
      </c>
      <c r="BA29" s="387"/>
      <c r="BB29" s="388"/>
      <c r="BC29" s="389">
        <f t="shared" si="17"/>
        <v>0</v>
      </c>
      <c r="BD29" s="387"/>
      <c r="BE29" s="388"/>
      <c r="BF29" s="389">
        <f t="shared" si="18"/>
        <v>0</v>
      </c>
      <c r="BG29" s="387"/>
      <c r="BH29" s="388"/>
      <c r="BI29" s="389">
        <f t="shared" si="19"/>
        <v>0</v>
      </c>
      <c r="BJ29" s="387"/>
      <c r="BK29" s="388"/>
      <c r="BL29" s="389">
        <f t="shared" si="20"/>
        <v>0</v>
      </c>
      <c r="BM29" s="387"/>
      <c r="BN29" s="388"/>
      <c r="BO29" s="389">
        <f t="shared" si="21"/>
        <v>0</v>
      </c>
      <c r="BP29" s="387"/>
      <c r="BQ29" s="388"/>
      <c r="BR29" s="389">
        <f t="shared" si="22"/>
        <v>0</v>
      </c>
      <c r="BS29" s="387"/>
      <c r="BT29" s="388"/>
      <c r="BU29" s="389">
        <f t="shared" si="23"/>
        <v>0</v>
      </c>
      <c r="BV29" s="387"/>
      <c r="BW29" s="388"/>
      <c r="BX29" s="389">
        <f t="shared" si="24"/>
        <v>0</v>
      </c>
      <c r="BY29" s="387"/>
      <c r="BZ29" s="388"/>
      <c r="CA29" s="389">
        <f t="shared" si="25"/>
        <v>0</v>
      </c>
      <c r="CB29" s="387"/>
      <c r="CC29" s="388"/>
      <c r="CD29" s="389">
        <f t="shared" si="26"/>
        <v>0</v>
      </c>
      <c r="CE29" s="387"/>
      <c r="CF29" s="388"/>
      <c r="CG29" s="389">
        <f t="shared" si="27"/>
        <v>0</v>
      </c>
      <c r="CH29" s="387"/>
      <c r="CI29" s="388"/>
      <c r="CJ29" s="389">
        <f t="shared" si="28"/>
        <v>0</v>
      </c>
      <c r="CK29" s="387"/>
      <c r="CL29" s="388"/>
      <c r="CM29" s="389">
        <f t="shared" si="29"/>
        <v>0</v>
      </c>
      <c r="CN29" s="387"/>
      <c r="CO29" s="388"/>
      <c r="CP29" s="389">
        <f t="shared" si="30"/>
        <v>0</v>
      </c>
    </row>
    <row r="30" spans="1:94" ht="15.95" customHeight="1" x14ac:dyDescent="0.25">
      <c r="A30" s="386"/>
      <c r="B30" s="387"/>
      <c r="C30" s="388"/>
      <c r="D30" s="389">
        <f t="shared" si="0"/>
        <v>0</v>
      </c>
      <c r="E30" s="387"/>
      <c r="F30" s="388"/>
      <c r="G30" s="389">
        <f t="shared" si="1"/>
        <v>0</v>
      </c>
      <c r="H30" s="387"/>
      <c r="I30" s="388"/>
      <c r="J30" s="389">
        <f t="shared" si="2"/>
        <v>0</v>
      </c>
      <c r="K30" s="387"/>
      <c r="L30" s="388"/>
      <c r="M30" s="389">
        <f t="shared" si="3"/>
        <v>0</v>
      </c>
      <c r="N30" s="387"/>
      <c r="O30" s="388"/>
      <c r="P30" s="389">
        <f t="shared" si="4"/>
        <v>0</v>
      </c>
      <c r="Q30" s="387"/>
      <c r="R30" s="388"/>
      <c r="S30" s="389">
        <f t="shared" si="5"/>
        <v>0</v>
      </c>
      <c r="T30" s="387"/>
      <c r="U30" s="388"/>
      <c r="V30" s="389">
        <f t="shared" si="6"/>
        <v>0</v>
      </c>
      <c r="W30" s="387"/>
      <c r="X30" s="388"/>
      <c r="Y30" s="389">
        <f t="shared" si="7"/>
        <v>0</v>
      </c>
      <c r="Z30" s="387"/>
      <c r="AA30" s="388"/>
      <c r="AB30" s="389">
        <f t="shared" si="8"/>
        <v>0</v>
      </c>
      <c r="AC30" s="387"/>
      <c r="AD30" s="388"/>
      <c r="AE30" s="389">
        <f t="shared" si="9"/>
        <v>0</v>
      </c>
      <c r="AF30" s="387"/>
      <c r="AG30" s="388"/>
      <c r="AH30" s="389">
        <f t="shared" si="10"/>
        <v>0</v>
      </c>
      <c r="AI30" s="387"/>
      <c r="AJ30" s="388"/>
      <c r="AK30" s="389">
        <f t="shared" si="11"/>
        <v>0</v>
      </c>
      <c r="AL30" s="387"/>
      <c r="AM30" s="388"/>
      <c r="AN30" s="389">
        <f t="shared" si="12"/>
        <v>0</v>
      </c>
      <c r="AO30" s="387"/>
      <c r="AP30" s="388"/>
      <c r="AQ30" s="389">
        <f t="shared" si="13"/>
        <v>0</v>
      </c>
      <c r="AR30" s="387"/>
      <c r="AS30" s="388"/>
      <c r="AT30" s="389">
        <f t="shared" si="14"/>
        <v>0</v>
      </c>
      <c r="AU30" s="387"/>
      <c r="AV30" s="388"/>
      <c r="AW30" s="389">
        <f t="shared" si="15"/>
        <v>0</v>
      </c>
      <c r="AX30" s="387"/>
      <c r="AY30" s="388"/>
      <c r="AZ30" s="389">
        <f t="shared" si="16"/>
        <v>0</v>
      </c>
      <c r="BA30" s="387"/>
      <c r="BB30" s="388"/>
      <c r="BC30" s="389">
        <f t="shared" si="17"/>
        <v>0</v>
      </c>
      <c r="BD30" s="387"/>
      <c r="BE30" s="388"/>
      <c r="BF30" s="389">
        <f t="shared" si="18"/>
        <v>0</v>
      </c>
      <c r="BG30" s="387"/>
      <c r="BH30" s="388"/>
      <c r="BI30" s="389">
        <f t="shared" si="19"/>
        <v>0</v>
      </c>
      <c r="BJ30" s="387"/>
      <c r="BK30" s="388"/>
      <c r="BL30" s="389">
        <f t="shared" si="20"/>
        <v>0</v>
      </c>
      <c r="BM30" s="387"/>
      <c r="BN30" s="388"/>
      <c r="BO30" s="389">
        <f t="shared" si="21"/>
        <v>0</v>
      </c>
      <c r="BP30" s="387"/>
      <c r="BQ30" s="388"/>
      <c r="BR30" s="389">
        <f t="shared" si="22"/>
        <v>0</v>
      </c>
      <c r="BS30" s="387"/>
      <c r="BT30" s="388"/>
      <c r="BU30" s="389">
        <f t="shared" si="23"/>
        <v>0</v>
      </c>
      <c r="BV30" s="387"/>
      <c r="BW30" s="388"/>
      <c r="BX30" s="389">
        <f t="shared" si="24"/>
        <v>0</v>
      </c>
      <c r="BY30" s="387"/>
      <c r="BZ30" s="388"/>
      <c r="CA30" s="389">
        <f t="shared" si="25"/>
        <v>0</v>
      </c>
      <c r="CB30" s="387"/>
      <c r="CC30" s="388"/>
      <c r="CD30" s="389">
        <f t="shared" si="26"/>
        <v>0</v>
      </c>
      <c r="CE30" s="387"/>
      <c r="CF30" s="388"/>
      <c r="CG30" s="389">
        <f t="shared" si="27"/>
        <v>0</v>
      </c>
      <c r="CH30" s="387"/>
      <c r="CI30" s="388"/>
      <c r="CJ30" s="389">
        <f t="shared" si="28"/>
        <v>0</v>
      </c>
      <c r="CK30" s="387"/>
      <c r="CL30" s="388"/>
      <c r="CM30" s="389">
        <f t="shared" si="29"/>
        <v>0</v>
      </c>
      <c r="CN30" s="387"/>
      <c r="CO30" s="388"/>
      <c r="CP30" s="389">
        <f t="shared" si="30"/>
        <v>0</v>
      </c>
    </row>
    <row r="31" spans="1:94" ht="15.95" customHeight="1" x14ac:dyDescent="0.25">
      <c r="A31" s="386"/>
      <c r="B31" s="387"/>
      <c r="C31" s="388"/>
      <c r="D31" s="389">
        <f t="shared" si="0"/>
        <v>0</v>
      </c>
      <c r="E31" s="387"/>
      <c r="F31" s="388"/>
      <c r="G31" s="389">
        <f t="shared" si="1"/>
        <v>0</v>
      </c>
      <c r="H31" s="387"/>
      <c r="I31" s="388"/>
      <c r="J31" s="389">
        <f t="shared" si="2"/>
        <v>0</v>
      </c>
      <c r="K31" s="387"/>
      <c r="L31" s="388"/>
      <c r="M31" s="389">
        <f t="shared" si="3"/>
        <v>0</v>
      </c>
      <c r="N31" s="387"/>
      <c r="O31" s="388"/>
      <c r="P31" s="389">
        <f t="shared" si="4"/>
        <v>0</v>
      </c>
      <c r="Q31" s="387"/>
      <c r="R31" s="388"/>
      <c r="S31" s="389">
        <f t="shared" si="5"/>
        <v>0</v>
      </c>
      <c r="T31" s="387"/>
      <c r="U31" s="388"/>
      <c r="V31" s="389">
        <f t="shared" si="6"/>
        <v>0</v>
      </c>
      <c r="W31" s="387"/>
      <c r="X31" s="388"/>
      <c r="Y31" s="389">
        <f t="shared" si="7"/>
        <v>0</v>
      </c>
      <c r="Z31" s="387"/>
      <c r="AA31" s="388"/>
      <c r="AB31" s="389">
        <f t="shared" si="8"/>
        <v>0</v>
      </c>
      <c r="AC31" s="387"/>
      <c r="AD31" s="388"/>
      <c r="AE31" s="389">
        <f t="shared" si="9"/>
        <v>0</v>
      </c>
      <c r="AF31" s="387"/>
      <c r="AG31" s="388"/>
      <c r="AH31" s="389">
        <f t="shared" si="10"/>
        <v>0</v>
      </c>
      <c r="AI31" s="387"/>
      <c r="AJ31" s="388"/>
      <c r="AK31" s="389">
        <f t="shared" si="11"/>
        <v>0</v>
      </c>
      <c r="AL31" s="387"/>
      <c r="AM31" s="388"/>
      <c r="AN31" s="389">
        <f t="shared" si="12"/>
        <v>0</v>
      </c>
      <c r="AO31" s="387"/>
      <c r="AP31" s="388"/>
      <c r="AQ31" s="389">
        <f t="shared" si="13"/>
        <v>0</v>
      </c>
      <c r="AR31" s="387"/>
      <c r="AS31" s="388"/>
      <c r="AT31" s="389">
        <f t="shared" si="14"/>
        <v>0</v>
      </c>
      <c r="AU31" s="387"/>
      <c r="AV31" s="388"/>
      <c r="AW31" s="389">
        <f t="shared" si="15"/>
        <v>0</v>
      </c>
      <c r="AX31" s="387"/>
      <c r="AY31" s="388"/>
      <c r="AZ31" s="389">
        <f t="shared" si="16"/>
        <v>0</v>
      </c>
      <c r="BA31" s="387"/>
      <c r="BB31" s="388"/>
      <c r="BC31" s="389">
        <f t="shared" si="17"/>
        <v>0</v>
      </c>
      <c r="BD31" s="387"/>
      <c r="BE31" s="388"/>
      <c r="BF31" s="389">
        <f t="shared" si="18"/>
        <v>0</v>
      </c>
      <c r="BG31" s="387"/>
      <c r="BH31" s="388"/>
      <c r="BI31" s="389">
        <f t="shared" si="19"/>
        <v>0</v>
      </c>
      <c r="BJ31" s="387"/>
      <c r="BK31" s="388"/>
      <c r="BL31" s="389">
        <f t="shared" si="20"/>
        <v>0</v>
      </c>
      <c r="BM31" s="387"/>
      <c r="BN31" s="388"/>
      <c r="BO31" s="389">
        <f t="shared" si="21"/>
        <v>0</v>
      </c>
      <c r="BP31" s="387"/>
      <c r="BQ31" s="388"/>
      <c r="BR31" s="389">
        <f t="shared" si="22"/>
        <v>0</v>
      </c>
      <c r="BS31" s="387"/>
      <c r="BT31" s="388"/>
      <c r="BU31" s="389">
        <f t="shared" si="23"/>
        <v>0</v>
      </c>
      <c r="BV31" s="387"/>
      <c r="BW31" s="388"/>
      <c r="BX31" s="389">
        <f t="shared" si="24"/>
        <v>0</v>
      </c>
      <c r="BY31" s="387"/>
      <c r="BZ31" s="388"/>
      <c r="CA31" s="389">
        <f t="shared" si="25"/>
        <v>0</v>
      </c>
      <c r="CB31" s="387"/>
      <c r="CC31" s="388"/>
      <c r="CD31" s="389">
        <f t="shared" si="26"/>
        <v>0</v>
      </c>
      <c r="CE31" s="387"/>
      <c r="CF31" s="388"/>
      <c r="CG31" s="389">
        <f t="shared" si="27"/>
        <v>0</v>
      </c>
      <c r="CH31" s="387"/>
      <c r="CI31" s="388"/>
      <c r="CJ31" s="389">
        <f t="shared" si="28"/>
        <v>0</v>
      </c>
      <c r="CK31" s="387"/>
      <c r="CL31" s="388"/>
      <c r="CM31" s="389">
        <f t="shared" si="29"/>
        <v>0</v>
      </c>
      <c r="CN31" s="387"/>
      <c r="CO31" s="388"/>
      <c r="CP31" s="389">
        <f t="shared" si="30"/>
        <v>0</v>
      </c>
    </row>
    <row r="32" spans="1:94" ht="15.95" customHeight="1" x14ac:dyDescent="0.25">
      <c r="A32" s="386"/>
      <c r="B32" s="387"/>
      <c r="C32" s="388"/>
      <c r="D32" s="389">
        <f t="shared" si="0"/>
        <v>0</v>
      </c>
      <c r="E32" s="387"/>
      <c r="F32" s="388"/>
      <c r="G32" s="389">
        <f t="shared" si="1"/>
        <v>0</v>
      </c>
      <c r="H32" s="387"/>
      <c r="I32" s="388"/>
      <c r="J32" s="389">
        <f t="shared" si="2"/>
        <v>0</v>
      </c>
      <c r="K32" s="387"/>
      <c r="L32" s="388"/>
      <c r="M32" s="389">
        <f t="shared" si="3"/>
        <v>0</v>
      </c>
      <c r="N32" s="387"/>
      <c r="O32" s="388"/>
      <c r="P32" s="389">
        <f t="shared" si="4"/>
        <v>0</v>
      </c>
      <c r="Q32" s="387"/>
      <c r="R32" s="388"/>
      <c r="S32" s="389">
        <f t="shared" si="5"/>
        <v>0</v>
      </c>
      <c r="T32" s="387"/>
      <c r="U32" s="388"/>
      <c r="V32" s="389">
        <f t="shared" si="6"/>
        <v>0</v>
      </c>
      <c r="W32" s="387"/>
      <c r="X32" s="388"/>
      <c r="Y32" s="389">
        <f t="shared" si="7"/>
        <v>0</v>
      </c>
      <c r="Z32" s="387"/>
      <c r="AA32" s="388"/>
      <c r="AB32" s="389">
        <f t="shared" si="8"/>
        <v>0</v>
      </c>
      <c r="AC32" s="387"/>
      <c r="AD32" s="388"/>
      <c r="AE32" s="389">
        <f t="shared" si="9"/>
        <v>0</v>
      </c>
      <c r="AF32" s="387"/>
      <c r="AG32" s="388"/>
      <c r="AH32" s="389">
        <f t="shared" si="10"/>
        <v>0</v>
      </c>
      <c r="AI32" s="387"/>
      <c r="AJ32" s="388"/>
      <c r="AK32" s="389">
        <f t="shared" si="11"/>
        <v>0</v>
      </c>
      <c r="AL32" s="387"/>
      <c r="AM32" s="388"/>
      <c r="AN32" s="389">
        <f t="shared" si="12"/>
        <v>0</v>
      </c>
      <c r="AO32" s="387"/>
      <c r="AP32" s="388"/>
      <c r="AQ32" s="389">
        <f t="shared" si="13"/>
        <v>0</v>
      </c>
      <c r="AR32" s="387"/>
      <c r="AS32" s="388"/>
      <c r="AT32" s="389">
        <f t="shared" si="14"/>
        <v>0</v>
      </c>
      <c r="AU32" s="387"/>
      <c r="AV32" s="388"/>
      <c r="AW32" s="389">
        <f t="shared" si="15"/>
        <v>0</v>
      </c>
      <c r="AX32" s="387"/>
      <c r="AY32" s="388"/>
      <c r="AZ32" s="389">
        <f t="shared" si="16"/>
        <v>0</v>
      </c>
      <c r="BA32" s="387"/>
      <c r="BB32" s="388"/>
      <c r="BC32" s="389">
        <f t="shared" si="17"/>
        <v>0</v>
      </c>
      <c r="BD32" s="387"/>
      <c r="BE32" s="388"/>
      <c r="BF32" s="389">
        <f t="shared" si="18"/>
        <v>0</v>
      </c>
      <c r="BG32" s="387"/>
      <c r="BH32" s="388"/>
      <c r="BI32" s="389">
        <f t="shared" si="19"/>
        <v>0</v>
      </c>
      <c r="BJ32" s="387"/>
      <c r="BK32" s="388"/>
      <c r="BL32" s="389">
        <f t="shared" si="20"/>
        <v>0</v>
      </c>
      <c r="BM32" s="387"/>
      <c r="BN32" s="388"/>
      <c r="BO32" s="389">
        <f t="shared" si="21"/>
        <v>0</v>
      </c>
      <c r="BP32" s="387"/>
      <c r="BQ32" s="388"/>
      <c r="BR32" s="389">
        <f t="shared" si="22"/>
        <v>0</v>
      </c>
      <c r="BS32" s="387"/>
      <c r="BT32" s="388"/>
      <c r="BU32" s="389">
        <f t="shared" si="23"/>
        <v>0</v>
      </c>
      <c r="BV32" s="387"/>
      <c r="BW32" s="388"/>
      <c r="BX32" s="389">
        <f t="shared" si="24"/>
        <v>0</v>
      </c>
      <c r="BY32" s="387"/>
      <c r="BZ32" s="388"/>
      <c r="CA32" s="389">
        <f t="shared" si="25"/>
        <v>0</v>
      </c>
      <c r="CB32" s="387"/>
      <c r="CC32" s="388"/>
      <c r="CD32" s="389">
        <f t="shared" si="26"/>
        <v>0</v>
      </c>
      <c r="CE32" s="387"/>
      <c r="CF32" s="388"/>
      <c r="CG32" s="389">
        <f t="shared" si="27"/>
        <v>0</v>
      </c>
      <c r="CH32" s="387"/>
      <c r="CI32" s="388"/>
      <c r="CJ32" s="389">
        <f t="shared" si="28"/>
        <v>0</v>
      </c>
      <c r="CK32" s="387"/>
      <c r="CL32" s="388"/>
      <c r="CM32" s="389">
        <f t="shared" si="29"/>
        <v>0</v>
      </c>
      <c r="CN32" s="387"/>
      <c r="CO32" s="388"/>
      <c r="CP32" s="389">
        <f t="shared" si="30"/>
        <v>0</v>
      </c>
    </row>
    <row r="33" spans="1:94" ht="15.95" customHeight="1" x14ac:dyDescent="0.25">
      <c r="A33" s="386"/>
      <c r="B33" s="387"/>
      <c r="C33" s="388"/>
      <c r="D33" s="389">
        <f t="shared" si="0"/>
        <v>0</v>
      </c>
      <c r="E33" s="387"/>
      <c r="F33" s="388"/>
      <c r="G33" s="389">
        <f t="shared" si="1"/>
        <v>0</v>
      </c>
      <c r="H33" s="387"/>
      <c r="I33" s="388"/>
      <c r="J33" s="389">
        <f t="shared" si="2"/>
        <v>0</v>
      </c>
      <c r="K33" s="387"/>
      <c r="L33" s="388"/>
      <c r="M33" s="389">
        <f t="shared" si="3"/>
        <v>0</v>
      </c>
      <c r="N33" s="387"/>
      <c r="O33" s="388"/>
      <c r="P33" s="389">
        <f t="shared" si="4"/>
        <v>0</v>
      </c>
      <c r="Q33" s="387"/>
      <c r="R33" s="388"/>
      <c r="S33" s="389">
        <f t="shared" si="5"/>
        <v>0</v>
      </c>
      <c r="T33" s="387"/>
      <c r="U33" s="388"/>
      <c r="V33" s="389">
        <f t="shared" si="6"/>
        <v>0</v>
      </c>
      <c r="W33" s="387"/>
      <c r="X33" s="388"/>
      <c r="Y33" s="389">
        <f t="shared" si="7"/>
        <v>0</v>
      </c>
      <c r="Z33" s="387"/>
      <c r="AA33" s="388"/>
      <c r="AB33" s="389">
        <f t="shared" si="8"/>
        <v>0</v>
      </c>
      <c r="AC33" s="387"/>
      <c r="AD33" s="388"/>
      <c r="AE33" s="389">
        <f t="shared" si="9"/>
        <v>0</v>
      </c>
      <c r="AF33" s="387"/>
      <c r="AG33" s="388"/>
      <c r="AH33" s="389">
        <f t="shared" si="10"/>
        <v>0</v>
      </c>
      <c r="AI33" s="387"/>
      <c r="AJ33" s="388"/>
      <c r="AK33" s="389">
        <f t="shared" si="11"/>
        <v>0</v>
      </c>
      <c r="AL33" s="387"/>
      <c r="AM33" s="388"/>
      <c r="AN33" s="389">
        <f t="shared" si="12"/>
        <v>0</v>
      </c>
      <c r="AO33" s="387"/>
      <c r="AP33" s="388"/>
      <c r="AQ33" s="389">
        <f t="shared" si="13"/>
        <v>0</v>
      </c>
      <c r="AR33" s="387"/>
      <c r="AS33" s="388"/>
      <c r="AT33" s="389">
        <f t="shared" si="14"/>
        <v>0</v>
      </c>
      <c r="AU33" s="387"/>
      <c r="AV33" s="388"/>
      <c r="AW33" s="389">
        <f t="shared" si="15"/>
        <v>0</v>
      </c>
      <c r="AX33" s="387"/>
      <c r="AY33" s="388"/>
      <c r="AZ33" s="389">
        <f t="shared" si="16"/>
        <v>0</v>
      </c>
      <c r="BA33" s="387"/>
      <c r="BB33" s="388"/>
      <c r="BC33" s="389">
        <f t="shared" si="17"/>
        <v>0</v>
      </c>
      <c r="BD33" s="387"/>
      <c r="BE33" s="388"/>
      <c r="BF33" s="389">
        <f t="shared" si="18"/>
        <v>0</v>
      </c>
      <c r="BG33" s="387"/>
      <c r="BH33" s="388"/>
      <c r="BI33" s="389">
        <f t="shared" si="19"/>
        <v>0</v>
      </c>
      <c r="BJ33" s="387"/>
      <c r="BK33" s="388"/>
      <c r="BL33" s="389">
        <f t="shared" si="20"/>
        <v>0</v>
      </c>
      <c r="BM33" s="387"/>
      <c r="BN33" s="388"/>
      <c r="BO33" s="389">
        <f t="shared" si="21"/>
        <v>0</v>
      </c>
      <c r="BP33" s="387"/>
      <c r="BQ33" s="388"/>
      <c r="BR33" s="389">
        <f t="shared" si="22"/>
        <v>0</v>
      </c>
      <c r="BS33" s="387"/>
      <c r="BT33" s="388"/>
      <c r="BU33" s="389">
        <f t="shared" si="23"/>
        <v>0</v>
      </c>
      <c r="BV33" s="387"/>
      <c r="BW33" s="388"/>
      <c r="BX33" s="389">
        <f t="shared" si="24"/>
        <v>0</v>
      </c>
      <c r="BY33" s="387"/>
      <c r="BZ33" s="388"/>
      <c r="CA33" s="389">
        <f t="shared" si="25"/>
        <v>0</v>
      </c>
      <c r="CB33" s="387"/>
      <c r="CC33" s="388"/>
      <c r="CD33" s="389">
        <f t="shared" si="26"/>
        <v>0</v>
      </c>
      <c r="CE33" s="387"/>
      <c r="CF33" s="388"/>
      <c r="CG33" s="389">
        <f t="shared" si="27"/>
        <v>0</v>
      </c>
      <c r="CH33" s="387"/>
      <c r="CI33" s="388"/>
      <c r="CJ33" s="389">
        <f t="shared" si="28"/>
        <v>0</v>
      </c>
      <c r="CK33" s="387"/>
      <c r="CL33" s="388"/>
      <c r="CM33" s="389">
        <f t="shared" si="29"/>
        <v>0</v>
      </c>
      <c r="CN33" s="387"/>
      <c r="CO33" s="388"/>
      <c r="CP33" s="389">
        <f t="shared" si="30"/>
        <v>0</v>
      </c>
    </row>
    <row r="34" spans="1:94" ht="15.95" customHeight="1" x14ac:dyDescent="0.25">
      <c r="A34" s="386"/>
      <c r="B34" s="387"/>
      <c r="C34" s="388"/>
      <c r="D34" s="389">
        <f t="shared" si="0"/>
        <v>0</v>
      </c>
      <c r="E34" s="387"/>
      <c r="F34" s="388"/>
      <c r="G34" s="389">
        <f t="shared" si="1"/>
        <v>0</v>
      </c>
      <c r="H34" s="387"/>
      <c r="I34" s="388"/>
      <c r="J34" s="389">
        <f t="shared" si="2"/>
        <v>0</v>
      </c>
      <c r="K34" s="387"/>
      <c r="L34" s="388"/>
      <c r="M34" s="389">
        <f t="shared" si="3"/>
        <v>0</v>
      </c>
      <c r="N34" s="387"/>
      <c r="O34" s="388"/>
      <c r="P34" s="389">
        <f t="shared" si="4"/>
        <v>0</v>
      </c>
      <c r="Q34" s="387"/>
      <c r="R34" s="388"/>
      <c r="S34" s="389">
        <f t="shared" si="5"/>
        <v>0</v>
      </c>
      <c r="T34" s="387"/>
      <c r="U34" s="388"/>
      <c r="V34" s="389">
        <f t="shared" si="6"/>
        <v>0</v>
      </c>
      <c r="W34" s="387"/>
      <c r="X34" s="388"/>
      <c r="Y34" s="389">
        <f t="shared" si="7"/>
        <v>0</v>
      </c>
      <c r="Z34" s="387"/>
      <c r="AA34" s="388"/>
      <c r="AB34" s="389">
        <f t="shared" si="8"/>
        <v>0</v>
      </c>
      <c r="AC34" s="387"/>
      <c r="AD34" s="388"/>
      <c r="AE34" s="389">
        <f t="shared" si="9"/>
        <v>0</v>
      </c>
      <c r="AF34" s="387"/>
      <c r="AG34" s="388"/>
      <c r="AH34" s="389">
        <f t="shared" si="10"/>
        <v>0</v>
      </c>
      <c r="AI34" s="387"/>
      <c r="AJ34" s="388"/>
      <c r="AK34" s="389">
        <f t="shared" si="11"/>
        <v>0</v>
      </c>
      <c r="AL34" s="387"/>
      <c r="AM34" s="388"/>
      <c r="AN34" s="389">
        <f t="shared" si="12"/>
        <v>0</v>
      </c>
      <c r="AO34" s="387"/>
      <c r="AP34" s="388"/>
      <c r="AQ34" s="389">
        <f t="shared" si="13"/>
        <v>0</v>
      </c>
      <c r="AR34" s="387"/>
      <c r="AS34" s="388"/>
      <c r="AT34" s="389">
        <f t="shared" si="14"/>
        <v>0</v>
      </c>
      <c r="AU34" s="387"/>
      <c r="AV34" s="388"/>
      <c r="AW34" s="389">
        <f t="shared" si="15"/>
        <v>0</v>
      </c>
      <c r="AX34" s="387"/>
      <c r="AY34" s="388"/>
      <c r="AZ34" s="389">
        <f t="shared" si="16"/>
        <v>0</v>
      </c>
      <c r="BA34" s="387"/>
      <c r="BB34" s="388"/>
      <c r="BC34" s="389">
        <f t="shared" si="17"/>
        <v>0</v>
      </c>
      <c r="BD34" s="387"/>
      <c r="BE34" s="388"/>
      <c r="BF34" s="389">
        <f t="shared" si="18"/>
        <v>0</v>
      </c>
      <c r="BG34" s="387"/>
      <c r="BH34" s="388"/>
      <c r="BI34" s="389">
        <f t="shared" si="19"/>
        <v>0</v>
      </c>
      <c r="BJ34" s="387"/>
      <c r="BK34" s="388"/>
      <c r="BL34" s="389">
        <f t="shared" si="20"/>
        <v>0</v>
      </c>
      <c r="BM34" s="387"/>
      <c r="BN34" s="388"/>
      <c r="BO34" s="389">
        <f t="shared" si="21"/>
        <v>0</v>
      </c>
      <c r="BP34" s="387"/>
      <c r="BQ34" s="388"/>
      <c r="BR34" s="389">
        <f t="shared" si="22"/>
        <v>0</v>
      </c>
      <c r="BS34" s="387"/>
      <c r="BT34" s="388"/>
      <c r="BU34" s="389">
        <f t="shared" si="23"/>
        <v>0</v>
      </c>
      <c r="BV34" s="387"/>
      <c r="BW34" s="388"/>
      <c r="BX34" s="389">
        <f t="shared" si="24"/>
        <v>0</v>
      </c>
      <c r="BY34" s="387"/>
      <c r="BZ34" s="388"/>
      <c r="CA34" s="389">
        <f t="shared" si="25"/>
        <v>0</v>
      </c>
      <c r="CB34" s="387"/>
      <c r="CC34" s="388"/>
      <c r="CD34" s="389">
        <f t="shared" si="26"/>
        <v>0</v>
      </c>
      <c r="CE34" s="387"/>
      <c r="CF34" s="388"/>
      <c r="CG34" s="389">
        <f t="shared" si="27"/>
        <v>0</v>
      </c>
      <c r="CH34" s="387"/>
      <c r="CI34" s="388"/>
      <c r="CJ34" s="389">
        <f t="shared" si="28"/>
        <v>0</v>
      </c>
      <c r="CK34" s="387"/>
      <c r="CL34" s="388"/>
      <c r="CM34" s="389">
        <f t="shared" si="29"/>
        <v>0</v>
      </c>
      <c r="CN34" s="387"/>
      <c r="CO34" s="388"/>
      <c r="CP34" s="389">
        <f t="shared" si="30"/>
        <v>0</v>
      </c>
    </row>
    <row r="35" spans="1:94" ht="15.95" customHeight="1" x14ac:dyDescent="0.25">
      <c r="A35" s="386"/>
      <c r="B35" s="387"/>
      <c r="C35" s="388"/>
      <c r="D35" s="389">
        <f t="shared" si="0"/>
        <v>0</v>
      </c>
      <c r="E35" s="387"/>
      <c r="F35" s="388"/>
      <c r="G35" s="389">
        <f t="shared" si="1"/>
        <v>0</v>
      </c>
      <c r="H35" s="387"/>
      <c r="I35" s="388"/>
      <c r="J35" s="389">
        <f t="shared" si="2"/>
        <v>0</v>
      </c>
      <c r="K35" s="387"/>
      <c r="L35" s="388"/>
      <c r="M35" s="389">
        <f t="shared" si="3"/>
        <v>0</v>
      </c>
      <c r="N35" s="387"/>
      <c r="O35" s="388"/>
      <c r="P35" s="389">
        <f t="shared" si="4"/>
        <v>0</v>
      </c>
      <c r="Q35" s="387"/>
      <c r="R35" s="388"/>
      <c r="S35" s="389">
        <f t="shared" si="5"/>
        <v>0</v>
      </c>
      <c r="T35" s="387"/>
      <c r="U35" s="388"/>
      <c r="V35" s="389">
        <f t="shared" si="6"/>
        <v>0</v>
      </c>
      <c r="W35" s="387"/>
      <c r="X35" s="388"/>
      <c r="Y35" s="389">
        <f t="shared" si="7"/>
        <v>0</v>
      </c>
      <c r="Z35" s="387"/>
      <c r="AA35" s="388"/>
      <c r="AB35" s="389">
        <f t="shared" si="8"/>
        <v>0</v>
      </c>
      <c r="AC35" s="387"/>
      <c r="AD35" s="388"/>
      <c r="AE35" s="389">
        <f t="shared" si="9"/>
        <v>0</v>
      </c>
      <c r="AF35" s="387"/>
      <c r="AG35" s="388"/>
      <c r="AH35" s="389">
        <f t="shared" si="10"/>
        <v>0</v>
      </c>
      <c r="AI35" s="387"/>
      <c r="AJ35" s="388"/>
      <c r="AK35" s="389">
        <f t="shared" si="11"/>
        <v>0</v>
      </c>
      <c r="AL35" s="387"/>
      <c r="AM35" s="388"/>
      <c r="AN35" s="389">
        <f t="shared" si="12"/>
        <v>0</v>
      </c>
      <c r="AO35" s="387"/>
      <c r="AP35" s="388"/>
      <c r="AQ35" s="389">
        <f t="shared" si="13"/>
        <v>0</v>
      </c>
      <c r="AR35" s="387"/>
      <c r="AS35" s="388"/>
      <c r="AT35" s="389">
        <f t="shared" si="14"/>
        <v>0</v>
      </c>
      <c r="AU35" s="387"/>
      <c r="AV35" s="388"/>
      <c r="AW35" s="389">
        <f t="shared" si="15"/>
        <v>0</v>
      </c>
      <c r="AX35" s="387"/>
      <c r="AY35" s="388"/>
      <c r="AZ35" s="389">
        <f t="shared" si="16"/>
        <v>0</v>
      </c>
      <c r="BA35" s="387"/>
      <c r="BB35" s="388"/>
      <c r="BC35" s="389">
        <f t="shared" si="17"/>
        <v>0</v>
      </c>
      <c r="BD35" s="387"/>
      <c r="BE35" s="388"/>
      <c r="BF35" s="389">
        <f t="shared" si="18"/>
        <v>0</v>
      </c>
      <c r="BG35" s="387"/>
      <c r="BH35" s="388"/>
      <c r="BI35" s="389">
        <f t="shared" si="19"/>
        <v>0</v>
      </c>
      <c r="BJ35" s="387"/>
      <c r="BK35" s="388"/>
      <c r="BL35" s="389">
        <f t="shared" si="20"/>
        <v>0</v>
      </c>
      <c r="BM35" s="387"/>
      <c r="BN35" s="388"/>
      <c r="BO35" s="389">
        <f t="shared" si="21"/>
        <v>0</v>
      </c>
      <c r="BP35" s="387"/>
      <c r="BQ35" s="388"/>
      <c r="BR35" s="389">
        <f t="shared" si="22"/>
        <v>0</v>
      </c>
      <c r="BS35" s="387"/>
      <c r="BT35" s="388"/>
      <c r="BU35" s="389">
        <f t="shared" si="23"/>
        <v>0</v>
      </c>
      <c r="BV35" s="387"/>
      <c r="BW35" s="388"/>
      <c r="BX35" s="389">
        <f t="shared" si="24"/>
        <v>0</v>
      </c>
      <c r="BY35" s="387"/>
      <c r="BZ35" s="388"/>
      <c r="CA35" s="389">
        <f t="shared" si="25"/>
        <v>0</v>
      </c>
      <c r="CB35" s="387"/>
      <c r="CC35" s="388"/>
      <c r="CD35" s="389">
        <f t="shared" si="26"/>
        <v>0</v>
      </c>
      <c r="CE35" s="387"/>
      <c r="CF35" s="388"/>
      <c r="CG35" s="389">
        <f t="shared" si="27"/>
        <v>0</v>
      </c>
      <c r="CH35" s="387"/>
      <c r="CI35" s="388"/>
      <c r="CJ35" s="389">
        <f t="shared" si="28"/>
        <v>0</v>
      </c>
      <c r="CK35" s="387"/>
      <c r="CL35" s="388"/>
      <c r="CM35" s="389">
        <f t="shared" si="29"/>
        <v>0</v>
      </c>
      <c r="CN35" s="387"/>
      <c r="CO35" s="388"/>
      <c r="CP35" s="389">
        <f t="shared" si="30"/>
        <v>0</v>
      </c>
    </row>
    <row r="36" spans="1:94" ht="15.95" customHeight="1" x14ac:dyDescent="0.25">
      <c r="A36" s="386"/>
      <c r="B36" s="387"/>
      <c r="C36" s="388"/>
      <c r="D36" s="389">
        <f t="shared" si="0"/>
        <v>0</v>
      </c>
      <c r="E36" s="387"/>
      <c r="F36" s="388"/>
      <c r="G36" s="389">
        <f t="shared" si="1"/>
        <v>0</v>
      </c>
      <c r="H36" s="387"/>
      <c r="I36" s="388"/>
      <c r="J36" s="389">
        <f t="shared" si="2"/>
        <v>0</v>
      </c>
      <c r="K36" s="387"/>
      <c r="L36" s="388"/>
      <c r="M36" s="389">
        <f t="shared" si="3"/>
        <v>0</v>
      </c>
      <c r="N36" s="387"/>
      <c r="O36" s="388"/>
      <c r="P36" s="389">
        <f t="shared" si="4"/>
        <v>0</v>
      </c>
      <c r="Q36" s="387"/>
      <c r="R36" s="388"/>
      <c r="S36" s="389">
        <f t="shared" si="5"/>
        <v>0</v>
      </c>
      <c r="T36" s="387"/>
      <c r="U36" s="388"/>
      <c r="V36" s="389">
        <f t="shared" si="6"/>
        <v>0</v>
      </c>
      <c r="W36" s="387"/>
      <c r="X36" s="388"/>
      <c r="Y36" s="389">
        <f t="shared" si="7"/>
        <v>0</v>
      </c>
      <c r="Z36" s="387"/>
      <c r="AA36" s="388"/>
      <c r="AB36" s="389">
        <f t="shared" si="8"/>
        <v>0</v>
      </c>
      <c r="AC36" s="387"/>
      <c r="AD36" s="388"/>
      <c r="AE36" s="389">
        <f t="shared" si="9"/>
        <v>0</v>
      </c>
      <c r="AF36" s="387"/>
      <c r="AG36" s="388"/>
      <c r="AH36" s="389">
        <f t="shared" si="10"/>
        <v>0</v>
      </c>
      <c r="AI36" s="387"/>
      <c r="AJ36" s="388"/>
      <c r="AK36" s="389">
        <f t="shared" si="11"/>
        <v>0</v>
      </c>
      <c r="AL36" s="387"/>
      <c r="AM36" s="388"/>
      <c r="AN36" s="389">
        <f t="shared" si="12"/>
        <v>0</v>
      </c>
      <c r="AO36" s="387"/>
      <c r="AP36" s="388"/>
      <c r="AQ36" s="389">
        <f t="shared" si="13"/>
        <v>0</v>
      </c>
      <c r="AR36" s="387"/>
      <c r="AS36" s="388"/>
      <c r="AT36" s="389">
        <f t="shared" si="14"/>
        <v>0</v>
      </c>
      <c r="AU36" s="387"/>
      <c r="AV36" s="388"/>
      <c r="AW36" s="389">
        <f t="shared" si="15"/>
        <v>0</v>
      </c>
      <c r="AX36" s="387"/>
      <c r="AY36" s="388"/>
      <c r="AZ36" s="389">
        <f t="shared" si="16"/>
        <v>0</v>
      </c>
      <c r="BA36" s="387"/>
      <c r="BB36" s="388"/>
      <c r="BC36" s="389">
        <f t="shared" si="17"/>
        <v>0</v>
      </c>
      <c r="BD36" s="387"/>
      <c r="BE36" s="388"/>
      <c r="BF36" s="389">
        <f t="shared" si="18"/>
        <v>0</v>
      </c>
      <c r="BG36" s="387"/>
      <c r="BH36" s="388"/>
      <c r="BI36" s="389">
        <f t="shared" si="19"/>
        <v>0</v>
      </c>
      <c r="BJ36" s="387"/>
      <c r="BK36" s="388"/>
      <c r="BL36" s="389">
        <f t="shared" si="20"/>
        <v>0</v>
      </c>
      <c r="BM36" s="387"/>
      <c r="BN36" s="388"/>
      <c r="BO36" s="389">
        <f t="shared" si="21"/>
        <v>0</v>
      </c>
      <c r="BP36" s="387"/>
      <c r="BQ36" s="388"/>
      <c r="BR36" s="389">
        <f t="shared" si="22"/>
        <v>0</v>
      </c>
      <c r="BS36" s="387"/>
      <c r="BT36" s="388"/>
      <c r="BU36" s="389">
        <f t="shared" si="23"/>
        <v>0</v>
      </c>
      <c r="BV36" s="387"/>
      <c r="BW36" s="388"/>
      <c r="BX36" s="389">
        <f t="shared" si="24"/>
        <v>0</v>
      </c>
      <c r="BY36" s="387"/>
      <c r="BZ36" s="388"/>
      <c r="CA36" s="389">
        <f t="shared" si="25"/>
        <v>0</v>
      </c>
      <c r="CB36" s="387"/>
      <c r="CC36" s="388"/>
      <c r="CD36" s="389">
        <f t="shared" si="26"/>
        <v>0</v>
      </c>
      <c r="CE36" s="387"/>
      <c r="CF36" s="388"/>
      <c r="CG36" s="389">
        <f t="shared" si="27"/>
        <v>0</v>
      </c>
      <c r="CH36" s="387"/>
      <c r="CI36" s="388"/>
      <c r="CJ36" s="389">
        <f t="shared" si="28"/>
        <v>0</v>
      </c>
      <c r="CK36" s="387"/>
      <c r="CL36" s="388"/>
      <c r="CM36" s="389">
        <f t="shared" si="29"/>
        <v>0</v>
      </c>
      <c r="CN36" s="387"/>
      <c r="CO36" s="388"/>
      <c r="CP36" s="389">
        <f t="shared" si="30"/>
        <v>0</v>
      </c>
    </row>
    <row r="37" spans="1:94" ht="15.95" customHeight="1" x14ac:dyDescent="0.25">
      <c r="A37" s="390"/>
      <c r="B37" s="391"/>
      <c r="C37" s="392"/>
      <c r="D37" s="393">
        <f t="shared" si="0"/>
        <v>0</v>
      </c>
      <c r="E37" s="391"/>
      <c r="F37" s="392"/>
      <c r="G37" s="393">
        <f t="shared" si="1"/>
        <v>0</v>
      </c>
      <c r="H37" s="391"/>
      <c r="I37" s="392"/>
      <c r="J37" s="393">
        <f t="shared" si="2"/>
        <v>0</v>
      </c>
      <c r="K37" s="391"/>
      <c r="L37" s="392"/>
      <c r="M37" s="393">
        <f t="shared" si="3"/>
        <v>0</v>
      </c>
      <c r="N37" s="391"/>
      <c r="O37" s="392"/>
      <c r="P37" s="393">
        <f t="shared" si="4"/>
        <v>0</v>
      </c>
      <c r="Q37" s="391"/>
      <c r="R37" s="392"/>
      <c r="S37" s="393">
        <f t="shared" si="5"/>
        <v>0</v>
      </c>
      <c r="T37" s="391"/>
      <c r="U37" s="392"/>
      <c r="V37" s="393">
        <f t="shared" si="6"/>
        <v>0</v>
      </c>
      <c r="W37" s="391"/>
      <c r="X37" s="392"/>
      <c r="Y37" s="393">
        <f t="shared" si="7"/>
        <v>0</v>
      </c>
      <c r="Z37" s="391"/>
      <c r="AA37" s="392"/>
      <c r="AB37" s="393">
        <f t="shared" si="8"/>
        <v>0</v>
      </c>
      <c r="AC37" s="391"/>
      <c r="AD37" s="392"/>
      <c r="AE37" s="393">
        <f t="shared" si="9"/>
        <v>0</v>
      </c>
      <c r="AF37" s="391"/>
      <c r="AG37" s="392"/>
      <c r="AH37" s="393">
        <f t="shared" si="10"/>
        <v>0</v>
      </c>
      <c r="AI37" s="391"/>
      <c r="AJ37" s="392"/>
      <c r="AK37" s="393">
        <f t="shared" si="11"/>
        <v>0</v>
      </c>
      <c r="AL37" s="391"/>
      <c r="AM37" s="392"/>
      <c r="AN37" s="393">
        <f t="shared" si="12"/>
        <v>0</v>
      </c>
      <c r="AO37" s="391"/>
      <c r="AP37" s="392"/>
      <c r="AQ37" s="393">
        <f t="shared" si="13"/>
        <v>0</v>
      </c>
      <c r="AR37" s="391"/>
      <c r="AS37" s="392"/>
      <c r="AT37" s="393">
        <f t="shared" si="14"/>
        <v>0</v>
      </c>
      <c r="AU37" s="391"/>
      <c r="AV37" s="392"/>
      <c r="AW37" s="393">
        <f t="shared" si="15"/>
        <v>0</v>
      </c>
      <c r="AX37" s="391"/>
      <c r="AY37" s="392"/>
      <c r="AZ37" s="393">
        <f t="shared" si="16"/>
        <v>0</v>
      </c>
      <c r="BA37" s="391"/>
      <c r="BB37" s="392"/>
      <c r="BC37" s="393">
        <f t="shared" si="17"/>
        <v>0</v>
      </c>
      <c r="BD37" s="391"/>
      <c r="BE37" s="392"/>
      <c r="BF37" s="393">
        <f t="shared" si="18"/>
        <v>0</v>
      </c>
      <c r="BG37" s="391"/>
      <c r="BH37" s="392"/>
      <c r="BI37" s="393">
        <f t="shared" si="19"/>
        <v>0</v>
      </c>
      <c r="BJ37" s="391"/>
      <c r="BK37" s="392"/>
      <c r="BL37" s="393">
        <f t="shared" si="20"/>
        <v>0</v>
      </c>
      <c r="BM37" s="391"/>
      <c r="BN37" s="392"/>
      <c r="BO37" s="393">
        <f t="shared" si="21"/>
        <v>0</v>
      </c>
      <c r="BP37" s="391"/>
      <c r="BQ37" s="392"/>
      <c r="BR37" s="393">
        <f t="shared" si="22"/>
        <v>0</v>
      </c>
      <c r="BS37" s="391"/>
      <c r="BT37" s="392"/>
      <c r="BU37" s="393">
        <f t="shared" si="23"/>
        <v>0</v>
      </c>
      <c r="BV37" s="391"/>
      <c r="BW37" s="392"/>
      <c r="BX37" s="393">
        <f t="shared" si="24"/>
        <v>0</v>
      </c>
      <c r="BY37" s="391"/>
      <c r="BZ37" s="392"/>
      <c r="CA37" s="393">
        <f t="shared" si="25"/>
        <v>0</v>
      </c>
      <c r="CB37" s="391"/>
      <c r="CC37" s="392"/>
      <c r="CD37" s="393">
        <f t="shared" si="26"/>
        <v>0</v>
      </c>
      <c r="CE37" s="391"/>
      <c r="CF37" s="392"/>
      <c r="CG37" s="393">
        <f t="shared" si="27"/>
        <v>0</v>
      </c>
      <c r="CH37" s="391"/>
      <c r="CI37" s="392"/>
      <c r="CJ37" s="393">
        <f t="shared" si="28"/>
        <v>0</v>
      </c>
      <c r="CK37" s="391"/>
      <c r="CL37" s="392"/>
      <c r="CM37" s="393">
        <f t="shared" si="29"/>
        <v>0</v>
      </c>
      <c r="CN37" s="391"/>
      <c r="CO37" s="392"/>
      <c r="CP37" s="393">
        <f t="shared" si="30"/>
        <v>0</v>
      </c>
    </row>
    <row r="38" spans="1:94" ht="19.5" customHeight="1" thickBot="1" x14ac:dyDescent="0.3">
      <c r="A38" s="394" t="s">
        <v>179</v>
      </c>
      <c r="B38" s="970">
        <f>SUM(D5:D37)</f>
        <v>0</v>
      </c>
      <c r="C38" s="971"/>
      <c r="D38" s="972"/>
      <c r="E38" s="970">
        <f>SUM(G5:G37)</f>
        <v>0</v>
      </c>
      <c r="F38" s="971"/>
      <c r="G38" s="972"/>
      <c r="H38" s="970">
        <f>SUM(J5:J37)</f>
        <v>0</v>
      </c>
      <c r="I38" s="971"/>
      <c r="J38" s="972"/>
      <c r="K38" s="970">
        <f>SUM(M5:M37)</f>
        <v>0</v>
      </c>
      <c r="L38" s="971"/>
      <c r="M38" s="972"/>
      <c r="N38" s="970">
        <f>SUM(P5:P37)</f>
        <v>0</v>
      </c>
      <c r="O38" s="971"/>
      <c r="P38" s="972"/>
      <c r="Q38" s="970">
        <f>SUM(S5:S37)</f>
        <v>0</v>
      </c>
      <c r="R38" s="971"/>
      <c r="S38" s="972"/>
      <c r="T38" s="970">
        <f>SUM(V5:V37)</f>
        <v>0</v>
      </c>
      <c r="U38" s="971"/>
      <c r="V38" s="972"/>
      <c r="W38" s="970">
        <f>SUM(Y5:Y37)</f>
        <v>0</v>
      </c>
      <c r="X38" s="971"/>
      <c r="Y38" s="972"/>
      <c r="Z38" s="970">
        <f>SUM(AB5:AB37)</f>
        <v>0</v>
      </c>
      <c r="AA38" s="971"/>
      <c r="AB38" s="972"/>
      <c r="AC38" s="970">
        <f>SUM(AE5:AE37)</f>
        <v>0</v>
      </c>
      <c r="AD38" s="971"/>
      <c r="AE38" s="972"/>
      <c r="AF38" s="970">
        <f>SUM(AH5:AH37)</f>
        <v>0</v>
      </c>
      <c r="AG38" s="971"/>
      <c r="AH38" s="972"/>
      <c r="AI38" s="970">
        <f>SUM(AK5:AK37)</f>
        <v>0</v>
      </c>
      <c r="AJ38" s="971"/>
      <c r="AK38" s="972"/>
      <c r="AL38" s="970">
        <f>SUM(AN5:AN37)</f>
        <v>0</v>
      </c>
      <c r="AM38" s="971"/>
      <c r="AN38" s="972"/>
      <c r="AO38" s="970">
        <f>SUM(AQ5:AQ37)</f>
        <v>0</v>
      </c>
      <c r="AP38" s="971"/>
      <c r="AQ38" s="972"/>
      <c r="AR38" s="970">
        <f>SUM(AT5:AT37)</f>
        <v>0</v>
      </c>
      <c r="AS38" s="971"/>
      <c r="AT38" s="972"/>
      <c r="AU38" s="970">
        <f>SUM(AW5:AW37)</f>
        <v>0</v>
      </c>
      <c r="AV38" s="971"/>
      <c r="AW38" s="972"/>
      <c r="AX38" s="970">
        <f>SUM(AZ5:AZ37)</f>
        <v>0</v>
      </c>
      <c r="AY38" s="971"/>
      <c r="AZ38" s="972"/>
      <c r="BA38" s="970">
        <f>SUM(BC5:BC37)</f>
        <v>0</v>
      </c>
      <c r="BB38" s="971"/>
      <c r="BC38" s="972"/>
      <c r="BD38" s="970">
        <f>SUM(BF5:BF37)</f>
        <v>0</v>
      </c>
      <c r="BE38" s="971"/>
      <c r="BF38" s="972"/>
      <c r="BG38" s="970">
        <f>SUM(BI5:BI37)</f>
        <v>0</v>
      </c>
      <c r="BH38" s="971"/>
      <c r="BI38" s="972"/>
      <c r="BJ38" s="970">
        <f>SUM(BL5:BL37)</f>
        <v>0</v>
      </c>
      <c r="BK38" s="971"/>
      <c r="BL38" s="972"/>
      <c r="BM38" s="970">
        <f>SUM(BO5:BO37)</f>
        <v>0</v>
      </c>
      <c r="BN38" s="971"/>
      <c r="BO38" s="972"/>
      <c r="BP38" s="970">
        <f>SUM(BR5:BR37)</f>
        <v>0</v>
      </c>
      <c r="BQ38" s="971"/>
      <c r="BR38" s="972"/>
      <c r="BS38" s="970">
        <f>SUM(BU5:BU37)</f>
        <v>0</v>
      </c>
      <c r="BT38" s="971"/>
      <c r="BU38" s="972"/>
      <c r="BV38" s="970">
        <f>SUM(BX5:BX37)</f>
        <v>0</v>
      </c>
      <c r="BW38" s="971"/>
      <c r="BX38" s="972"/>
      <c r="BY38" s="970">
        <f>SUM(CA5:CA37)</f>
        <v>0</v>
      </c>
      <c r="BZ38" s="971"/>
      <c r="CA38" s="972"/>
      <c r="CB38" s="970">
        <f>SUM(CD5:CD37)</f>
        <v>0</v>
      </c>
      <c r="CC38" s="971"/>
      <c r="CD38" s="972"/>
      <c r="CE38" s="970">
        <f>SUM(CG5:CG37)</f>
        <v>0</v>
      </c>
      <c r="CF38" s="971"/>
      <c r="CG38" s="972"/>
      <c r="CH38" s="970">
        <f>SUM(CJ5:CJ37)</f>
        <v>0</v>
      </c>
      <c r="CI38" s="971"/>
      <c r="CJ38" s="972"/>
      <c r="CK38" s="970">
        <f>SUM(CM5:CM37)</f>
        <v>0</v>
      </c>
      <c r="CL38" s="971"/>
      <c r="CM38" s="972"/>
      <c r="CN38" s="970">
        <f>SUM(CP5:CP37)</f>
        <v>0</v>
      </c>
      <c r="CO38" s="971"/>
      <c r="CP38" s="972"/>
    </row>
  </sheetData>
  <protectedRanges>
    <protectedRange sqref="A5:A37" name="입력란_2"/>
    <protectedRange sqref="H1:I1 L1:M1" name="입력란2_1"/>
  </protectedRanges>
  <mergeCells count="67">
    <mergeCell ref="CN38:CP38"/>
    <mergeCell ref="BY38:CA38"/>
    <mergeCell ref="CB38:CD38"/>
    <mergeCell ref="CE38:CG38"/>
    <mergeCell ref="CH38:CJ38"/>
    <mergeCell ref="CK38:CM38"/>
    <mergeCell ref="BJ38:BL38"/>
    <mergeCell ref="BM38:BO38"/>
    <mergeCell ref="BP38:BR38"/>
    <mergeCell ref="BS38:BU38"/>
    <mergeCell ref="BV38:BX38"/>
    <mergeCell ref="AU38:AW38"/>
    <mergeCell ref="AX38:AZ38"/>
    <mergeCell ref="BA38:BC38"/>
    <mergeCell ref="BD38:BF38"/>
    <mergeCell ref="BG38:BI38"/>
    <mergeCell ref="AF38:AH38"/>
    <mergeCell ref="AI38:AK38"/>
    <mergeCell ref="AL38:AN38"/>
    <mergeCell ref="AO38:AQ38"/>
    <mergeCell ref="AR38:AT38"/>
    <mergeCell ref="Q38:S38"/>
    <mergeCell ref="T38:V38"/>
    <mergeCell ref="W38:Y38"/>
    <mergeCell ref="Z38:AB38"/>
    <mergeCell ref="AC38:AE38"/>
    <mergeCell ref="B38:D38"/>
    <mergeCell ref="E38:G38"/>
    <mergeCell ref="H38:J38"/>
    <mergeCell ref="K38:M38"/>
    <mergeCell ref="N38:P38"/>
    <mergeCell ref="F1:G1"/>
    <mergeCell ref="H1:I1"/>
    <mergeCell ref="J1:K1"/>
    <mergeCell ref="BJ3:BL3"/>
    <mergeCell ref="AC3:AE3"/>
    <mergeCell ref="N3:P3"/>
    <mergeCell ref="Q3:S3"/>
    <mergeCell ref="T3:V3"/>
    <mergeCell ref="W3:Y3"/>
    <mergeCell ref="Z3:AB3"/>
    <mergeCell ref="AU3:AW3"/>
    <mergeCell ref="AX3:AZ3"/>
    <mergeCell ref="BA3:BC3"/>
    <mergeCell ref="BD3:BF3"/>
    <mergeCell ref="BG3:BI3"/>
    <mergeCell ref="L1:M1"/>
    <mergeCell ref="A3:A4"/>
    <mergeCell ref="B3:D3"/>
    <mergeCell ref="E3:G3"/>
    <mergeCell ref="H3:J3"/>
    <mergeCell ref="K3:M3"/>
    <mergeCell ref="CH3:CJ3"/>
    <mergeCell ref="CK3:CM3"/>
    <mergeCell ref="CN3:CP3"/>
    <mergeCell ref="BP3:BR3"/>
    <mergeCell ref="BS3:BU3"/>
    <mergeCell ref="BV3:BX3"/>
    <mergeCell ref="BY3:CA3"/>
    <mergeCell ref="CB3:CD3"/>
    <mergeCell ref="CE3:CG3"/>
    <mergeCell ref="BM3:BO3"/>
    <mergeCell ref="AF3:AH3"/>
    <mergeCell ref="AI3:AK3"/>
    <mergeCell ref="AL3:AN3"/>
    <mergeCell ref="AO3:AQ3"/>
    <mergeCell ref="AR3:AT3"/>
  </mergeCells>
  <phoneticPr fontId="46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4C51-61FB-4076-9C86-5842A5EB0115}">
  <sheetPr codeName="Sheet10">
    <tabColor rgb="FFFF0000"/>
  </sheetPr>
  <dimension ref="A1:CP38"/>
  <sheetViews>
    <sheetView zoomScaleNormal="100" workbookViewId="0">
      <pane xSplit="1" ySplit="4" topLeftCell="B5" activePane="bottomRight" state="frozen"/>
      <selection activeCell="L1" sqref="L1:M1"/>
      <selection pane="topRight" activeCell="L1" sqref="L1:M1"/>
      <selection pane="bottomLeft" activeCell="L1" sqref="L1:M1"/>
      <selection pane="bottomRight" activeCell="B5" sqref="B5:C12"/>
    </sheetView>
  </sheetViews>
  <sheetFormatPr defaultColWidth="9.140625" defaultRowHeight="13.5" x14ac:dyDescent="0.25"/>
  <cols>
    <col min="1" max="1" width="17.7109375" style="370" customWidth="1"/>
    <col min="2" max="2" width="4.7109375" style="369" customWidth="1"/>
    <col min="3" max="3" width="7.7109375" style="369" customWidth="1"/>
    <col min="4" max="4" width="12.7109375" style="370" customWidth="1"/>
    <col min="5" max="5" width="4.7109375" style="369" customWidth="1"/>
    <col min="6" max="6" width="7.7109375" style="369" customWidth="1"/>
    <col min="7" max="7" width="8.7109375" style="370" customWidth="1"/>
    <col min="8" max="8" width="4.7109375" style="369" customWidth="1"/>
    <col min="9" max="9" width="7.7109375" style="369" customWidth="1"/>
    <col min="10" max="10" width="8.7109375" style="370" customWidth="1"/>
    <col min="11" max="11" width="4.7109375" style="369" customWidth="1"/>
    <col min="12" max="12" width="7.7109375" style="369" customWidth="1"/>
    <col min="13" max="13" width="8.7109375" style="370" customWidth="1"/>
    <col min="14" max="14" width="4.7109375" style="369" customWidth="1"/>
    <col min="15" max="15" width="7.7109375" style="369" customWidth="1"/>
    <col min="16" max="16" width="8.7109375" style="370" customWidth="1"/>
    <col min="17" max="17" width="4.7109375" style="369" customWidth="1"/>
    <col min="18" max="18" width="7.7109375" style="369" customWidth="1"/>
    <col min="19" max="19" width="8.7109375" style="370" customWidth="1"/>
    <col min="20" max="20" width="4.7109375" style="369" customWidth="1"/>
    <col min="21" max="21" width="7.7109375" style="369" customWidth="1"/>
    <col min="22" max="22" width="8.7109375" style="370" customWidth="1"/>
    <col min="23" max="23" width="4.7109375" style="369" customWidth="1"/>
    <col min="24" max="24" width="7.7109375" style="369" customWidth="1"/>
    <col min="25" max="25" width="8.7109375" style="370" customWidth="1"/>
    <col min="26" max="26" width="4.7109375" style="369" customWidth="1"/>
    <col min="27" max="27" width="7.7109375" style="369" customWidth="1"/>
    <col min="28" max="28" width="8.7109375" style="370" customWidth="1"/>
    <col min="29" max="29" width="4.7109375" style="369" customWidth="1"/>
    <col min="30" max="30" width="7.7109375" style="369" customWidth="1"/>
    <col min="31" max="31" width="8.7109375" style="370" customWidth="1"/>
    <col min="32" max="32" width="4.7109375" style="369" customWidth="1"/>
    <col min="33" max="33" width="7.7109375" style="369" customWidth="1"/>
    <col min="34" max="34" width="8.7109375" style="370" customWidth="1"/>
    <col min="35" max="35" width="4.7109375" style="369" customWidth="1"/>
    <col min="36" max="36" width="7.7109375" style="369" customWidth="1"/>
    <col min="37" max="37" width="8.7109375" style="370" customWidth="1"/>
    <col min="38" max="38" width="4.7109375" style="369" customWidth="1"/>
    <col min="39" max="39" width="7.7109375" style="369" customWidth="1"/>
    <col min="40" max="40" width="8.7109375" style="370" customWidth="1"/>
    <col min="41" max="41" width="4.7109375" style="369" customWidth="1"/>
    <col min="42" max="42" width="7.7109375" style="369" customWidth="1"/>
    <col min="43" max="43" width="8.7109375" style="370" customWidth="1"/>
    <col min="44" max="44" width="4.7109375" style="369" customWidth="1"/>
    <col min="45" max="45" width="7.7109375" style="369" customWidth="1"/>
    <col min="46" max="46" width="8.7109375" style="370" customWidth="1"/>
    <col min="47" max="47" width="4.7109375" style="369" customWidth="1"/>
    <col min="48" max="48" width="7.7109375" style="369" customWidth="1"/>
    <col min="49" max="49" width="8.7109375" style="370" customWidth="1"/>
    <col min="50" max="50" width="4.7109375" style="369" customWidth="1"/>
    <col min="51" max="51" width="7.7109375" style="369" customWidth="1"/>
    <col min="52" max="52" width="8.7109375" style="370" customWidth="1"/>
    <col min="53" max="53" width="4.7109375" style="369" customWidth="1"/>
    <col min="54" max="54" width="7.7109375" style="369" customWidth="1"/>
    <col min="55" max="55" width="8.7109375" style="370" customWidth="1"/>
    <col min="56" max="56" width="4.7109375" style="369" customWidth="1"/>
    <col min="57" max="57" width="7.7109375" style="369" customWidth="1"/>
    <col min="58" max="58" width="8.7109375" style="370" customWidth="1"/>
    <col min="59" max="59" width="4.7109375" style="369" customWidth="1"/>
    <col min="60" max="60" width="7.7109375" style="369" customWidth="1"/>
    <col min="61" max="61" width="8.7109375" style="370" customWidth="1"/>
    <col min="62" max="62" width="4.7109375" style="369" customWidth="1"/>
    <col min="63" max="63" width="7.7109375" style="369" customWidth="1"/>
    <col min="64" max="64" width="8.7109375" style="370" customWidth="1"/>
    <col min="65" max="65" width="4.7109375" style="369" customWidth="1"/>
    <col min="66" max="66" width="7.7109375" style="369" customWidth="1"/>
    <col min="67" max="67" width="8.7109375" style="370" customWidth="1"/>
    <col min="68" max="68" width="4.7109375" style="369" customWidth="1"/>
    <col min="69" max="69" width="7.7109375" style="369" customWidth="1"/>
    <col min="70" max="70" width="8.7109375" style="370" customWidth="1"/>
    <col min="71" max="71" width="4.7109375" style="369" customWidth="1"/>
    <col min="72" max="72" width="7.7109375" style="369" customWidth="1"/>
    <col min="73" max="73" width="8.7109375" style="370" customWidth="1"/>
    <col min="74" max="74" width="4.7109375" style="369" customWidth="1"/>
    <col min="75" max="75" width="7.7109375" style="369" customWidth="1"/>
    <col min="76" max="76" width="8.7109375" style="370" customWidth="1"/>
    <col min="77" max="77" width="4.7109375" style="369" customWidth="1"/>
    <col min="78" max="78" width="7.7109375" style="369" customWidth="1"/>
    <col min="79" max="79" width="8.7109375" style="370" customWidth="1"/>
    <col min="80" max="80" width="4.7109375" style="369" customWidth="1"/>
    <col min="81" max="81" width="7.7109375" style="369" customWidth="1"/>
    <col min="82" max="82" width="8.7109375" style="370" customWidth="1"/>
    <col min="83" max="83" width="4.7109375" style="369" customWidth="1"/>
    <col min="84" max="84" width="7.7109375" style="369" customWidth="1"/>
    <col min="85" max="85" width="8.7109375" style="370" customWidth="1"/>
    <col min="86" max="86" width="4.7109375" style="369" customWidth="1"/>
    <col min="87" max="87" width="7.7109375" style="369" customWidth="1"/>
    <col min="88" max="88" width="8.7109375" style="370" customWidth="1"/>
    <col min="89" max="89" width="4.7109375" style="369" customWidth="1"/>
    <col min="90" max="90" width="7.7109375" style="369" customWidth="1"/>
    <col min="91" max="91" width="8.7109375" style="370" customWidth="1"/>
    <col min="92" max="92" width="4.7109375" style="369" customWidth="1"/>
    <col min="93" max="93" width="7.7109375" style="369" customWidth="1"/>
    <col min="94" max="94" width="8.7109375" style="370" customWidth="1"/>
    <col min="95" max="16384" width="9.140625" style="370"/>
  </cols>
  <sheetData>
    <row r="1" spans="1:94" ht="27" thickBot="1" x14ac:dyDescent="0.3">
      <c r="A1" s="368" t="s">
        <v>180</v>
      </c>
      <c r="F1" s="964" t="s">
        <v>181</v>
      </c>
      <c r="G1" s="965"/>
      <c r="H1" s="966"/>
      <c r="I1" s="967"/>
      <c r="J1" s="964" t="s">
        <v>149</v>
      </c>
      <c r="K1" s="965"/>
      <c r="L1" s="968"/>
      <c r="M1" s="969"/>
      <c r="R1" s="371"/>
      <c r="S1" s="369"/>
      <c r="V1" s="369"/>
    </row>
    <row r="2" spans="1:94" ht="7.5" customHeight="1" thickBot="1" x14ac:dyDescent="0.3">
      <c r="A2" s="368"/>
    </row>
    <row r="3" spans="1:94" s="372" customFormat="1" x14ac:dyDescent="0.25">
      <c r="A3" s="962" t="s">
        <v>175</v>
      </c>
      <c r="B3" s="959">
        <v>1</v>
      </c>
      <c r="C3" s="960"/>
      <c r="D3" s="961"/>
      <c r="E3" s="959">
        <v>2</v>
      </c>
      <c r="F3" s="960"/>
      <c r="G3" s="961"/>
      <c r="H3" s="959">
        <v>3</v>
      </c>
      <c r="I3" s="960"/>
      <c r="J3" s="961"/>
      <c r="K3" s="959">
        <v>4</v>
      </c>
      <c r="L3" s="960"/>
      <c r="M3" s="961"/>
      <c r="N3" s="959">
        <v>5</v>
      </c>
      <c r="O3" s="960"/>
      <c r="P3" s="961"/>
      <c r="Q3" s="959">
        <v>6</v>
      </c>
      <c r="R3" s="960"/>
      <c r="S3" s="961"/>
      <c r="T3" s="959">
        <v>7</v>
      </c>
      <c r="U3" s="960"/>
      <c r="V3" s="961"/>
      <c r="W3" s="959">
        <v>8</v>
      </c>
      <c r="X3" s="960"/>
      <c r="Y3" s="961"/>
      <c r="Z3" s="959">
        <v>9</v>
      </c>
      <c r="AA3" s="960"/>
      <c r="AB3" s="961"/>
      <c r="AC3" s="959">
        <v>10</v>
      </c>
      <c r="AD3" s="960"/>
      <c r="AE3" s="961"/>
      <c r="AF3" s="959">
        <v>11</v>
      </c>
      <c r="AG3" s="960"/>
      <c r="AH3" s="961"/>
      <c r="AI3" s="959">
        <v>12</v>
      </c>
      <c r="AJ3" s="960"/>
      <c r="AK3" s="961"/>
      <c r="AL3" s="959">
        <v>13</v>
      </c>
      <c r="AM3" s="960"/>
      <c r="AN3" s="961"/>
      <c r="AO3" s="959">
        <v>14</v>
      </c>
      <c r="AP3" s="960"/>
      <c r="AQ3" s="961"/>
      <c r="AR3" s="959">
        <v>15</v>
      </c>
      <c r="AS3" s="960"/>
      <c r="AT3" s="961"/>
      <c r="AU3" s="959">
        <v>16</v>
      </c>
      <c r="AV3" s="960"/>
      <c r="AW3" s="961"/>
      <c r="AX3" s="959">
        <v>17</v>
      </c>
      <c r="AY3" s="960"/>
      <c r="AZ3" s="961"/>
      <c r="BA3" s="959">
        <v>18</v>
      </c>
      <c r="BB3" s="960"/>
      <c r="BC3" s="961"/>
      <c r="BD3" s="959">
        <v>19</v>
      </c>
      <c r="BE3" s="960"/>
      <c r="BF3" s="961"/>
      <c r="BG3" s="959">
        <v>20</v>
      </c>
      <c r="BH3" s="960"/>
      <c r="BI3" s="961"/>
      <c r="BJ3" s="959">
        <v>21</v>
      </c>
      <c r="BK3" s="960"/>
      <c r="BL3" s="961"/>
      <c r="BM3" s="959">
        <v>22</v>
      </c>
      <c r="BN3" s="960"/>
      <c r="BO3" s="961"/>
      <c r="BP3" s="959">
        <v>23</v>
      </c>
      <c r="BQ3" s="960"/>
      <c r="BR3" s="961"/>
      <c r="BS3" s="959">
        <v>24</v>
      </c>
      <c r="BT3" s="960"/>
      <c r="BU3" s="961"/>
      <c r="BV3" s="959">
        <v>25</v>
      </c>
      <c r="BW3" s="960"/>
      <c r="BX3" s="961"/>
      <c r="BY3" s="959">
        <v>26</v>
      </c>
      <c r="BZ3" s="960"/>
      <c r="CA3" s="961"/>
      <c r="CB3" s="959">
        <v>27</v>
      </c>
      <c r="CC3" s="960"/>
      <c r="CD3" s="961"/>
      <c r="CE3" s="959">
        <v>28</v>
      </c>
      <c r="CF3" s="960"/>
      <c r="CG3" s="961"/>
      <c r="CH3" s="959">
        <v>29</v>
      </c>
      <c r="CI3" s="960"/>
      <c r="CJ3" s="961"/>
      <c r="CK3" s="959">
        <v>30</v>
      </c>
      <c r="CL3" s="960"/>
      <c r="CM3" s="961"/>
      <c r="CN3" s="959">
        <v>31</v>
      </c>
      <c r="CO3" s="960"/>
      <c r="CP3" s="961"/>
    </row>
    <row r="4" spans="1:94" s="372" customFormat="1" x14ac:dyDescent="0.25">
      <c r="A4" s="963"/>
      <c r="B4" s="373" t="s">
        <v>176</v>
      </c>
      <c r="C4" s="374" t="s">
        <v>177</v>
      </c>
      <c r="D4" s="375" t="s">
        <v>178</v>
      </c>
      <c r="E4" s="376" t="s">
        <v>176</v>
      </c>
      <c r="F4" s="374" t="s">
        <v>177</v>
      </c>
      <c r="G4" s="377" t="s">
        <v>178</v>
      </c>
      <c r="H4" s="373" t="s">
        <v>176</v>
      </c>
      <c r="I4" s="374" t="s">
        <v>177</v>
      </c>
      <c r="J4" s="375" t="s">
        <v>178</v>
      </c>
      <c r="K4" s="376" t="s">
        <v>176</v>
      </c>
      <c r="L4" s="374" t="s">
        <v>177</v>
      </c>
      <c r="M4" s="377" t="s">
        <v>178</v>
      </c>
      <c r="N4" s="373" t="s">
        <v>176</v>
      </c>
      <c r="O4" s="374" t="s">
        <v>177</v>
      </c>
      <c r="P4" s="375" t="s">
        <v>178</v>
      </c>
      <c r="Q4" s="376" t="s">
        <v>176</v>
      </c>
      <c r="R4" s="374" t="s">
        <v>177</v>
      </c>
      <c r="S4" s="377" t="s">
        <v>178</v>
      </c>
      <c r="T4" s="373" t="s">
        <v>176</v>
      </c>
      <c r="U4" s="374" t="s">
        <v>177</v>
      </c>
      <c r="V4" s="375" t="s">
        <v>178</v>
      </c>
      <c r="W4" s="376" t="s">
        <v>176</v>
      </c>
      <c r="X4" s="374" t="s">
        <v>177</v>
      </c>
      <c r="Y4" s="377" t="s">
        <v>178</v>
      </c>
      <c r="Z4" s="373" t="s">
        <v>176</v>
      </c>
      <c r="AA4" s="374" t="s">
        <v>177</v>
      </c>
      <c r="AB4" s="375" t="s">
        <v>178</v>
      </c>
      <c r="AC4" s="376" t="s">
        <v>176</v>
      </c>
      <c r="AD4" s="374" t="s">
        <v>177</v>
      </c>
      <c r="AE4" s="377" t="s">
        <v>178</v>
      </c>
      <c r="AF4" s="373" t="s">
        <v>176</v>
      </c>
      <c r="AG4" s="374" t="s">
        <v>177</v>
      </c>
      <c r="AH4" s="375" t="s">
        <v>178</v>
      </c>
      <c r="AI4" s="376" t="s">
        <v>176</v>
      </c>
      <c r="AJ4" s="374" t="s">
        <v>177</v>
      </c>
      <c r="AK4" s="377" t="s">
        <v>178</v>
      </c>
      <c r="AL4" s="373" t="s">
        <v>176</v>
      </c>
      <c r="AM4" s="374" t="s">
        <v>177</v>
      </c>
      <c r="AN4" s="375" t="s">
        <v>178</v>
      </c>
      <c r="AO4" s="376" t="s">
        <v>176</v>
      </c>
      <c r="AP4" s="374" t="s">
        <v>177</v>
      </c>
      <c r="AQ4" s="377" t="s">
        <v>178</v>
      </c>
      <c r="AR4" s="373" t="s">
        <v>176</v>
      </c>
      <c r="AS4" s="374" t="s">
        <v>177</v>
      </c>
      <c r="AT4" s="375" t="s">
        <v>178</v>
      </c>
      <c r="AU4" s="376" t="s">
        <v>176</v>
      </c>
      <c r="AV4" s="374" t="s">
        <v>177</v>
      </c>
      <c r="AW4" s="377" t="s">
        <v>178</v>
      </c>
      <c r="AX4" s="373" t="s">
        <v>176</v>
      </c>
      <c r="AY4" s="374" t="s">
        <v>177</v>
      </c>
      <c r="AZ4" s="375" t="s">
        <v>178</v>
      </c>
      <c r="BA4" s="373" t="s">
        <v>176</v>
      </c>
      <c r="BB4" s="374" t="s">
        <v>177</v>
      </c>
      <c r="BC4" s="375" t="s">
        <v>178</v>
      </c>
      <c r="BD4" s="376" t="s">
        <v>176</v>
      </c>
      <c r="BE4" s="374" t="s">
        <v>177</v>
      </c>
      <c r="BF4" s="377" t="s">
        <v>178</v>
      </c>
      <c r="BG4" s="373" t="s">
        <v>176</v>
      </c>
      <c r="BH4" s="374" t="s">
        <v>177</v>
      </c>
      <c r="BI4" s="375" t="s">
        <v>178</v>
      </c>
      <c r="BJ4" s="373" t="s">
        <v>176</v>
      </c>
      <c r="BK4" s="374" t="s">
        <v>177</v>
      </c>
      <c r="BL4" s="375" t="s">
        <v>178</v>
      </c>
      <c r="BM4" s="376" t="s">
        <v>176</v>
      </c>
      <c r="BN4" s="374" t="s">
        <v>177</v>
      </c>
      <c r="BO4" s="377" t="s">
        <v>178</v>
      </c>
      <c r="BP4" s="373" t="s">
        <v>176</v>
      </c>
      <c r="BQ4" s="374" t="s">
        <v>177</v>
      </c>
      <c r="BR4" s="375" t="s">
        <v>178</v>
      </c>
      <c r="BS4" s="373" t="s">
        <v>176</v>
      </c>
      <c r="BT4" s="374" t="s">
        <v>177</v>
      </c>
      <c r="BU4" s="375" t="s">
        <v>178</v>
      </c>
      <c r="BV4" s="376" t="s">
        <v>176</v>
      </c>
      <c r="BW4" s="374" t="s">
        <v>177</v>
      </c>
      <c r="BX4" s="377" t="s">
        <v>178</v>
      </c>
      <c r="BY4" s="373" t="s">
        <v>176</v>
      </c>
      <c r="BZ4" s="374" t="s">
        <v>177</v>
      </c>
      <c r="CA4" s="375" t="s">
        <v>178</v>
      </c>
      <c r="CB4" s="373" t="s">
        <v>176</v>
      </c>
      <c r="CC4" s="374" t="s">
        <v>177</v>
      </c>
      <c r="CD4" s="375" t="s">
        <v>178</v>
      </c>
      <c r="CE4" s="376" t="s">
        <v>176</v>
      </c>
      <c r="CF4" s="374" t="s">
        <v>177</v>
      </c>
      <c r="CG4" s="377" t="s">
        <v>178</v>
      </c>
      <c r="CH4" s="373" t="s">
        <v>176</v>
      </c>
      <c r="CI4" s="374" t="s">
        <v>177</v>
      </c>
      <c r="CJ4" s="375" t="s">
        <v>178</v>
      </c>
      <c r="CK4" s="373" t="s">
        <v>176</v>
      </c>
      <c r="CL4" s="374" t="s">
        <v>177</v>
      </c>
      <c r="CM4" s="375" t="s">
        <v>178</v>
      </c>
      <c r="CN4" s="373" t="s">
        <v>176</v>
      </c>
      <c r="CO4" s="374" t="s">
        <v>177</v>
      </c>
      <c r="CP4" s="375" t="s">
        <v>178</v>
      </c>
    </row>
    <row r="5" spans="1:94" ht="15.95" customHeight="1" x14ac:dyDescent="0.25">
      <c r="A5" s="378"/>
      <c r="B5" s="379"/>
      <c r="C5" s="380"/>
      <c r="D5" s="381">
        <f t="shared" ref="D5:D37" si="0">B5*C5</f>
        <v>0</v>
      </c>
      <c r="E5" s="379"/>
      <c r="F5" s="380"/>
      <c r="G5" s="381">
        <f t="shared" ref="G5:G37" si="1">E5*F5</f>
        <v>0</v>
      </c>
      <c r="H5" s="379"/>
      <c r="I5" s="380"/>
      <c r="J5" s="381">
        <f t="shared" ref="J5:J37" si="2">H5*I5</f>
        <v>0</v>
      </c>
      <c r="K5" s="379"/>
      <c r="L5" s="380"/>
      <c r="M5" s="381">
        <f t="shared" ref="M5:M37" si="3">K5*L5</f>
        <v>0</v>
      </c>
      <c r="N5" s="379"/>
      <c r="O5" s="380"/>
      <c r="P5" s="381">
        <f t="shared" ref="P5:P37" si="4">N5*O5</f>
        <v>0</v>
      </c>
      <c r="Q5" s="379"/>
      <c r="R5" s="380"/>
      <c r="S5" s="381">
        <f t="shared" ref="S5:S37" si="5">Q5*R5</f>
        <v>0</v>
      </c>
      <c r="T5" s="379"/>
      <c r="U5" s="380"/>
      <c r="V5" s="381">
        <f t="shared" ref="V5:V37" si="6">T5*U5</f>
        <v>0</v>
      </c>
      <c r="W5" s="379"/>
      <c r="X5" s="380"/>
      <c r="Y5" s="381">
        <f t="shared" ref="Y5:Y37" si="7">W5*X5</f>
        <v>0</v>
      </c>
      <c r="Z5" s="379"/>
      <c r="AA5" s="380"/>
      <c r="AB5" s="381">
        <f t="shared" ref="AB5:AB37" si="8">Z5*AA5</f>
        <v>0</v>
      </c>
      <c r="AC5" s="379"/>
      <c r="AD5" s="380"/>
      <c r="AE5" s="381">
        <f t="shared" ref="AE5:AE37" si="9">AC5*AD5</f>
        <v>0</v>
      </c>
      <c r="AF5" s="379"/>
      <c r="AG5" s="380"/>
      <c r="AH5" s="381">
        <f t="shared" ref="AH5:AH37" si="10">AF5*AG5</f>
        <v>0</v>
      </c>
      <c r="AI5" s="379"/>
      <c r="AJ5" s="380"/>
      <c r="AK5" s="381">
        <f t="shared" ref="AK5:AK37" si="11">AI5*AJ5</f>
        <v>0</v>
      </c>
      <c r="AL5" s="379"/>
      <c r="AM5" s="380"/>
      <c r="AN5" s="381">
        <f t="shared" ref="AN5:AN37" si="12">AL5*AM5</f>
        <v>0</v>
      </c>
      <c r="AO5" s="379"/>
      <c r="AP5" s="380"/>
      <c r="AQ5" s="381">
        <f t="shared" ref="AQ5:AQ37" si="13">AO5*AP5</f>
        <v>0</v>
      </c>
      <c r="AR5" s="379"/>
      <c r="AS5" s="380"/>
      <c r="AT5" s="381">
        <f t="shared" ref="AT5:AT37" si="14">AR5*AS5</f>
        <v>0</v>
      </c>
      <c r="AU5" s="379"/>
      <c r="AV5" s="380"/>
      <c r="AW5" s="381">
        <f t="shared" ref="AW5:AW37" si="15">AU5*AV5</f>
        <v>0</v>
      </c>
      <c r="AX5" s="379"/>
      <c r="AY5" s="380"/>
      <c r="AZ5" s="381">
        <f t="shared" ref="AZ5:AZ37" si="16">AX5*AY5</f>
        <v>0</v>
      </c>
      <c r="BA5" s="379"/>
      <c r="BB5" s="380"/>
      <c r="BC5" s="381">
        <f t="shared" ref="BC5:BC37" si="17">BA5*BB5</f>
        <v>0</v>
      </c>
      <c r="BD5" s="379"/>
      <c r="BE5" s="380"/>
      <c r="BF5" s="381">
        <f t="shared" ref="BF5:BF37" si="18">BD5*BE5</f>
        <v>0</v>
      </c>
      <c r="BG5" s="379"/>
      <c r="BH5" s="380"/>
      <c r="BI5" s="381">
        <f t="shared" ref="BI5:BI37" si="19">BG5*BH5</f>
        <v>0</v>
      </c>
      <c r="BJ5" s="379"/>
      <c r="BK5" s="380"/>
      <c r="BL5" s="381">
        <f t="shared" ref="BL5:BL37" si="20">BJ5*BK5</f>
        <v>0</v>
      </c>
      <c r="BM5" s="379"/>
      <c r="BN5" s="380"/>
      <c r="BO5" s="381">
        <f t="shared" ref="BO5:BO37" si="21">BM5*BN5</f>
        <v>0</v>
      </c>
      <c r="BP5" s="379"/>
      <c r="BQ5" s="380"/>
      <c r="BR5" s="381">
        <f t="shared" ref="BR5:BR37" si="22">BP5*BQ5</f>
        <v>0</v>
      </c>
      <c r="BS5" s="379"/>
      <c r="BT5" s="380"/>
      <c r="BU5" s="381">
        <f t="shared" ref="BU5:BU37" si="23">BS5*BT5</f>
        <v>0</v>
      </c>
      <c r="BV5" s="379"/>
      <c r="BW5" s="380"/>
      <c r="BX5" s="381">
        <f t="shared" ref="BX5:BX37" si="24">BV5*BW5</f>
        <v>0</v>
      </c>
      <c r="BY5" s="379"/>
      <c r="BZ5" s="380"/>
      <c r="CA5" s="381">
        <f t="shared" ref="CA5:CA37" si="25">BY5*BZ5</f>
        <v>0</v>
      </c>
      <c r="CB5" s="379"/>
      <c r="CC5" s="380"/>
      <c r="CD5" s="381">
        <f t="shared" ref="CD5:CD37" si="26">CB5*CC5</f>
        <v>0</v>
      </c>
      <c r="CE5" s="379"/>
      <c r="CF5" s="380"/>
      <c r="CG5" s="381">
        <f t="shared" ref="CG5:CG37" si="27">CE5*CF5</f>
        <v>0</v>
      </c>
      <c r="CH5" s="379"/>
      <c r="CI5" s="380"/>
      <c r="CJ5" s="381">
        <f t="shared" ref="CJ5:CJ37" si="28">CH5*CI5</f>
        <v>0</v>
      </c>
      <c r="CK5" s="379"/>
      <c r="CL5" s="380"/>
      <c r="CM5" s="381">
        <f t="shared" ref="CM5:CM37" si="29">CK5*CL5</f>
        <v>0</v>
      </c>
      <c r="CN5" s="379"/>
      <c r="CO5" s="380"/>
      <c r="CP5" s="381">
        <f t="shared" ref="CP5:CP37" si="30">CN5*CO5</f>
        <v>0</v>
      </c>
    </row>
    <row r="6" spans="1:94" ht="15.95" customHeight="1" x14ac:dyDescent="0.25">
      <c r="A6" s="382"/>
      <c r="B6" s="383"/>
      <c r="C6" s="384"/>
      <c r="D6" s="385">
        <f t="shared" si="0"/>
        <v>0</v>
      </c>
      <c r="E6" s="383"/>
      <c r="F6" s="384"/>
      <c r="G6" s="385">
        <f t="shared" si="1"/>
        <v>0</v>
      </c>
      <c r="H6" s="383"/>
      <c r="I6" s="384"/>
      <c r="J6" s="385">
        <f t="shared" si="2"/>
        <v>0</v>
      </c>
      <c r="K6" s="383"/>
      <c r="L6" s="384"/>
      <c r="M6" s="385">
        <f t="shared" si="3"/>
        <v>0</v>
      </c>
      <c r="N6" s="383"/>
      <c r="O6" s="384"/>
      <c r="P6" s="385">
        <f t="shared" si="4"/>
        <v>0</v>
      </c>
      <c r="Q6" s="383"/>
      <c r="R6" s="384"/>
      <c r="S6" s="385">
        <f t="shared" si="5"/>
        <v>0</v>
      </c>
      <c r="T6" s="383"/>
      <c r="U6" s="384"/>
      <c r="V6" s="385">
        <f t="shared" si="6"/>
        <v>0</v>
      </c>
      <c r="W6" s="383"/>
      <c r="X6" s="384"/>
      <c r="Y6" s="385">
        <f t="shared" si="7"/>
        <v>0</v>
      </c>
      <c r="Z6" s="383"/>
      <c r="AA6" s="384"/>
      <c r="AB6" s="385">
        <f t="shared" si="8"/>
        <v>0</v>
      </c>
      <c r="AC6" s="383"/>
      <c r="AD6" s="384"/>
      <c r="AE6" s="385">
        <f t="shared" si="9"/>
        <v>0</v>
      </c>
      <c r="AF6" s="383"/>
      <c r="AG6" s="384"/>
      <c r="AH6" s="385">
        <f t="shared" si="10"/>
        <v>0</v>
      </c>
      <c r="AI6" s="383"/>
      <c r="AJ6" s="384"/>
      <c r="AK6" s="385">
        <f t="shared" si="11"/>
        <v>0</v>
      </c>
      <c r="AL6" s="383"/>
      <c r="AM6" s="384"/>
      <c r="AN6" s="385">
        <f t="shared" si="12"/>
        <v>0</v>
      </c>
      <c r="AO6" s="383"/>
      <c r="AP6" s="384"/>
      <c r="AQ6" s="385">
        <f t="shared" si="13"/>
        <v>0</v>
      </c>
      <c r="AR6" s="383"/>
      <c r="AS6" s="384"/>
      <c r="AT6" s="385">
        <f t="shared" si="14"/>
        <v>0</v>
      </c>
      <c r="AU6" s="383"/>
      <c r="AV6" s="384"/>
      <c r="AW6" s="385">
        <f t="shared" si="15"/>
        <v>0</v>
      </c>
      <c r="AX6" s="383"/>
      <c r="AY6" s="384"/>
      <c r="AZ6" s="385">
        <f t="shared" si="16"/>
        <v>0</v>
      </c>
      <c r="BA6" s="383"/>
      <c r="BB6" s="384"/>
      <c r="BC6" s="385">
        <f t="shared" si="17"/>
        <v>0</v>
      </c>
      <c r="BD6" s="383"/>
      <c r="BE6" s="384"/>
      <c r="BF6" s="385">
        <f t="shared" si="18"/>
        <v>0</v>
      </c>
      <c r="BG6" s="383"/>
      <c r="BH6" s="384"/>
      <c r="BI6" s="385">
        <f t="shared" si="19"/>
        <v>0</v>
      </c>
      <c r="BJ6" s="383"/>
      <c r="BK6" s="384"/>
      <c r="BL6" s="385">
        <f t="shared" si="20"/>
        <v>0</v>
      </c>
      <c r="BM6" s="383"/>
      <c r="BN6" s="384"/>
      <c r="BO6" s="385">
        <f t="shared" si="21"/>
        <v>0</v>
      </c>
      <c r="BP6" s="383"/>
      <c r="BQ6" s="384"/>
      <c r="BR6" s="385">
        <f t="shared" si="22"/>
        <v>0</v>
      </c>
      <c r="BS6" s="383"/>
      <c r="BT6" s="384"/>
      <c r="BU6" s="385">
        <f t="shared" si="23"/>
        <v>0</v>
      </c>
      <c r="BV6" s="383"/>
      <c r="BW6" s="384"/>
      <c r="BX6" s="385">
        <f t="shared" si="24"/>
        <v>0</v>
      </c>
      <c r="BY6" s="383"/>
      <c r="BZ6" s="384"/>
      <c r="CA6" s="385">
        <f t="shared" si="25"/>
        <v>0</v>
      </c>
      <c r="CB6" s="383"/>
      <c r="CC6" s="384"/>
      <c r="CD6" s="385">
        <f t="shared" si="26"/>
        <v>0</v>
      </c>
      <c r="CE6" s="383"/>
      <c r="CF6" s="384"/>
      <c r="CG6" s="385">
        <f t="shared" si="27"/>
        <v>0</v>
      </c>
      <c r="CH6" s="383"/>
      <c r="CI6" s="384"/>
      <c r="CJ6" s="385">
        <f t="shared" si="28"/>
        <v>0</v>
      </c>
      <c r="CK6" s="383"/>
      <c r="CL6" s="384"/>
      <c r="CM6" s="385">
        <f t="shared" si="29"/>
        <v>0</v>
      </c>
      <c r="CN6" s="383"/>
      <c r="CO6" s="384"/>
      <c r="CP6" s="385">
        <f t="shared" si="30"/>
        <v>0</v>
      </c>
    </row>
    <row r="7" spans="1:94" ht="15.95" customHeight="1" x14ac:dyDescent="0.25">
      <c r="A7" s="382"/>
      <c r="B7" s="383"/>
      <c r="C7" s="384"/>
      <c r="D7" s="385">
        <f t="shared" si="0"/>
        <v>0</v>
      </c>
      <c r="E7" s="383"/>
      <c r="F7" s="384"/>
      <c r="G7" s="385">
        <f t="shared" si="1"/>
        <v>0</v>
      </c>
      <c r="H7" s="383"/>
      <c r="I7" s="384"/>
      <c r="J7" s="385">
        <f t="shared" si="2"/>
        <v>0</v>
      </c>
      <c r="K7" s="383"/>
      <c r="L7" s="384"/>
      <c r="M7" s="385">
        <f t="shared" si="3"/>
        <v>0</v>
      </c>
      <c r="N7" s="383"/>
      <c r="O7" s="384"/>
      <c r="P7" s="385">
        <f t="shared" si="4"/>
        <v>0</v>
      </c>
      <c r="Q7" s="383"/>
      <c r="R7" s="384"/>
      <c r="S7" s="385">
        <f t="shared" si="5"/>
        <v>0</v>
      </c>
      <c r="T7" s="383"/>
      <c r="U7" s="384"/>
      <c r="V7" s="385">
        <f t="shared" si="6"/>
        <v>0</v>
      </c>
      <c r="W7" s="383"/>
      <c r="X7" s="384"/>
      <c r="Y7" s="385">
        <f t="shared" si="7"/>
        <v>0</v>
      </c>
      <c r="Z7" s="383"/>
      <c r="AA7" s="384"/>
      <c r="AB7" s="385">
        <f t="shared" si="8"/>
        <v>0</v>
      </c>
      <c r="AC7" s="383"/>
      <c r="AD7" s="384"/>
      <c r="AE7" s="385">
        <f t="shared" si="9"/>
        <v>0</v>
      </c>
      <c r="AF7" s="383"/>
      <c r="AG7" s="384"/>
      <c r="AH7" s="385">
        <f t="shared" si="10"/>
        <v>0</v>
      </c>
      <c r="AI7" s="383"/>
      <c r="AJ7" s="384"/>
      <c r="AK7" s="385">
        <f t="shared" si="11"/>
        <v>0</v>
      </c>
      <c r="AL7" s="383"/>
      <c r="AM7" s="384"/>
      <c r="AN7" s="385">
        <f t="shared" si="12"/>
        <v>0</v>
      </c>
      <c r="AO7" s="383"/>
      <c r="AP7" s="384"/>
      <c r="AQ7" s="385">
        <f t="shared" si="13"/>
        <v>0</v>
      </c>
      <c r="AR7" s="383"/>
      <c r="AS7" s="384"/>
      <c r="AT7" s="385">
        <f t="shared" si="14"/>
        <v>0</v>
      </c>
      <c r="AU7" s="383"/>
      <c r="AV7" s="384"/>
      <c r="AW7" s="385">
        <f t="shared" si="15"/>
        <v>0</v>
      </c>
      <c r="AX7" s="383"/>
      <c r="AY7" s="384"/>
      <c r="AZ7" s="385">
        <f t="shared" si="16"/>
        <v>0</v>
      </c>
      <c r="BA7" s="383"/>
      <c r="BB7" s="384"/>
      <c r="BC7" s="385">
        <f t="shared" si="17"/>
        <v>0</v>
      </c>
      <c r="BD7" s="383"/>
      <c r="BE7" s="384"/>
      <c r="BF7" s="385">
        <f t="shared" si="18"/>
        <v>0</v>
      </c>
      <c r="BG7" s="383"/>
      <c r="BH7" s="384"/>
      <c r="BI7" s="385">
        <f t="shared" si="19"/>
        <v>0</v>
      </c>
      <c r="BJ7" s="383"/>
      <c r="BK7" s="384"/>
      <c r="BL7" s="385">
        <f t="shared" si="20"/>
        <v>0</v>
      </c>
      <c r="BM7" s="383"/>
      <c r="BN7" s="384"/>
      <c r="BO7" s="385">
        <f t="shared" si="21"/>
        <v>0</v>
      </c>
      <c r="BP7" s="383"/>
      <c r="BQ7" s="384"/>
      <c r="BR7" s="385">
        <f t="shared" si="22"/>
        <v>0</v>
      </c>
      <c r="BS7" s="383"/>
      <c r="BT7" s="384"/>
      <c r="BU7" s="385">
        <f t="shared" si="23"/>
        <v>0</v>
      </c>
      <c r="BV7" s="383"/>
      <c r="BW7" s="384"/>
      <c r="BX7" s="385">
        <f t="shared" si="24"/>
        <v>0</v>
      </c>
      <c r="BY7" s="383"/>
      <c r="BZ7" s="384"/>
      <c r="CA7" s="385">
        <f t="shared" si="25"/>
        <v>0</v>
      </c>
      <c r="CB7" s="383"/>
      <c r="CC7" s="384"/>
      <c r="CD7" s="385">
        <f t="shared" si="26"/>
        <v>0</v>
      </c>
      <c r="CE7" s="383"/>
      <c r="CF7" s="384"/>
      <c r="CG7" s="385">
        <f t="shared" si="27"/>
        <v>0</v>
      </c>
      <c r="CH7" s="383"/>
      <c r="CI7" s="384"/>
      <c r="CJ7" s="385">
        <f t="shared" si="28"/>
        <v>0</v>
      </c>
      <c r="CK7" s="383"/>
      <c r="CL7" s="384"/>
      <c r="CM7" s="385">
        <f t="shared" si="29"/>
        <v>0</v>
      </c>
      <c r="CN7" s="383"/>
      <c r="CO7" s="384"/>
      <c r="CP7" s="385">
        <f t="shared" si="30"/>
        <v>0</v>
      </c>
    </row>
    <row r="8" spans="1:94" ht="15.95" customHeight="1" x14ac:dyDescent="0.25">
      <c r="A8" s="382"/>
      <c r="B8" s="383"/>
      <c r="C8" s="384"/>
      <c r="D8" s="385">
        <f t="shared" si="0"/>
        <v>0</v>
      </c>
      <c r="E8" s="383"/>
      <c r="F8" s="384"/>
      <c r="G8" s="385">
        <f t="shared" si="1"/>
        <v>0</v>
      </c>
      <c r="H8" s="383"/>
      <c r="I8" s="384"/>
      <c r="J8" s="385">
        <f t="shared" si="2"/>
        <v>0</v>
      </c>
      <c r="K8" s="383"/>
      <c r="L8" s="384"/>
      <c r="M8" s="385">
        <f t="shared" si="3"/>
        <v>0</v>
      </c>
      <c r="N8" s="383"/>
      <c r="O8" s="384"/>
      <c r="P8" s="385">
        <f t="shared" si="4"/>
        <v>0</v>
      </c>
      <c r="Q8" s="383"/>
      <c r="R8" s="384"/>
      <c r="S8" s="385">
        <f t="shared" si="5"/>
        <v>0</v>
      </c>
      <c r="T8" s="383"/>
      <c r="U8" s="384"/>
      <c r="V8" s="385">
        <f t="shared" si="6"/>
        <v>0</v>
      </c>
      <c r="W8" s="383"/>
      <c r="X8" s="384"/>
      <c r="Y8" s="385">
        <f t="shared" si="7"/>
        <v>0</v>
      </c>
      <c r="Z8" s="383"/>
      <c r="AA8" s="384"/>
      <c r="AB8" s="385">
        <f t="shared" si="8"/>
        <v>0</v>
      </c>
      <c r="AC8" s="383"/>
      <c r="AD8" s="384"/>
      <c r="AE8" s="385">
        <f t="shared" si="9"/>
        <v>0</v>
      </c>
      <c r="AF8" s="383"/>
      <c r="AG8" s="384"/>
      <c r="AH8" s="385">
        <f t="shared" si="10"/>
        <v>0</v>
      </c>
      <c r="AI8" s="383"/>
      <c r="AJ8" s="384"/>
      <c r="AK8" s="385">
        <f t="shared" si="11"/>
        <v>0</v>
      </c>
      <c r="AL8" s="383"/>
      <c r="AM8" s="384"/>
      <c r="AN8" s="385">
        <f t="shared" si="12"/>
        <v>0</v>
      </c>
      <c r="AO8" s="383"/>
      <c r="AP8" s="384"/>
      <c r="AQ8" s="385">
        <f t="shared" si="13"/>
        <v>0</v>
      </c>
      <c r="AR8" s="383"/>
      <c r="AS8" s="384"/>
      <c r="AT8" s="385">
        <f t="shared" si="14"/>
        <v>0</v>
      </c>
      <c r="AU8" s="383"/>
      <c r="AV8" s="384"/>
      <c r="AW8" s="385">
        <f t="shared" si="15"/>
        <v>0</v>
      </c>
      <c r="AX8" s="383"/>
      <c r="AY8" s="384"/>
      <c r="AZ8" s="385">
        <f t="shared" si="16"/>
        <v>0</v>
      </c>
      <c r="BA8" s="383"/>
      <c r="BB8" s="384"/>
      <c r="BC8" s="385">
        <f t="shared" si="17"/>
        <v>0</v>
      </c>
      <c r="BD8" s="383"/>
      <c r="BE8" s="384"/>
      <c r="BF8" s="385">
        <f t="shared" si="18"/>
        <v>0</v>
      </c>
      <c r="BG8" s="383"/>
      <c r="BH8" s="384"/>
      <c r="BI8" s="385">
        <f t="shared" si="19"/>
        <v>0</v>
      </c>
      <c r="BJ8" s="383"/>
      <c r="BK8" s="384"/>
      <c r="BL8" s="385">
        <f t="shared" si="20"/>
        <v>0</v>
      </c>
      <c r="BM8" s="383"/>
      <c r="BN8" s="384"/>
      <c r="BO8" s="385">
        <f t="shared" si="21"/>
        <v>0</v>
      </c>
      <c r="BP8" s="383"/>
      <c r="BQ8" s="384"/>
      <c r="BR8" s="385">
        <f t="shared" si="22"/>
        <v>0</v>
      </c>
      <c r="BS8" s="383"/>
      <c r="BT8" s="384"/>
      <c r="BU8" s="385">
        <f t="shared" si="23"/>
        <v>0</v>
      </c>
      <c r="BV8" s="383"/>
      <c r="BW8" s="384"/>
      <c r="BX8" s="385">
        <f t="shared" si="24"/>
        <v>0</v>
      </c>
      <c r="BY8" s="383"/>
      <c r="BZ8" s="384"/>
      <c r="CA8" s="385">
        <f t="shared" si="25"/>
        <v>0</v>
      </c>
      <c r="CB8" s="383"/>
      <c r="CC8" s="384"/>
      <c r="CD8" s="385">
        <f t="shared" si="26"/>
        <v>0</v>
      </c>
      <c r="CE8" s="383"/>
      <c r="CF8" s="384"/>
      <c r="CG8" s="385">
        <f t="shared" si="27"/>
        <v>0</v>
      </c>
      <c r="CH8" s="383"/>
      <c r="CI8" s="384"/>
      <c r="CJ8" s="385">
        <f t="shared" si="28"/>
        <v>0</v>
      </c>
      <c r="CK8" s="383"/>
      <c r="CL8" s="384"/>
      <c r="CM8" s="385">
        <f t="shared" si="29"/>
        <v>0</v>
      </c>
      <c r="CN8" s="383"/>
      <c r="CO8" s="384"/>
      <c r="CP8" s="385">
        <f t="shared" si="30"/>
        <v>0</v>
      </c>
    </row>
    <row r="9" spans="1:94" ht="15.95" customHeight="1" x14ac:dyDescent="0.25">
      <c r="A9" s="382"/>
      <c r="B9" s="383"/>
      <c r="C9" s="384"/>
      <c r="D9" s="385">
        <f t="shared" si="0"/>
        <v>0</v>
      </c>
      <c r="E9" s="383"/>
      <c r="F9" s="384"/>
      <c r="G9" s="385">
        <f t="shared" si="1"/>
        <v>0</v>
      </c>
      <c r="H9" s="383"/>
      <c r="I9" s="384"/>
      <c r="J9" s="385">
        <f t="shared" si="2"/>
        <v>0</v>
      </c>
      <c r="K9" s="383"/>
      <c r="L9" s="384"/>
      <c r="M9" s="385">
        <f t="shared" si="3"/>
        <v>0</v>
      </c>
      <c r="N9" s="383"/>
      <c r="O9" s="384"/>
      <c r="P9" s="385">
        <f t="shared" si="4"/>
        <v>0</v>
      </c>
      <c r="Q9" s="383"/>
      <c r="R9" s="384"/>
      <c r="S9" s="385">
        <f t="shared" si="5"/>
        <v>0</v>
      </c>
      <c r="T9" s="383"/>
      <c r="U9" s="384"/>
      <c r="V9" s="385">
        <f t="shared" si="6"/>
        <v>0</v>
      </c>
      <c r="W9" s="383"/>
      <c r="X9" s="384"/>
      <c r="Y9" s="385">
        <f t="shared" si="7"/>
        <v>0</v>
      </c>
      <c r="Z9" s="383"/>
      <c r="AA9" s="384"/>
      <c r="AB9" s="385">
        <f t="shared" si="8"/>
        <v>0</v>
      </c>
      <c r="AC9" s="383"/>
      <c r="AD9" s="384"/>
      <c r="AE9" s="385">
        <f t="shared" si="9"/>
        <v>0</v>
      </c>
      <c r="AF9" s="383"/>
      <c r="AG9" s="384"/>
      <c r="AH9" s="385">
        <f t="shared" si="10"/>
        <v>0</v>
      </c>
      <c r="AI9" s="383"/>
      <c r="AJ9" s="384"/>
      <c r="AK9" s="385">
        <f t="shared" si="11"/>
        <v>0</v>
      </c>
      <c r="AL9" s="383"/>
      <c r="AM9" s="384"/>
      <c r="AN9" s="385">
        <f t="shared" si="12"/>
        <v>0</v>
      </c>
      <c r="AO9" s="383"/>
      <c r="AP9" s="384"/>
      <c r="AQ9" s="385">
        <f t="shared" si="13"/>
        <v>0</v>
      </c>
      <c r="AR9" s="383"/>
      <c r="AS9" s="384"/>
      <c r="AT9" s="385">
        <f t="shared" si="14"/>
        <v>0</v>
      </c>
      <c r="AU9" s="383"/>
      <c r="AV9" s="384"/>
      <c r="AW9" s="385">
        <f t="shared" si="15"/>
        <v>0</v>
      </c>
      <c r="AX9" s="383"/>
      <c r="AY9" s="384"/>
      <c r="AZ9" s="385">
        <f t="shared" si="16"/>
        <v>0</v>
      </c>
      <c r="BA9" s="383"/>
      <c r="BB9" s="384"/>
      <c r="BC9" s="385">
        <f t="shared" si="17"/>
        <v>0</v>
      </c>
      <c r="BD9" s="383"/>
      <c r="BE9" s="384"/>
      <c r="BF9" s="385">
        <f t="shared" si="18"/>
        <v>0</v>
      </c>
      <c r="BG9" s="383"/>
      <c r="BH9" s="384"/>
      <c r="BI9" s="385">
        <f t="shared" si="19"/>
        <v>0</v>
      </c>
      <c r="BJ9" s="383"/>
      <c r="BK9" s="384"/>
      <c r="BL9" s="385">
        <f t="shared" si="20"/>
        <v>0</v>
      </c>
      <c r="BM9" s="383"/>
      <c r="BN9" s="384"/>
      <c r="BO9" s="385">
        <f t="shared" si="21"/>
        <v>0</v>
      </c>
      <c r="BP9" s="383"/>
      <c r="BQ9" s="384"/>
      <c r="BR9" s="385">
        <f t="shared" si="22"/>
        <v>0</v>
      </c>
      <c r="BS9" s="383"/>
      <c r="BT9" s="384"/>
      <c r="BU9" s="385">
        <f t="shared" si="23"/>
        <v>0</v>
      </c>
      <c r="BV9" s="383"/>
      <c r="BW9" s="384"/>
      <c r="BX9" s="385">
        <f t="shared" si="24"/>
        <v>0</v>
      </c>
      <c r="BY9" s="383"/>
      <c r="BZ9" s="384"/>
      <c r="CA9" s="385">
        <f t="shared" si="25"/>
        <v>0</v>
      </c>
      <c r="CB9" s="383"/>
      <c r="CC9" s="384"/>
      <c r="CD9" s="385">
        <f t="shared" si="26"/>
        <v>0</v>
      </c>
      <c r="CE9" s="383"/>
      <c r="CF9" s="384"/>
      <c r="CG9" s="385">
        <f t="shared" si="27"/>
        <v>0</v>
      </c>
      <c r="CH9" s="383"/>
      <c r="CI9" s="384"/>
      <c r="CJ9" s="385">
        <f t="shared" si="28"/>
        <v>0</v>
      </c>
      <c r="CK9" s="383"/>
      <c r="CL9" s="384"/>
      <c r="CM9" s="385">
        <f t="shared" si="29"/>
        <v>0</v>
      </c>
      <c r="CN9" s="383"/>
      <c r="CO9" s="384"/>
      <c r="CP9" s="385">
        <f t="shared" si="30"/>
        <v>0</v>
      </c>
    </row>
    <row r="10" spans="1:94" ht="15.95" customHeight="1" x14ac:dyDescent="0.25">
      <c r="A10" s="382"/>
      <c r="B10" s="383"/>
      <c r="C10" s="384"/>
      <c r="D10" s="385">
        <f t="shared" si="0"/>
        <v>0</v>
      </c>
      <c r="E10" s="383"/>
      <c r="F10" s="384"/>
      <c r="G10" s="385">
        <f t="shared" si="1"/>
        <v>0</v>
      </c>
      <c r="H10" s="383"/>
      <c r="I10" s="384"/>
      <c r="J10" s="385">
        <f t="shared" si="2"/>
        <v>0</v>
      </c>
      <c r="K10" s="383"/>
      <c r="L10" s="384"/>
      <c r="M10" s="385">
        <f t="shared" si="3"/>
        <v>0</v>
      </c>
      <c r="N10" s="383"/>
      <c r="O10" s="384"/>
      <c r="P10" s="385">
        <f t="shared" si="4"/>
        <v>0</v>
      </c>
      <c r="Q10" s="383"/>
      <c r="R10" s="384"/>
      <c r="S10" s="385">
        <f t="shared" si="5"/>
        <v>0</v>
      </c>
      <c r="T10" s="383"/>
      <c r="U10" s="384"/>
      <c r="V10" s="385">
        <f t="shared" si="6"/>
        <v>0</v>
      </c>
      <c r="W10" s="383"/>
      <c r="X10" s="384"/>
      <c r="Y10" s="385">
        <f t="shared" si="7"/>
        <v>0</v>
      </c>
      <c r="Z10" s="383"/>
      <c r="AA10" s="384"/>
      <c r="AB10" s="385">
        <f t="shared" si="8"/>
        <v>0</v>
      </c>
      <c r="AC10" s="383"/>
      <c r="AD10" s="384"/>
      <c r="AE10" s="385">
        <f t="shared" si="9"/>
        <v>0</v>
      </c>
      <c r="AF10" s="383"/>
      <c r="AG10" s="384"/>
      <c r="AH10" s="385">
        <f t="shared" si="10"/>
        <v>0</v>
      </c>
      <c r="AI10" s="383"/>
      <c r="AJ10" s="384"/>
      <c r="AK10" s="385">
        <f t="shared" si="11"/>
        <v>0</v>
      </c>
      <c r="AL10" s="383"/>
      <c r="AM10" s="384"/>
      <c r="AN10" s="385">
        <f t="shared" si="12"/>
        <v>0</v>
      </c>
      <c r="AO10" s="383"/>
      <c r="AP10" s="384"/>
      <c r="AQ10" s="385">
        <f t="shared" si="13"/>
        <v>0</v>
      </c>
      <c r="AR10" s="383"/>
      <c r="AS10" s="384"/>
      <c r="AT10" s="385">
        <f t="shared" si="14"/>
        <v>0</v>
      </c>
      <c r="AU10" s="383"/>
      <c r="AV10" s="384"/>
      <c r="AW10" s="385">
        <f t="shared" si="15"/>
        <v>0</v>
      </c>
      <c r="AX10" s="383"/>
      <c r="AY10" s="384"/>
      <c r="AZ10" s="385">
        <f t="shared" si="16"/>
        <v>0</v>
      </c>
      <c r="BA10" s="383"/>
      <c r="BB10" s="384"/>
      <c r="BC10" s="385">
        <f t="shared" si="17"/>
        <v>0</v>
      </c>
      <c r="BD10" s="383"/>
      <c r="BE10" s="384"/>
      <c r="BF10" s="385">
        <f t="shared" si="18"/>
        <v>0</v>
      </c>
      <c r="BG10" s="383"/>
      <c r="BH10" s="384"/>
      <c r="BI10" s="385">
        <f t="shared" si="19"/>
        <v>0</v>
      </c>
      <c r="BJ10" s="383"/>
      <c r="BK10" s="384"/>
      <c r="BL10" s="385">
        <f t="shared" si="20"/>
        <v>0</v>
      </c>
      <c r="BM10" s="383"/>
      <c r="BN10" s="384"/>
      <c r="BO10" s="385">
        <f t="shared" si="21"/>
        <v>0</v>
      </c>
      <c r="BP10" s="383"/>
      <c r="BQ10" s="384"/>
      <c r="BR10" s="385">
        <f t="shared" si="22"/>
        <v>0</v>
      </c>
      <c r="BS10" s="383"/>
      <c r="BT10" s="384"/>
      <c r="BU10" s="385">
        <f t="shared" si="23"/>
        <v>0</v>
      </c>
      <c r="BV10" s="383"/>
      <c r="BW10" s="384"/>
      <c r="BX10" s="385">
        <f t="shared" si="24"/>
        <v>0</v>
      </c>
      <c r="BY10" s="383"/>
      <c r="BZ10" s="384"/>
      <c r="CA10" s="385">
        <f t="shared" si="25"/>
        <v>0</v>
      </c>
      <c r="CB10" s="383"/>
      <c r="CC10" s="384"/>
      <c r="CD10" s="385">
        <f t="shared" si="26"/>
        <v>0</v>
      </c>
      <c r="CE10" s="383"/>
      <c r="CF10" s="384"/>
      <c r="CG10" s="385">
        <f t="shared" si="27"/>
        <v>0</v>
      </c>
      <c r="CH10" s="383"/>
      <c r="CI10" s="384"/>
      <c r="CJ10" s="385">
        <f t="shared" si="28"/>
        <v>0</v>
      </c>
      <c r="CK10" s="383"/>
      <c r="CL10" s="384"/>
      <c r="CM10" s="385">
        <f t="shared" si="29"/>
        <v>0</v>
      </c>
      <c r="CN10" s="383"/>
      <c r="CO10" s="384"/>
      <c r="CP10" s="385">
        <f t="shared" si="30"/>
        <v>0</v>
      </c>
    </row>
    <row r="11" spans="1:94" ht="15.95" customHeight="1" x14ac:dyDescent="0.25">
      <c r="A11" s="382"/>
      <c r="B11" s="383"/>
      <c r="C11" s="384"/>
      <c r="D11" s="385">
        <f t="shared" si="0"/>
        <v>0</v>
      </c>
      <c r="E11" s="383"/>
      <c r="F11" s="384"/>
      <c r="G11" s="385">
        <f t="shared" si="1"/>
        <v>0</v>
      </c>
      <c r="H11" s="383"/>
      <c r="I11" s="384"/>
      <c r="J11" s="385">
        <f t="shared" si="2"/>
        <v>0</v>
      </c>
      <c r="K11" s="383"/>
      <c r="L11" s="384"/>
      <c r="M11" s="385">
        <f t="shared" si="3"/>
        <v>0</v>
      </c>
      <c r="N11" s="383"/>
      <c r="O11" s="384"/>
      <c r="P11" s="385">
        <f t="shared" si="4"/>
        <v>0</v>
      </c>
      <c r="Q11" s="383"/>
      <c r="R11" s="384"/>
      <c r="S11" s="385">
        <f t="shared" si="5"/>
        <v>0</v>
      </c>
      <c r="T11" s="383"/>
      <c r="U11" s="384"/>
      <c r="V11" s="385">
        <f t="shared" si="6"/>
        <v>0</v>
      </c>
      <c r="W11" s="383"/>
      <c r="X11" s="384"/>
      <c r="Y11" s="385">
        <f t="shared" si="7"/>
        <v>0</v>
      </c>
      <c r="Z11" s="383"/>
      <c r="AA11" s="384"/>
      <c r="AB11" s="385">
        <f t="shared" si="8"/>
        <v>0</v>
      </c>
      <c r="AC11" s="383"/>
      <c r="AD11" s="384"/>
      <c r="AE11" s="385">
        <f t="shared" si="9"/>
        <v>0</v>
      </c>
      <c r="AF11" s="383"/>
      <c r="AG11" s="384"/>
      <c r="AH11" s="385">
        <f t="shared" si="10"/>
        <v>0</v>
      </c>
      <c r="AI11" s="383"/>
      <c r="AJ11" s="384"/>
      <c r="AK11" s="385">
        <f t="shared" si="11"/>
        <v>0</v>
      </c>
      <c r="AL11" s="383"/>
      <c r="AM11" s="384"/>
      <c r="AN11" s="385">
        <f t="shared" si="12"/>
        <v>0</v>
      </c>
      <c r="AO11" s="383"/>
      <c r="AP11" s="384"/>
      <c r="AQ11" s="385">
        <f t="shared" si="13"/>
        <v>0</v>
      </c>
      <c r="AR11" s="383"/>
      <c r="AS11" s="384"/>
      <c r="AT11" s="385">
        <f t="shared" si="14"/>
        <v>0</v>
      </c>
      <c r="AU11" s="383"/>
      <c r="AV11" s="384"/>
      <c r="AW11" s="385">
        <f t="shared" si="15"/>
        <v>0</v>
      </c>
      <c r="AX11" s="383"/>
      <c r="AY11" s="384"/>
      <c r="AZ11" s="385">
        <f t="shared" si="16"/>
        <v>0</v>
      </c>
      <c r="BA11" s="383"/>
      <c r="BB11" s="384"/>
      <c r="BC11" s="385">
        <f t="shared" si="17"/>
        <v>0</v>
      </c>
      <c r="BD11" s="383"/>
      <c r="BE11" s="384"/>
      <c r="BF11" s="385">
        <f t="shared" si="18"/>
        <v>0</v>
      </c>
      <c r="BG11" s="383"/>
      <c r="BH11" s="384"/>
      <c r="BI11" s="385">
        <f t="shared" si="19"/>
        <v>0</v>
      </c>
      <c r="BJ11" s="383"/>
      <c r="BK11" s="384"/>
      <c r="BL11" s="385">
        <f t="shared" si="20"/>
        <v>0</v>
      </c>
      <c r="BM11" s="383"/>
      <c r="BN11" s="384"/>
      <c r="BO11" s="385">
        <f t="shared" si="21"/>
        <v>0</v>
      </c>
      <c r="BP11" s="383"/>
      <c r="BQ11" s="384"/>
      <c r="BR11" s="385">
        <f t="shared" si="22"/>
        <v>0</v>
      </c>
      <c r="BS11" s="383"/>
      <c r="BT11" s="384"/>
      <c r="BU11" s="385">
        <f t="shared" si="23"/>
        <v>0</v>
      </c>
      <c r="BV11" s="383"/>
      <c r="BW11" s="384"/>
      <c r="BX11" s="385">
        <f t="shared" si="24"/>
        <v>0</v>
      </c>
      <c r="BY11" s="383"/>
      <c r="BZ11" s="384"/>
      <c r="CA11" s="385">
        <f t="shared" si="25"/>
        <v>0</v>
      </c>
      <c r="CB11" s="383"/>
      <c r="CC11" s="384"/>
      <c r="CD11" s="385">
        <f t="shared" si="26"/>
        <v>0</v>
      </c>
      <c r="CE11" s="383"/>
      <c r="CF11" s="384"/>
      <c r="CG11" s="385">
        <f t="shared" si="27"/>
        <v>0</v>
      </c>
      <c r="CH11" s="383"/>
      <c r="CI11" s="384"/>
      <c r="CJ11" s="385">
        <f t="shared" si="28"/>
        <v>0</v>
      </c>
      <c r="CK11" s="383"/>
      <c r="CL11" s="384"/>
      <c r="CM11" s="385">
        <f t="shared" si="29"/>
        <v>0</v>
      </c>
      <c r="CN11" s="383"/>
      <c r="CO11" s="384"/>
      <c r="CP11" s="385">
        <f t="shared" si="30"/>
        <v>0</v>
      </c>
    </row>
    <row r="12" spans="1:94" ht="15.95" customHeight="1" x14ac:dyDescent="0.25">
      <c r="A12" s="382"/>
      <c r="B12" s="383"/>
      <c r="C12" s="384"/>
      <c r="D12" s="385">
        <f t="shared" si="0"/>
        <v>0</v>
      </c>
      <c r="E12" s="383"/>
      <c r="F12" s="384"/>
      <c r="G12" s="385">
        <f t="shared" si="1"/>
        <v>0</v>
      </c>
      <c r="H12" s="383"/>
      <c r="I12" s="384"/>
      <c r="J12" s="385">
        <f t="shared" si="2"/>
        <v>0</v>
      </c>
      <c r="K12" s="383"/>
      <c r="L12" s="384"/>
      <c r="M12" s="385">
        <f t="shared" si="3"/>
        <v>0</v>
      </c>
      <c r="N12" s="383"/>
      <c r="O12" s="384"/>
      <c r="P12" s="385">
        <f t="shared" si="4"/>
        <v>0</v>
      </c>
      <c r="Q12" s="383"/>
      <c r="R12" s="384"/>
      <c r="S12" s="385">
        <f t="shared" si="5"/>
        <v>0</v>
      </c>
      <c r="T12" s="383"/>
      <c r="U12" s="384"/>
      <c r="V12" s="385">
        <f t="shared" si="6"/>
        <v>0</v>
      </c>
      <c r="W12" s="383"/>
      <c r="X12" s="384"/>
      <c r="Y12" s="385">
        <f t="shared" si="7"/>
        <v>0</v>
      </c>
      <c r="Z12" s="383"/>
      <c r="AA12" s="384"/>
      <c r="AB12" s="385">
        <f t="shared" si="8"/>
        <v>0</v>
      </c>
      <c r="AC12" s="383"/>
      <c r="AD12" s="384"/>
      <c r="AE12" s="385">
        <f t="shared" si="9"/>
        <v>0</v>
      </c>
      <c r="AF12" s="383"/>
      <c r="AG12" s="384"/>
      <c r="AH12" s="385">
        <f t="shared" si="10"/>
        <v>0</v>
      </c>
      <c r="AI12" s="383"/>
      <c r="AJ12" s="384"/>
      <c r="AK12" s="385">
        <f t="shared" si="11"/>
        <v>0</v>
      </c>
      <c r="AL12" s="383"/>
      <c r="AM12" s="384"/>
      <c r="AN12" s="385">
        <f t="shared" si="12"/>
        <v>0</v>
      </c>
      <c r="AO12" s="383"/>
      <c r="AP12" s="384"/>
      <c r="AQ12" s="385">
        <f t="shared" si="13"/>
        <v>0</v>
      </c>
      <c r="AR12" s="383"/>
      <c r="AS12" s="384"/>
      <c r="AT12" s="385">
        <f t="shared" si="14"/>
        <v>0</v>
      </c>
      <c r="AU12" s="383"/>
      <c r="AV12" s="384"/>
      <c r="AW12" s="385">
        <f t="shared" si="15"/>
        <v>0</v>
      </c>
      <c r="AX12" s="383"/>
      <c r="AY12" s="384"/>
      <c r="AZ12" s="385">
        <f t="shared" si="16"/>
        <v>0</v>
      </c>
      <c r="BA12" s="383"/>
      <c r="BB12" s="384"/>
      <c r="BC12" s="385">
        <f t="shared" si="17"/>
        <v>0</v>
      </c>
      <c r="BD12" s="383"/>
      <c r="BE12" s="384"/>
      <c r="BF12" s="385">
        <f t="shared" si="18"/>
        <v>0</v>
      </c>
      <c r="BG12" s="383"/>
      <c r="BH12" s="384"/>
      <c r="BI12" s="385">
        <f t="shared" si="19"/>
        <v>0</v>
      </c>
      <c r="BJ12" s="383"/>
      <c r="BK12" s="384"/>
      <c r="BL12" s="385">
        <f t="shared" si="20"/>
        <v>0</v>
      </c>
      <c r="BM12" s="383"/>
      <c r="BN12" s="384"/>
      <c r="BO12" s="385">
        <f t="shared" si="21"/>
        <v>0</v>
      </c>
      <c r="BP12" s="383"/>
      <c r="BQ12" s="384"/>
      <c r="BR12" s="385">
        <f t="shared" si="22"/>
        <v>0</v>
      </c>
      <c r="BS12" s="383"/>
      <c r="BT12" s="384"/>
      <c r="BU12" s="385">
        <f t="shared" si="23"/>
        <v>0</v>
      </c>
      <c r="BV12" s="383"/>
      <c r="BW12" s="384"/>
      <c r="BX12" s="385">
        <f t="shared" si="24"/>
        <v>0</v>
      </c>
      <c r="BY12" s="383"/>
      <c r="BZ12" s="384"/>
      <c r="CA12" s="385">
        <f t="shared" si="25"/>
        <v>0</v>
      </c>
      <c r="CB12" s="383"/>
      <c r="CC12" s="384"/>
      <c r="CD12" s="385">
        <f t="shared" si="26"/>
        <v>0</v>
      </c>
      <c r="CE12" s="383"/>
      <c r="CF12" s="384"/>
      <c r="CG12" s="385">
        <f t="shared" si="27"/>
        <v>0</v>
      </c>
      <c r="CH12" s="383"/>
      <c r="CI12" s="384"/>
      <c r="CJ12" s="385">
        <f t="shared" si="28"/>
        <v>0</v>
      </c>
      <c r="CK12" s="383"/>
      <c r="CL12" s="384"/>
      <c r="CM12" s="385">
        <f t="shared" si="29"/>
        <v>0</v>
      </c>
      <c r="CN12" s="383"/>
      <c r="CO12" s="384"/>
      <c r="CP12" s="385">
        <f t="shared" si="30"/>
        <v>0</v>
      </c>
    </row>
    <row r="13" spans="1:94" ht="15.95" customHeight="1" x14ac:dyDescent="0.25">
      <c r="A13" s="382"/>
      <c r="B13" s="383"/>
      <c r="C13" s="384"/>
      <c r="D13" s="385">
        <f t="shared" si="0"/>
        <v>0</v>
      </c>
      <c r="E13" s="383"/>
      <c r="F13" s="384"/>
      <c r="G13" s="385">
        <f t="shared" si="1"/>
        <v>0</v>
      </c>
      <c r="H13" s="383"/>
      <c r="I13" s="384"/>
      <c r="J13" s="385">
        <f t="shared" si="2"/>
        <v>0</v>
      </c>
      <c r="K13" s="383"/>
      <c r="L13" s="384"/>
      <c r="M13" s="385">
        <f t="shared" si="3"/>
        <v>0</v>
      </c>
      <c r="N13" s="383"/>
      <c r="O13" s="384"/>
      <c r="P13" s="385">
        <f t="shared" si="4"/>
        <v>0</v>
      </c>
      <c r="Q13" s="383"/>
      <c r="R13" s="384"/>
      <c r="S13" s="385">
        <f t="shared" si="5"/>
        <v>0</v>
      </c>
      <c r="T13" s="383"/>
      <c r="U13" s="384"/>
      <c r="V13" s="385">
        <f t="shared" si="6"/>
        <v>0</v>
      </c>
      <c r="W13" s="383"/>
      <c r="X13" s="384"/>
      <c r="Y13" s="385">
        <f t="shared" si="7"/>
        <v>0</v>
      </c>
      <c r="Z13" s="383"/>
      <c r="AA13" s="384"/>
      <c r="AB13" s="385">
        <f t="shared" si="8"/>
        <v>0</v>
      </c>
      <c r="AC13" s="383"/>
      <c r="AD13" s="384"/>
      <c r="AE13" s="385">
        <f t="shared" si="9"/>
        <v>0</v>
      </c>
      <c r="AF13" s="383"/>
      <c r="AG13" s="384"/>
      <c r="AH13" s="385">
        <f t="shared" si="10"/>
        <v>0</v>
      </c>
      <c r="AI13" s="383"/>
      <c r="AJ13" s="384"/>
      <c r="AK13" s="385">
        <f t="shared" si="11"/>
        <v>0</v>
      </c>
      <c r="AL13" s="383"/>
      <c r="AM13" s="384"/>
      <c r="AN13" s="385">
        <f t="shared" si="12"/>
        <v>0</v>
      </c>
      <c r="AO13" s="383"/>
      <c r="AP13" s="384"/>
      <c r="AQ13" s="385">
        <f t="shared" si="13"/>
        <v>0</v>
      </c>
      <c r="AR13" s="383"/>
      <c r="AS13" s="384"/>
      <c r="AT13" s="385">
        <f t="shared" si="14"/>
        <v>0</v>
      </c>
      <c r="AU13" s="383"/>
      <c r="AV13" s="384"/>
      <c r="AW13" s="385">
        <f t="shared" si="15"/>
        <v>0</v>
      </c>
      <c r="AX13" s="383"/>
      <c r="AY13" s="384"/>
      <c r="AZ13" s="385">
        <f t="shared" si="16"/>
        <v>0</v>
      </c>
      <c r="BA13" s="383"/>
      <c r="BB13" s="384"/>
      <c r="BC13" s="385">
        <f t="shared" si="17"/>
        <v>0</v>
      </c>
      <c r="BD13" s="383"/>
      <c r="BE13" s="384"/>
      <c r="BF13" s="385">
        <f t="shared" si="18"/>
        <v>0</v>
      </c>
      <c r="BG13" s="383"/>
      <c r="BH13" s="384"/>
      <c r="BI13" s="385">
        <f t="shared" si="19"/>
        <v>0</v>
      </c>
      <c r="BJ13" s="383"/>
      <c r="BK13" s="384"/>
      <c r="BL13" s="385">
        <f t="shared" si="20"/>
        <v>0</v>
      </c>
      <c r="BM13" s="383"/>
      <c r="BN13" s="384"/>
      <c r="BO13" s="385">
        <f t="shared" si="21"/>
        <v>0</v>
      </c>
      <c r="BP13" s="383"/>
      <c r="BQ13" s="384"/>
      <c r="BR13" s="385">
        <f t="shared" si="22"/>
        <v>0</v>
      </c>
      <c r="BS13" s="383"/>
      <c r="BT13" s="384"/>
      <c r="BU13" s="385">
        <f t="shared" si="23"/>
        <v>0</v>
      </c>
      <c r="BV13" s="383"/>
      <c r="BW13" s="384"/>
      <c r="BX13" s="385">
        <f t="shared" si="24"/>
        <v>0</v>
      </c>
      <c r="BY13" s="383"/>
      <c r="BZ13" s="384"/>
      <c r="CA13" s="385">
        <f t="shared" si="25"/>
        <v>0</v>
      </c>
      <c r="CB13" s="383"/>
      <c r="CC13" s="384"/>
      <c r="CD13" s="385">
        <f t="shared" si="26"/>
        <v>0</v>
      </c>
      <c r="CE13" s="383"/>
      <c r="CF13" s="384"/>
      <c r="CG13" s="385">
        <f t="shared" si="27"/>
        <v>0</v>
      </c>
      <c r="CH13" s="383"/>
      <c r="CI13" s="384"/>
      <c r="CJ13" s="385">
        <f t="shared" si="28"/>
        <v>0</v>
      </c>
      <c r="CK13" s="383"/>
      <c r="CL13" s="384"/>
      <c r="CM13" s="385">
        <f t="shared" si="29"/>
        <v>0</v>
      </c>
      <c r="CN13" s="383"/>
      <c r="CO13" s="384"/>
      <c r="CP13" s="385">
        <f t="shared" si="30"/>
        <v>0</v>
      </c>
    </row>
    <row r="14" spans="1:94" ht="15.95" customHeight="1" x14ac:dyDescent="0.25">
      <c r="A14" s="382"/>
      <c r="B14" s="383"/>
      <c r="C14" s="384"/>
      <c r="D14" s="385">
        <f t="shared" si="0"/>
        <v>0</v>
      </c>
      <c r="E14" s="383"/>
      <c r="F14" s="384"/>
      <c r="G14" s="385">
        <f t="shared" si="1"/>
        <v>0</v>
      </c>
      <c r="H14" s="383"/>
      <c r="I14" s="384"/>
      <c r="J14" s="385">
        <f t="shared" si="2"/>
        <v>0</v>
      </c>
      <c r="K14" s="383"/>
      <c r="L14" s="384"/>
      <c r="M14" s="385">
        <f t="shared" si="3"/>
        <v>0</v>
      </c>
      <c r="N14" s="383"/>
      <c r="O14" s="384"/>
      <c r="P14" s="385">
        <f t="shared" si="4"/>
        <v>0</v>
      </c>
      <c r="Q14" s="383"/>
      <c r="R14" s="384"/>
      <c r="S14" s="385">
        <f t="shared" si="5"/>
        <v>0</v>
      </c>
      <c r="T14" s="383"/>
      <c r="U14" s="384"/>
      <c r="V14" s="385">
        <f t="shared" si="6"/>
        <v>0</v>
      </c>
      <c r="W14" s="383"/>
      <c r="X14" s="384"/>
      <c r="Y14" s="385">
        <f t="shared" si="7"/>
        <v>0</v>
      </c>
      <c r="Z14" s="383"/>
      <c r="AA14" s="384"/>
      <c r="AB14" s="385">
        <f t="shared" si="8"/>
        <v>0</v>
      </c>
      <c r="AC14" s="383"/>
      <c r="AD14" s="384"/>
      <c r="AE14" s="385">
        <f t="shared" si="9"/>
        <v>0</v>
      </c>
      <c r="AF14" s="383"/>
      <c r="AG14" s="384"/>
      <c r="AH14" s="385">
        <f t="shared" si="10"/>
        <v>0</v>
      </c>
      <c r="AI14" s="383"/>
      <c r="AJ14" s="384"/>
      <c r="AK14" s="385">
        <f t="shared" si="11"/>
        <v>0</v>
      </c>
      <c r="AL14" s="383"/>
      <c r="AM14" s="384"/>
      <c r="AN14" s="385">
        <f t="shared" si="12"/>
        <v>0</v>
      </c>
      <c r="AO14" s="383"/>
      <c r="AP14" s="384"/>
      <c r="AQ14" s="385">
        <f t="shared" si="13"/>
        <v>0</v>
      </c>
      <c r="AR14" s="383"/>
      <c r="AS14" s="384"/>
      <c r="AT14" s="385">
        <f t="shared" si="14"/>
        <v>0</v>
      </c>
      <c r="AU14" s="383"/>
      <c r="AV14" s="384"/>
      <c r="AW14" s="385">
        <f t="shared" si="15"/>
        <v>0</v>
      </c>
      <c r="AX14" s="383"/>
      <c r="AY14" s="384"/>
      <c r="AZ14" s="385">
        <f t="shared" si="16"/>
        <v>0</v>
      </c>
      <c r="BA14" s="383"/>
      <c r="BB14" s="384"/>
      <c r="BC14" s="385">
        <f t="shared" si="17"/>
        <v>0</v>
      </c>
      <c r="BD14" s="383"/>
      <c r="BE14" s="384"/>
      <c r="BF14" s="385">
        <f t="shared" si="18"/>
        <v>0</v>
      </c>
      <c r="BG14" s="383"/>
      <c r="BH14" s="384"/>
      <c r="BI14" s="385">
        <f t="shared" si="19"/>
        <v>0</v>
      </c>
      <c r="BJ14" s="383"/>
      <c r="BK14" s="384"/>
      <c r="BL14" s="385">
        <f t="shared" si="20"/>
        <v>0</v>
      </c>
      <c r="BM14" s="383"/>
      <c r="BN14" s="384"/>
      <c r="BO14" s="385">
        <f t="shared" si="21"/>
        <v>0</v>
      </c>
      <c r="BP14" s="383"/>
      <c r="BQ14" s="384"/>
      <c r="BR14" s="385">
        <f t="shared" si="22"/>
        <v>0</v>
      </c>
      <c r="BS14" s="383"/>
      <c r="BT14" s="384"/>
      <c r="BU14" s="385">
        <f t="shared" si="23"/>
        <v>0</v>
      </c>
      <c r="BV14" s="383"/>
      <c r="BW14" s="384"/>
      <c r="BX14" s="385">
        <f t="shared" si="24"/>
        <v>0</v>
      </c>
      <c r="BY14" s="383"/>
      <c r="BZ14" s="384"/>
      <c r="CA14" s="385">
        <f t="shared" si="25"/>
        <v>0</v>
      </c>
      <c r="CB14" s="383"/>
      <c r="CC14" s="384"/>
      <c r="CD14" s="385">
        <f t="shared" si="26"/>
        <v>0</v>
      </c>
      <c r="CE14" s="383"/>
      <c r="CF14" s="384"/>
      <c r="CG14" s="385">
        <f t="shared" si="27"/>
        <v>0</v>
      </c>
      <c r="CH14" s="383"/>
      <c r="CI14" s="384"/>
      <c r="CJ14" s="385">
        <f t="shared" si="28"/>
        <v>0</v>
      </c>
      <c r="CK14" s="383"/>
      <c r="CL14" s="384"/>
      <c r="CM14" s="385">
        <f t="shared" si="29"/>
        <v>0</v>
      </c>
      <c r="CN14" s="383"/>
      <c r="CO14" s="384"/>
      <c r="CP14" s="385">
        <f t="shared" si="30"/>
        <v>0</v>
      </c>
    </row>
    <row r="15" spans="1:94" ht="15.95" customHeight="1" x14ac:dyDescent="0.25">
      <c r="A15" s="382"/>
      <c r="B15" s="383"/>
      <c r="C15" s="384"/>
      <c r="D15" s="385">
        <f t="shared" si="0"/>
        <v>0</v>
      </c>
      <c r="E15" s="383"/>
      <c r="F15" s="384"/>
      <c r="G15" s="385">
        <f t="shared" si="1"/>
        <v>0</v>
      </c>
      <c r="H15" s="383"/>
      <c r="I15" s="384"/>
      <c r="J15" s="385">
        <f t="shared" si="2"/>
        <v>0</v>
      </c>
      <c r="K15" s="383"/>
      <c r="L15" s="384"/>
      <c r="M15" s="385">
        <f t="shared" si="3"/>
        <v>0</v>
      </c>
      <c r="N15" s="383"/>
      <c r="O15" s="384"/>
      <c r="P15" s="385">
        <f t="shared" si="4"/>
        <v>0</v>
      </c>
      <c r="Q15" s="383"/>
      <c r="R15" s="384"/>
      <c r="S15" s="385">
        <f t="shared" si="5"/>
        <v>0</v>
      </c>
      <c r="T15" s="383"/>
      <c r="U15" s="384"/>
      <c r="V15" s="385">
        <f t="shared" si="6"/>
        <v>0</v>
      </c>
      <c r="W15" s="383"/>
      <c r="X15" s="384"/>
      <c r="Y15" s="385">
        <f t="shared" si="7"/>
        <v>0</v>
      </c>
      <c r="Z15" s="383"/>
      <c r="AA15" s="384"/>
      <c r="AB15" s="385">
        <f t="shared" si="8"/>
        <v>0</v>
      </c>
      <c r="AC15" s="383"/>
      <c r="AD15" s="384"/>
      <c r="AE15" s="385">
        <f t="shared" si="9"/>
        <v>0</v>
      </c>
      <c r="AF15" s="383"/>
      <c r="AG15" s="384"/>
      <c r="AH15" s="385">
        <f t="shared" si="10"/>
        <v>0</v>
      </c>
      <c r="AI15" s="383"/>
      <c r="AJ15" s="384"/>
      <c r="AK15" s="385">
        <f t="shared" si="11"/>
        <v>0</v>
      </c>
      <c r="AL15" s="383"/>
      <c r="AM15" s="384"/>
      <c r="AN15" s="385">
        <f t="shared" si="12"/>
        <v>0</v>
      </c>
      <c r="AO15" s="383"/>
      <c r="AP15" s="384"/>
      <c r="AQ15" s="385">
        <f t="shared" si="13"/>
        <v>0</v>
      </c>
      <c r="AR15" s="383"/>
      <c r="AS15" s="384"/>
      <c r="AT15" s="385">
        <f t="shared" si="14"/>
        <v>0</v>
      </c>
      <c r="AU15" s="383"/>
      <c r="AV15" s="384"/>
      <c r="AW15" s="385">
        <f t="shared" si="15"/>
        <v>0</v>
      </c>
      <c r="AX15" s="383"/>
      <c r="AY15" s="384"/>
      <c r="AZ15" s="385">
        <f t="shared" si="16"/>
        <v>0</v>
      </c>
      <c r="BA15" s="383"/>
      <c r="BB15" s="384"/>
      <c r="BC15" s="385">
        <f t="shared" si="17"/>
        <v>0</v>
      </c>
      <c r="BD15" s="383"/>
      <c r="BE15" s="384"/>
      <c r="BF15" s="385">
        <f t="shared" si="18"/>
        <v>0</v>
      </c>
      <c r="BG15" s="383"/>
      <c r="BH15" s="384"/>
      <c r="BI15" s="385">
        <f t="shared" si="19"/>
        <v>0</v>
      </c>
      <c r="BJ15" s="383"/>
      <c r="BK15" s="384"/>
      <c r="BL15" s="385">
        <f t="shared" si="20"/>
        <v>0</v>
      </c>
      <c r="BM15" s="383"/>
      <c r="BN15" s="384"/>
      <c r="BO15" s="385">
        <f t="shared" si="21"/>
        <v>0</v>
      </c>
      <c r="BP15" s="383"/>
      <c r="BQ15" s="384"/>
      <c r="BR15" s="385">
        <f t="shared" si="22"/>
        <v>0</v>
      </c>
      <c r="BS15" s="383"/>
      <c r="BT15" s="384"/>
      <c r="BU15" s="385">
        <f t="shared" si="23"/>
        <v>0</v>
      </c>
      <c r="BV15" s="383"/>
      <c r="BW15" s="384"/>
      <c r="BX15" s="385">
        <f t="shared" si="24"/>
        <v>0</v>
      </c>
      <c r="BY15" s="383"/>
      <c r="BZ15" s="384"/>
      <c r="CA15" s="385">
        <f t="shared" si="25"/>
        <v>0</v>
      </c>
      <c r="CB15" s="383"/>
      <c r="CC15" s="384"/>
      <c r="CD15" s="385">
        <f t="shared" si="26"/>
        <v>0</v>
      </c>
      <c r="CE15" s="383"/>
      <c r="CF15" s="384"/>
      <c r="CG15" s="385">
        <f t="shared" si="27"/>
        <v>0</v>
      </c>
      <c r="CH15" s="383"/>
      <c r="CI15" s="384"/>
      <c r="CJ15" s="385">
        <f t="shared" si="28"/>
        <v>0</v>
      </c>
      <c r="CK15" s="383"/>
      <c r="CL15" s="384"/>
      <c r="CM15" s="385">
        <f t="shared" si="29"/>
        <v>0</v>
      </c>
      <c r="CN15" s="383"/>
      <c r="CO15" s="384"/>
      <c r="CP15" s="385">
        <f t="shared" si="30"/>
        <v>0</v>
      </c>
    </row>
    <row r="16" spans="1:94" ht="15.95" customHeight="1" x14ac:dyDescent="0.25">
      <c r="A16" s="382"/>
      <c r="B16" s="383"/>
      <c r="C16" s="384"/>
      <c r="D16" s="385">
        <f t="shared" si="0"/>
        <v>0</v>
      </c>
      <c r="E16" s="383"/>
      <c r="F16" s="384"/>
      <c r="G16" s="385">
        <f t="shared" si="1"/>
        <v>0</v>
      </c>
      <c r="H16" s="383"/>
      <c r="I16" s="384"/>
      <c r="J16" s="385">
        <f t="shared" si="2"/>
        <v>0</v>
      </c>
      <c r="K16" s="383"/>
      <c r="L16" s="384"/>
      <c r="M16" s="385">
        <f t="shared" si="3"/>
        <v>0</v>
      </c>
      <c r="N16" s="383"/>
      <c r="O16" s="384"/>
      <c r="P16" s="385">
        <f t="shared" si="4"/>
        <v>0</v>
      </c>
      <c r="Q16" s="383"/>
      <c r="R16" s="384"/>
      <c r="S16" s="385">
        <f t="shared" si="5"/>
        <v>0</v>
      </c>
      <c r="T16" s="383"/>
      <c r="U16" s="384"/>
      <c r="V16" s="385">
        <f t="shared" si="6"/>
        <v>0</v>
      </c>
      <c r="W16" s="383"/>
      <c r="X16" s="384"/>
      <c r="Y16" s="385">
        <f t="shared" si="7"/>
        <v>0</v>
      </c>
      <c r="Z16" s="383"/>
      <c r="AA16" s="384"/>
      <c r="AB16" s="385">
        <f t="shared" si="8"/>
        <v>0</v>
      </c>
      <c r="AC16" s="383"/>
      <c r="AD16" s="384"/>
      <c r="AE16" s="385">
        <f t="shared" si="9"/>
        <v>0</v>
      </c>
      <c r="AF16" s="383"/>
      <c r="AG16" s="384"/>
      <c r="AH16" s="385">
        <f t="shared" si="10"/>
        <v>0</v>
      </c>
      <c r="AI16" s="383"/>
      <c r="AJ16" s="384"/>
      <c r="AK16" s="385">
        <f t="shared" si="11"/>
        <v>0</v>
      </c>
      <c r="AL16" s="383"/>
      <c r="AM16" s="384"/>
      <c r="AN16" s="385">
        <f t="shared" si="12"/>
        <v>0</v>
      </c>
      <c r="AO16" s="383"/>
      <c r="AP16" s="384"/>
      <c r="AQ16" s="385">
        <f t="shared" si="13"/>
        <v>0</v>
      </c>
      <c r="AR16" s="383"/>
      <c r="AS16" s="384"/>
      <c r="AT16" s="385">
        <f t="shared" si="14"/>
        <v>0</v>
      </c>
      <c r="AU16" s="383"/>
      <c r="AV16" s="384"/>
      <c r="AW16" s="385">
        <f t="shared" si="15"/>
        <v>0</v>
      </c>
      <c r="AX16" s="383"/>
      <c r="AY16" s="384"/>
      <c r="AZ16" s="385">
        <f t="shared" si="16"/>
        <v>0</v>
      </c>
      <c r="BA16" s="383"/>
      <c r="BB16" s="384"/>
      <c r="BC16" s="385">
        <f t="shared" si="17"/>
        <v>0</v>
      </c>
      <c r="BD16" s="383"/>
      <c r="BE16" s="384"/>
      <c r="BF16" s="385">
        <f t="shared" si="18"/>
        <v>0</v>
      </c>
      <c r="BG16" s="383"/>
      <c r="BH16" s="384"/>
      <c r="BI16" s="385">
        <f t="shared" si="19"/>
        <v>0</v>
      </c>
      <c r="BJ16" s="383"/>
      <c r="BK16" s="384"/>
      <c r="BL16" s="385">
        <f t="shared" si="20"/>
        <v>0</v>
      </c>
      <c r="BM16" s="383"/>
      <c r="BN16" s="384"/>
      <c r="BO16" s="385">
        <f t="shared" si="21"/>
        <v>0</v>
      </c>
      <c r="BP16" s="383"/>
      <c r="BQ16" s="384"/>
      <c r="BR16" s="385">
        <f t="shared" si="22"/>
        <v>0</v>
      </c>
      <c r="BS16" s="383"/>
      <c r="BT16" s="384"/>
      <c r="BU16" s="385">
        <f t="shared" si="23"/>
        <v>0</v>
      </c>
      <c r="BV16" s="383"/>
      <c r="BW16" s="384"/>
      <c r="BX16" s="385">
        <f t="shared" si="24"/>
        <v>0</v>
      </c>
      <c r="BY16" s="383"/>
      <c r="BZ16" s="384"/>
      <c r="CA16" s="385">
        <f t="shared" si="25"/>
        <v>0</v>
      </c>
      <c r="CB16" s="383"/>
      <c r="CC16" s="384"/>
      <c r="CD16" s="385">
        <f t="shared" si="26"/>
        <v>0</v>
      </c>
      <c r="CE16" s="383"/>
      <c r="CF16" s="384"/>
      <c r="CG16" s="385">
        <f t="shared" si="27"/>
        <v>0</v>
      </c>
      <c r="CH16" s="383"/>
      <c r="CI16" s="384"/>
      <c r="CJ16" s="385">
        <f t="shared" si="28"/>
        <v>0</v>
      </c>
      <c r="CK16" s="383"/>
      <c r="CL16" s="384"/>
      <c r="CM16" s="385">
        <f t="shared" si="29"/>
        <v>0</v>
      </c>
      <c r="CN16" s="383"/>
      <c r="CO16" s="384"/>
      <c r="CP16" s="385">
        <f t="shared" si="30"/>
        <v>0</v>
      </c>
    </row>
    <row r="17" spans="1:94" ht="15.95" customHeight="1" x14ac:dyDescent="0.25">
      <c r="A17" s="382"/>
      <c r="B17" s="383"/>
      <c r="C17" s="384"/>
      <c r="D17" s="385">
        <f t="shared" si="0"/>
        <v>0</v>
      </c>
      <c r="E17" s="383"/>
      <c r="F17" s="384"/>
      <c r="G17" s="385">
        <f t="shared" si="1"/>
        <v>0</v>
      </c>
      <c r="H17" s="383"/>
      <c r="I17" s="384"/>
      <c r="J17" s="385">
        <f t="shared" si="2"/>
        <v>0</v>
      </c>
      <c r="K17" s="383"/>
      <c r="L17" s="384"/>
      <c r="M17" s="385">
        <f t="shared" si="3"/>
        <v>0</v>
      </c>
      <c r="N17" s="383"/>
      <c r="O17" s="384"/>
      <c r="P17" s="385">
        <f t="shared" si="4"/>
        <v>0</v>
      </c>
      <c r="Q17" s="383"/>
      <c r="R17" s="384"/>
      <c r="S17" s="385">
        <f t="shared" si="5"/>
        <v>0</v>
      </c>
      <c r="T17" s="383"/>
      <c r="U17" s="384"/>
      <c r="V17" s="385">
        <f t="shared" si="6"/>
        <v>0</v>
      </c>
      <c r="W17" s="383"/>
      <c r="X17" s="384"/>
      <c r="Y17" s="385">
        <f t="shared" si="7"/>
        <v>0</v>
      </c>
      <c r="Z17" s="383"/>
      <c r="AA17" s="384"/>
      <c r="AB17" s="385">
        <f t="shared" si="8"/>
        <v>0</v>
      </c>
      <c r="AC17" s="383"/>
      <c r="AD17" s="384"/>
      <c r="AE17" s="385">
        <f t="shared" si="9"/>
        <v>0</v>
      </c>
      <c r="AF17" s="383"/>
      <c r="AG17" s="384"/>
      <c r="AH17" s="385">
        <f t="shared" si="10"/>
        <v>0</v>
      </c>
      <c r="AI17" s="383"/>
      <c r="AJ17" s="384"/>
      <c r="AK17" s="385">
        <f t="shared" si="11"/>
        <v>0</v>
      </c>
      <c r="AL17" s="383"/>
      <c r="AM17" s="384"/>
      <c r="AN17" s="385">
        <f t="shared" si="12"/>
        <v>0</v>
      </c>
      <c r="AO17" s="383"/>
      <c r="AP17" s="384"/>
      <c r="AQ17" s="385">
        <f t="shared" si="13"/>
        <v>0</v>
      </c>
      <c r="AR17" s="383"/>
      <c r="AS17" s="384"/>
      <c r="AT17" s="385">
        <f t="shared" si="14"/>
        <v>0</v>
      </c>
      <c r="AU17" s="383"/>
      <c r="AV17" s="384"/>
      <c r="AW17" s="385">
        <f t="shared" si="15"/>
        <v>0</v>
      </c>
      <c r="AX17" s="383"/>
      <c r="AY17" s="384"/>
      <c r="AZ17" s="385">
        <f t="shared" si="16"/>
        <v>0</v>
      </c>
      <c r="BA17" s="383"/>
      <c r="BB17" s="384"/>
      <c r="BC17" s="385">
        <f t="shared" si="17"/>
        <v>0</v>
      </c>
      <c r="BD17" s="383"/>
      <c r="BE17" s="384"/>
      <c r="BF17" s="385">
        <f t="shared" si="18"/>
        <v>0</v>
      </c>
      <c r="BG17" s="383"/>
      <c r="BH17" s="384"/>
      <c r="BI17" s="385">
        <f t="shared" si="19"/>
        <v>0</v>
      </c>
      <c r="BJ17" s="383"/>
      <c r="BK17" s="384"/>
      <c r="BL17" s="385">
        <f t="shared" si="20"/>
        <v>0</v>
      </c>
      <c r="BM17" s="383"/>
      <c r="BN17" s="384"/>
      <c r="BO17" s="385">
        <f t="shared" si="21"/>
        <v>0</v>
      </c>
      <c r="BP17" s="383"/>
      <c r="BQ17" s="384"/>
      <c r="BR17" s="385">
        <f t="shared" si="22"/>
        <v>0</v>
      </c>
      <c r="BS17" s="383"/>
      <c r="BT17" s="384"/>
      <c r="BU17" s="385">
        <f t="shared" si="23"/>
        <v>0</v>
      </c>
      <c r="BV17" s="383"/>
      <c r="BW17" s="384"/>
      <c r="BX17" s="385">
        <f t="shared" si="24"/>
        <v>0</v>
      </c>
      <c r="BY17" s="383"/>
      <c r="BZ17" s="384"/>
      <c r="CA17" s="385">
        <f t="shared" si="25"/>
        <v>0</v>
      </c>
      <c r="CB17" s="383"/>
      <c r="CC17" s="384"/>
      <c r="CD17" s="385">
        <f t="shared" si="26"/>
        <v>0</v>
      </c>
      <c r="CE17" s="383"/>
      <c r="CF17" s="384"/>
      <c r="CG17" s="385">
        <f t="shared" si="27"/>
        <v>0</v>
      </c>
      <c r="CH17" s="383"/>
      <c r="CI17" s="384"/>
      <c r="CJ17" s="385">
        <f t="shared" si="28"/>
        <v>0</v>
      </c>
      <c r="CK17" s="383"/>
      <c r="CL17" s="384"/>
      <c r="CM17" s="385">
        <f t="shared" si="29"/>
        <v>0</v>
      </c>
      <c r="CN17" s="383"/>
      <c r="CO17" s="384"/>
      <c r="CP17" s="385">
        <f t="shared" si="30"/>
        <v>0</v>
      </c>
    </row>
    <row r="18" spans="1:94" ht="15.95" customHeight="1" x14ac:dyDescent="0.25">
      <c r="A18" s="382"/>
      <c r="B18" s="383"/>
      <c r="C18" s="384"/>
      <c r="D18" s="385">
        <f t="shared" si="0"/>
        <v>0</v>
      </c>
      <c r="E18" s="383"/>
      <c r="F18" s="384"/>
      <c r="G18" s="385">
        <f t="shared" si="1"/>
        <v>0</v>
      </c>
      <c r="H18" s="383"/>
      <c r="I18" s="384"/>
      <c r="J18" s="385">
        <f t="shared" si="2"/>
        <v>0</v>
      </c>
      <c r="K18" s="383"/>
      <c r="L18" s="384"/>
      <c r="M18" s="385">
        <f t="shared" si="3"/>
        <v>0</v>
      </c>
      <c r="N18" s="383"/>
      <c r="O18" s="384"/>
      <c r="P18" s="385">
        <f t="shared" si="4"/>
        <v>0</v>
      </c>
      <c r="Q18" s="383"/>
      <c r="R18" s="384"/>
      <c r="S18" s="385">
        <f t="shared" si="5"/>
        <v>0</v>
      </c>
      <c r="T18" s="383"/>
      <c r="U18" s="384"/>
      <c r="V18" s="385">
        <f t="shared" si="6"/>
        <v>0</v>
      </c>
      <c r="W18" s="383"/>
      <c r="X18" s="384"/>
      <c r="Y18" s="385">
        <f t="shared" si="7"/>
        <v>0</v>
      </c>
      <c r="Z18" s="383"/>
      <c r="AA18" s="384"/>
      <c r="AB18" s="385">
        <f t="shared" si="8"/>
        <v>0</v>
      </c>
      <c r="AC18" s="383"/>
      <c r="AD18" s="384"/>
      <c r="AE18" s="385">
        <f t="shared" si="9"/>
        <v>0</v>
      </c>
      <c r="AF18" s="383"/>
      <c r="AG18" s="384"/>
      <c r="AH18" s="385">
        <f t="shared" si="10"/>
        <v>0</v>
      </c>
      <c r="AI18" s="383"/>
      <c r="AJ18" s="384"/>
      <c r="AK18" s="385">
        <f t="shared" si="11"/>
        <v>0</v>
      </c>
      <c r="AL18" s="383"/>
      <c r="AM18" s="384"/>
      <c r="AN18" s="385">
        <f t="shared" si="12"/>
        <v>0</v>
      </c>
      <c r="AO18" s="383"/>
      <c r="AP18" s="384"/>
      <c r="AQ18" s="385">
        <f t="shared" si="13"/>
        <v>0</v>
      </c>
      <c r="AR18" s="383"/>
      <c r="AS18" s="384"/>
      <c r="AT18" s="385">
        <f t="shared" si="14"/>
        <v>0</v>
      </c>
      <c r="AU18" s="383"/>
      <c r="AV18" s="384"/>
      <c r="AW18" s="385">
        <f t="shared" si="15"/>
        <v>0</v>
      </c>
      <c r="AX18" s="383"/>
      <c r="AY18" s="384"/>
      <c r="AZ18" s="385">
        <f t="shared" si="16"/>
        <v>0</v>
      </c>
      <c r="BA18" s="383"/>
      <c r="BB18" s="384"/>
      <c r="BC18" s="385">
        <f t="shared" si="17"/>
        <v>0</v>
      </c>
      <c r="BD18" s="383"/>
      <c r="BE18" s="384"/>
      <c r="BF18" s="385">
        <f t="shared" si="18"/>
        <v>0</v>
      </c>
      <c r="BG18" s="383"/>
      <c r="BH18" s="384"/>
      <c r="BI18" s="385">
        <f t="shared" si="19"/>
        <v>0</v>
      </c>
      <c r="BJ18" s="383"/>
      <c r="BK18" s="384"/>
      <c r="BL18" s="385">
        <f t="shared" si="20"/>
        <v>0</v>
      </c>
      <c r="BM18" s="383"/>
      <c r="BN18" s="384"/>
      <c r="BO18" s="385">
        <f t="shared" si="21"/>
        <v>0</v>
      </c>
      <c r="BP18" s="383"/>
      <c r="BQ18" s="384"/>
      <c r="BR18" s="385">
        <f t="shared" si="22"/>
        <v>0</v>
      </c>
      <c r="BS18" s="383"/>
      <c r="BT18" s="384"/>
      <c r="BU18" s="385">
        <f t="shared" si="23"/>
        <v>0</v>
      </c>
      <c r="BV18" s="383"/>
      <c r="BW18" s="384"/>
      <c r="BX18" s="385">
        <f t="shared" si="24"/>
        <v>0</v>
      </c>
      <c r="BY18" s="383"/>
      <c r="BZ18" s="384"/>
      <c r="CA18" s="385">
        <f t="shared" si="25"/>
        <v>0</v>
      </c>
      <c r="CB18" s="383"/>
      <c r="CC18" s="384"/>
      <c r="CD18" s="385">
        <f t="shared" si="26"/>
        <v>0</v>
      </c>
      <c r="CE18" s="383"/>
      <c r="CF18" s="384"/>
      <c r="CG18" s="385">
        <f t="shared" si="27"/>
        <v>0</v>
      </c>
      <c r="CH18" s="383"/>
      <c r="CI18" s="384"/>
      <c r="CJ18" s="385">
        <f t="shared" si="28"/>
        <v>0</v>
      </c>
      <c r="CK18" s="383"/>
      <c r="CL18" s="384"/>
      <c r="CM18" s="385">
        <f t="shared" si="29"/>
        <v>0</v>
      </c>
      <c r="CN18" s="383"/>
      <c r="CO18" s="384"/>
      <c r="CP18" s="385">
        <f t="shared" si="30"/>
        <v>0</v>
      </c>
    </row>
    <row r="19" spans="1:94" ht="15.95" customHeight="1" x14ac:dyDescent="0.25">
      <c r="A19" s="386"/>
      <c r="B19" s="387"/>
      <c r="C19" s="388"/>
      <c r="D19" s="389">
        <f t="shared" si="0"/>
        <v>0</v>
      </c>
      <c r="E19" s="387"/>
      <c r="F19" s="388"/>
      <c r="G19" s="389">
        <f t="shared" si="1"/>
        <v>0</v>
      </c>
      <c r="H19" s="387"/>
      <c r="I19" s="388"/>
      <c r="J19" s="389">
        <f t="shared" si="2"/>
        <v>0</v>
      </c>
      <c r="K19" s="387"/>
      <c r="L19" s="388"/>
      <c r="M19" s="389">
        <f t="shared" si="3"/>
        <v>0</v>
      </c>
      <c r="N19" s="387"/>
      <c r="O19" s="388"/>
      <c r="P19" s="389">
        <f t="shared" si="4"/>
        <v>0</v>
      </c>
      <c r="Q19" s="387"/>
      <c r="R19" s="388"/>
      <c r="S19" s="389">
        <f t="shared" si="5"/>
        <v>0</v>
      </c>
      <c r="T19" s="387"/>
      <c r="U19" s="388"/>
      <c r="V19" s="389">
        <f t="shared" si="6"/>
        <v>0</v>
      </c>
      <c r="W19" s="387"/>
      <c r="X19" s="388"/>
      <c r="Y19" s="389">
        <f t="shared" si="7"/>
        <v>0</v>
      </c>
      <c r="Z19" s="387"/>
      <c r="AA19" s="388"/>
      <c r="AB19" s="389">
        <f t="shared" si="8"/>
        <v>0</v>
      </c>
      <c r="AC19" s="387"/>
      <c r="AD19" s="388"/>
      <c r="AE19" s="389">
        <f t="shared" si="9"/>
        <v>0</v>
      </c>
      <c r="AF19" s="387"/>
      <c r="AG19" s="388"/>
      <c r="AH19" s="389">
        <f t="shared" si="10"/>
        <v>0</v>
      </c>
      <c r="AI19" s="387"/>
      <c r="AJ19" s="388"/>
      <c r="AK19" s="389">
        <f t="shared" si="11"/>
        <v>0</v>
      </c>
      <c r="AL19" s="387"/>
      <c r="AM19" s="388"/>
      <c r="AN19" s="389">
        <f t="shared" si="12"/>
        <v>0</v>
      </c>
      <c r="AO19" s="387"/>
      <c r="AP19" s="388"/>
      <c r="AQ19" s="389">
        <f t="shared" si="13"/>
        <v>0</v>
      </c>
      <c r="AR19" s="387"/>
      <c r="AS19" s="388"/>
      <c r="AT19" s="389">
        <f t="shared" si="14"/>
        <v>0</v>
      </c>
      <c r="AU19" s="387"/>
      <c r="AV19" s="388"/>
      <c r="AW19" s="389">
        <f t="shared" si="15"/>
        <v>0</v>
      </c>
      <c r="AX19" s="387"/>
      <c r="AY19" s="388"/>
      <c r="AZ19" s="389">
        <f t="shared" si="16"/>
        <v>0</v>
      </c>
      <c r="BA19" s="387"/>
      <c r="BB19" s="388"/>
      <c r="BC19" s="389">
        <f t="shared" si="17"/>
        <v>0</v>
      </c>
      <c r="BD19" s="387"/>
      <c r="BE19" s="388"/>
      <c r="BF19" s="389">
        <f t="shared" si="18"/>
        <v>0</v>
      </c>
      <c r="BG19" s="387"/>
      <c r="BH19" s="388"/>
      <c r="BI19" s="389">
        <f t="shared" si="19"/>
        <v>0</v>
      </c>
      <c r="BJ19" s="387"/>
      <c r="BK19" s="388"/>
      <c r="BL19" s="389">
        <f t="shared" si="20"/>
        <v>0</v>
      </c>
      <c r="BM19" s="387"/>
      <c r="BN19" s="388"/>
      <c r="BO19" s="389">
        <f t="shared" si="21"/>
        <v>0</v>
      </c>
      <c r="BP19" s="387"/>
      <c r="BQ19" s="388"/>
      <c r="BR19" s="389">
        <f t="shared" si="22"/>
        <v>0</v>
      </c>
      <c r="BS19" s="387"/>
      <c r="BT19" s="388"/>
      <c r="BU19" s="389">
        <f t="shared" si="23"/>
        <v>0</v>
      </c>
      <c r="BV19" s="387"/>
      <c r="BW19" s="388"/>
      <c r="BX19" s="389">
        <f t="shared" si="24"/>
        <v>0</v>
      </c>
      <c r="BY19" s="387"/>
      <c r="BZ19" s="388"/>
      <c r="CA19" s="389">
        <f t="shared" si="25"/>
        <v>0</v>
      </c>
      <c r="CB19" s="387"/>
      <c r="CC19" s="388"/>
      <c r="CD19" s="389">
        <f t="shared" si="26"/>
        <v>0</v>
      </c>
      <c r="CE19" s="387"/>
      <c r="CF19" s="388"/>
      <c r="CG19" s="389">
        <f t="shared" si="27"/>
        <v>0</v>
      </c>
      <c r="CH19" s="387"/>
      <c r="CI19" s="388"/>
      <c r="CJ19" s="389">
        <f t="shared" si="28"/>
        <v>0</v>
      </c>
      <c r="CK19" s="387"/>
      <c r="CL19" s="388"/>
      <c r="CM19" s="389">
        <f t="shared" si="29"/>
        <v>0</v>
      </c>
      <c r="CN19" s="387"/>
      <c r="CO19" s="388"/>
      <c r="CP19" s="389">
        <f t="shared" si="30"/>
        <v>0</v>
      </c>
    </row>
    <row r="20" spans="1:94" ht="15.95" customHeight="1" x14ac:dyDescent="0.25">
      <c r="A20" s="386"/>
      <c r="B20" s="387"/>
      <c r="C20" s="388"/>
      <c r="D20" s="389">
        <f t="shared" si="0"/>
        <v>0</v>
      </c>
      <c r="E20" s="387"/>
      <c r="F20" s="388"/>
      <c r="G20" s="389">
        <f t="shared" si="1"/>
        <v>0</v>
      </c>
      <c r="H20" s="387"/>
      <c r="I20" s="388"/>
      <c r="J20" s="389">
        <f t="shared" si="2"/>
        <v>0</v>
      </c>
      <c r="K20" s="387"/>
      <c r="L20" s="388"/>
      <c r="M20" s="389">
        <f t="shared" si="3"/>
        <v>0</v>
      </c>
      <c r="N20" s="387"/>
      <c r="O20" s="388"/>
      <c r="P20" s="389">
        <f t="shared" si="4"/>
        <v>0</v>
      </c>
      <c r="Q20" s="387"/>
      <c r="R20" s="388"/>
      <c r="S20" s="389">
        <f t="shared" si="5"/>
        <v>0</v>
      </c>
      <c r="T20" s="387"/>
      <c r="U20" s="388"/>
      <c r="V20" s="389">
        <f t="shared" si="6"/>
        <v>0</v>
      </c>
      <c r="W20" s="387"/>
      <c r="X20" s="388"/>
      <c r="Y20" s="389">
        <f t="shared" si="7"/>
        <v>0</v>
      </c>
      <c r="Z20" s="387"/>
      <c r="AA20" s="388"/>
      <c r="AB20" s="389">
        <f t="shared" si="8"/>
        <v>0</v>
      </c>
      <c r="AC20" s="387"/>
      <c r="AD20" s="388"/>
      <c r="AE20" s="389">
        <f t="shared" si="9"/>
        <v>0</v>
      </c>
      <c r="AF20" s="387"/>
      <c r="AG20" s="388"/>
      <c r="AH20" s="389">
        <f t="shared" si="10"/>
        <v>0</v>
      </c>
      <c r="AI20" s="387"/>
      <c r="AJ20" s="388"/>
      <c r="AK20" s="389">
        <f t="shared" si="11"/>
        <v>0</v>
      </c>
      <c r="AL20" s="387"/>
      <c r="AM20" s="388"/>
      <c r="AN20" s="389">
        <f t="shared" si="12"/>
        <v>0</v>
      </c>
      <c r="AO20" s="387"/>
      <c r="AP20" s="388"/>
      <c r="AQ20" s="389">
        <f t="shared" si="13"/>
        <v>0</v>
      </c>
      <c r="AR20" s="387"/>
      <c r="AS20" s="388"/>
      <c r="AT20" s="389">
        <f t="shared" si="14"/>
        <v>0</v>
      </c>
      <c r="AU20" s="387"/>
      <c r="AV20" s="388"/>
      <c r="AW20" s="389">
        <f t="shared" si="15"/>
        <v>0</v>
      </c>
      <c r="AX20" s="387"/>
      <c r="AY20" s="388"/>
      <c r="AZ20" s="389">
        <f t="shared" si="16"/>
        <v>0</v>
      </c>
      <c r="BA20" s="387"/>
      <c r="BB20" s="388"/>
      <c r="BC20" s="389">
        <f t="shared" si="17"/>
        <v>0</v>
      </c>
      <c r="BD20" s="387"/>
      <c r="BE20" s="388"/>
      <c r="BF20" s="389">
        <f t="shared" si="18"/>
        <v>0</v>
      </c>
      <c r="BG20" s="387"/>
      <c r="BH20" s="388"/>
      <c r="BI20" s="389">
        <f t="shared" si="19"/>
        <v>0</v>
      </c>
      <c r="BJ20" s="387"/>
      <c r="BK20" s="388"/>
      <c r="BL20" s="389">
        <f t="shared" si="20"/>
        <v>0</v>
      </c>
      <c r="BM20" s="387"/>
      <c r="BN20" s="388"/>
      <c r="BO20" s="389">
        <f t="shared" si="21"/>
        <v>0</v>
      </c>
      <c r="BP20" s="387"/>
      <c r="BQ20" s="388"/>
      <c r="BR20" s="389">
        <f t="shared" si="22"/>
        <v>0</v>
      </c>
      <c r="BS20" s="387"/>
      <c r="BT20" s="388"/>
      <c r="BU20" s="389">
        <f t="shared" si="23"/>
        <v>0</v>
      </c>
      <c r="BV20" s="387"/>
      <c r="BW20" s="388"/>
      <c r="BX20" s="389">
        <f t="shared" si="24"/>
        <v>0</v>
      </c>
      <c r="BY20" s="387"/>
      <c r="BZ20" s="388"/>
      <c r="CA20" s="389">
        <f t="shared" si="25"/>
        <v>0</v>
      </c>
      <c r="CB20" s="387"/>
      <c r="CC20" s="388"/>
      <c r="CD20" s="389">
        <f t="shared" si="26"/>
        <v>0</v>
      </c>
      <c r="CE20" s="387"/>
      <c r="CF20" s="388"/>
      <c r="CG20" s="389">
        <f t="shared" si="27"/>
        <v>0</v>
      </c>
      <c r="CH20" s="387"/>
      <c r="CI20" s="388"/>
      <c r="CJ20" s="389">
        <f t="shared" si="28"/>
        <v>0</v>
      </c>
      <c r="CK20" s="387"/>
      <c r="CL20" s="388"/>
      <c r="CM20" s="389">
        <f t="shared" si="29"/>
        <v>0</v>
      </c>
      <c r="CN20" s="387"/>
      <c r="CO20" s="388"/>
      <c r="CP20" s="389">
        <f t="shared" si="30"/>
        <v>0</v>
      </c>
    </row>
    <row r="21" spans="1:94" ht="15.95" customHeight="1" x14ac:dyDescent="0.25">
      <c r="A21" s="386"/>
      <c r="B21" s="387"/>
      <c r="C21" s="388"/>
      <c r="D21" s="389">
        <f t="shared" si="0"/>
        <v>0</v>
      </c>
      <c r="E21" s="387"/>
      <c r="F21" s="388"/>
      <c r="G21" s="389">
        <f t="shared" si="1"/>
        <v>0</v>
      </c>
      <c r="H21" s="387"/>
      <c r="I21" s="388"/>
      <c r="J21" s="389">
        <f t="shared" si="2"/>
        <v>0</v>
      </c>
      <c r="K21" s="387"/>
      <c r="L21" s="388"/>
      <c r="M21" s="389">
        <f t="shared" si="3"/>
        <v>0</v>
      </c>
      <c r="N21" s="387"/>
      <c r="O21" s="388"/>
      <c r="P21" s="389">
        <f t="shared" si="4"/>
        <v>0</v>
      </c>
      <c r="Q21" s="387"/>
      <c r="R21" s="388"/>
      <c r="S21" s="389">
        <f t="shared" si="5"/>
        <v>0</v>
      </c>
      <c r="T21" s="387"/>
      <c r="U21" s="388"/>
      <c r="V21" s="389">
        <f t="shared" si="6"/>
        <v>0</v>
      </c>
      <c r="W21" s="387"/>
      <c r="X21" s="388"/>
      <c r="Y21" s="389">
        <f t="shared" si="7"/>
        <v>0</v>
      </c>
      <c r="Z21" s="387"/>
      <c r="AA21" s="388"/>
      <c r="AB21" s="389">
        <f t="shared" si="8"/>
        <v>0</v>
      </c>
      <c r="AC21" s="387"/>
      <c r="AD21" s="388"/>
      <c r="AE21" s="389">
        <f t="shared" si="9"/>
        <v>0</v>
      </c>
      <c r="AF21" s="387"/>
      <c r="AG21" s="388"/>
      <c r="AH21" s="389">
        <f t="shared" si="10"/>
        <v>0</v>
      </c>
      <c r="AI21" s="387"/>
      <c r="AJ21" s="388"/>
      <c r="AK21" s="389">
        <f t="shared" si="11"/>
        <v>0</v>
      </c>
      <c r="AL21" s="387"/>
      <c r="AM21" s="388"/>
      <c r="AN21" s="389">
        <f t="shared" si="12"/>
        <v>0</v>
      </c>
      <c r="AO21" s="387"/>
      <c r="AP21" s="388"/>
      <c r="AQ21" s="389">
        <f t="shared" si="13"/>
        <v>0</v>
      </c>
      <c r="AR21" s="387"/>
      <c r="AS21" s="388"/>
      <c r="AT21" s="389">
        <f t="shared" si="14"/>
        <v>0</v>
      </c>
      <c r="AU21" s="387"/>
      <c r="AV21" s="388"/>
      <c r="AW21" s="389">
        <f t="shared" si="15"/>
        <v>0</v>
      </c>
      <c r="AX21" s="387"/>
      <c r="AY21" s="388"/>
      <c r="AZ21" s="389">
        <f t="shared" si="16"/>
        <v>0</v>
      </c>
      <c r="BA21" s="387"/>
      <c r="BB21" s="388"/>
      <c r="BC21" s="389">
        <f t="shared" si="17"/>
        <v>0</v>
      </c>
      <c r="BD21" s="387"/>
      <c r="BE21" s="388"/>
      <c r="BF21" s="389">
        <f t="shared" si="18"/>
        <v>0</v>
      </c>
      <c r="BG21" s="387"/>
      <c r="BH21" s="388"/>
      <c r="BI21" s="389">
        <f t="shared" si="19"/>
        <v>0</v>
      </c>
      <c r="BJ21" s="387"/>
      <c r="BK21" s="388"/>
      <c r="BL21" s="389">
        <f t="shared" si="20"/>
        <v>0</v>
      </c>
      <c r="BM21" s="387"/>
      <c r="BN21" s="388"/>
      <c r="BO21" s="389">
        <f t="shared" si="21"/>
        <v>0</v>
      </c>
      <c r="BP21" s="387"/>
      <c r="BQ21" s="388"/>
      <c r="BR21" s="389">
        <f t="shared" si="22"/>
        <v>0</v>
      </c>
      <c r="BS21" s="387"/>
      <c r="BT21" s="388"/>
      <c r="BU21" s="389">
        <f t="shared" si="23"/>
        <v>0</v>
      </c>
      <c r="BV21" s="387"/>
      <c r="BW21" s="388"/>
      <c r="BX21" s="389">
        <f t="shared" si="24"/>
        <v>0</v>
      </c>
      <c r="BY21" s="387"/>
      <c r="BZ21" s="388"/>
      <c r="CA21" s="389">
        <f t="shared" si="25"/>
        <v>0</v>
      </c>
      <c r="CB21" s="387"/>
      <c r="CC21" s="388"/>
      <c r="CD21" s="389">
        <f t="shared" si="26"/>
        <v>0</v>
      </c>
      <c r="CE21" s="387"/>
      <c r="CF21" s="388"/>
      <c r="CG21" s="389">
        <f t="shared" si="27"/>
        <v>0</v>
      </c>
      <c r="CH21" s="387"/>
      <c r="CI21" s="388"/>
      <c r="CJ21" s="389">
        <f t="shared" si="28"/>
        <v>0</v>
      </c>
      <c r="CK21" s="387"/>
      <c r="CL21" s="388"/>
      <c r="CM21" s="389">
        <f t="shared" si="29"/>
        <v>0</v>
      </c>
      <c r="CN21" s="387"/>
      <c r="CO21" s="388"/>
      <c r="CP21" s="389">
        <f t="shared" si="30"/>
        <v>0</v>
      </c>
    </row>
    <row r="22" spans="1:94" ht="15.95" customHeight="1" x14ac:dyDescent="0.25">
      <c r="A22" s="386"/>
      <c r="B22" s="387"/>
      <c r="C22" s="388"/>
      <c r="D22" s="389">
        <f t="shared" si="0"/>
        <v>0</v>
      </c>
      <c r="E22" s="387"/>
      <c r="F22" s="388"/>
      <c r="G22" s="389">
        <f t="shared" si="1"/>
        <v>0</v>
      </c>
      <c r="H22" s="387"/>
      <c r="I22" s="388"/>
      <c r="J22" s="389">
        <f t="shared" si="2"/>
        <v>0</v>
      </c>
      <c r="K22" s="387"/>
      <c r="L22" s="388"/>
      <c r="M22" s="389">
        <f t="shared" si="3"/>
        <v>0</v>
      </c>
      <c r="N22" s="387"/>
      <c r="O22" s="388"/>
      <c r="P22" s="389">
        <f t="shared" si="4"/>
        <v>0</v>
      </c>
      <c r="Q22" s="387"/>
      <c r="R22" s="388"/>
      <c r="S22" s="389">
        <f t="shared" si="5"/>
        <v>0</v>
      </c>
      <c r="T22" s="387"/>
      <c r="U22" s="388"/>
      <c r="V22" s="389">
        <f t="shared" si="6"/>
        <v>0</v>
      </c>
      <c r="W22" s="387"/>
      <c r="X22" s="388"/>
      <c r="Y22" s="389">
        <f t="shared" si="7"/>
        <v>0</v>
      </c>
      <c r="Z22" s="387"/>
      <c r="AA22" s="388"/>
      <c r="AB22" s="389">
        <f t="shared" si="8"/>
        <v>0</v>
      </c>
      <c r="AC22" s="387"/>
      <c r="AD22" s="388"/>
      <c r="AE22" s="389">
        <f t="shared" si="9"/>
        <v>0</v>
      </c>
      <c r="AF22" s="387"/>
      <c r="AG22" s="388"/>
      <c r="AH22" s="389">
        <f t="shared" si="10"/>
        <v>0</v>
      </c>
      <c r="AI22" s="387"/>
      <c r="AJ22" s="388"/>
      <c r="AK22" s="389">
        <f t="shared" si="11"/>
        <v>0</v>
      </c>
      <c r="AL22" s="387"/>
      <c r="AM22" s="388"/>
      <c r="AN22" s="389">
        <f t="shared" si="12"/>
        <v>0</v>
      </c>
      <c r="AO22" s="387"/>
      <c r="AP22" s="388"/>
      <c r="AQ22" s="389">
        <f t="shared" si="13"/>
        <v>0</v>
      </c>
      <c r="AR22" s="387"/>
      <c r="AS22" s="388"/>
      <c r="AT22" s="389">
        <f t="shared" si="14"/>
        <v>0</v>
      </c>
      <c r="AU22" s="387"/>
      <c r="AV22" s="388"/>
      <c r="AW22" s="389">
        <f t="shared" si="15"/>
        <v>0</v>
      </c>
      <c r="AX22" s="387"/>
      <c r="AY22" s="388"/>
      <c r="AZ22" s="389">
        <f t="shared" si="16"/>
        <v>0</v>
      </c>
      <c r="BA22" s="387"/>
      <c r="BB22" s="388"/>
      <c r="BC22" s="389">
        <f t="shared" si="17"/>
        <v>0</v>
      </c>
      <c r="BD22" s="387"/>
      <c r="BE22" s="388"/>
      <c r="BF22" s="389">
        <f t="shared" si="18"/>
        <v>0</v>
      </c>
      <c r="BG22" s="387"/>
      <c r="BH22" s="388"/>
      <c r="BI22" s="389">
        <f t="shared" si="19"/>
        <v>0</v>
      </c>
      <c r="BJ22" s="387"/>
      <c r="BK22" s="388"/>
      <c r="BL22" s="389">
        <f t="shared" si="20"/>
        <v>0</v>
      </c>
      <c r="BM22" s="387"/>
      <c r="BN22" s="388"/>
      <c r="BO22" s="389">
        <f t="shared" si="21"/>
        <v>0</v>
      </c>
      <c r="BP22" s="387"/>
      <c r="BQ22" s="388"/>
      <c r="BR22" s="389">
        <f t="shared" si="22"/>
        <v>0</v>
      </c>
      <c r="BS22" s="387"/>
      <c r="BT22" s="388"/>
      <c r="BU22" s="389">
        <f t="shared" si="23"/>
        <v>0</v>
      </c>
      <c r="BV22" s="387"/>
      <c r="BW22" s="388"/>
      <c r="BX22" s="389">
        <f t="shared" si="24"/>
        <v>0</v>
      </c>
      <c r="BY22" s="387"/>
      <c r="BZ22" s="388"/>
      <c r="CA22" s="389">
        <f t="shared" si="25"/>
        <v>0</v>
      </c>
      <c r="CB22" s="387"/>
      <c r="CC22" s="388"/>
      <c r="CD22" s="389">
        <f t="shared" si="26"/>
        <v>0</v>
      </c>
      <c r="CE22" s="387"/>
      <c r="CF22" s="388"/>
      <c r="CG22" s="389">
        <f t="shared" si="27"/>
        <v>0</v>
      </c>
      <c r="CH22" s="387"/>
      <c r="CI22" s="388"/>
      <c r="CJ22" s="389">
        <f t="shared" si="28"/>
        <v>0</v>
      </c>
      <c r="CK22" s="387"/>
      <c r="CL22" s="388"/>
      <c r="CM22" s="389">
        <f t="shared" si="29"/>
        <v>0</v>
      </c>
      <c r="CN22" s="387"/>
      <c r="CO22" s="388"/>
      <c r="CP22" s="389">
        <f t="shared" si="30"/>
        <v>0</v>
      </c>
    </row>
    <row r="23" spans="1:94" ht="15.95" customHeight="1" x14ac:dyDescent="0.25">
      <c r="A23" s="386"/>
      <c r="B23" s="387"/>
      <c r="C23" s="388"/>
      <c r="D23" s="389">
        <f t="shared" si="0"/>
        <v>0</v>
      </c>
      <c r="E23" s="387"/>
      <c r="F23" s="388"/>
      <c r="G23" s="389">
        <f t="shared" si="1"/>
        <v>0</v>
      </c>
      <c r="H23" s="387"/>
      <c r="I23" s="388"/>
      <c r="J23" s="389">
        <f t="shared" si="2"/>
        <v>0</v>
      </c>
      <c r="K23" s="387"/>
      <c r="L23" s="388"/>
      <c r="M23" s="389">
        <f t="shared" si="3"/>
        <v>0</v>
      </c>
      <c r="N23" s="387"/>
      <c r="O23" s="388"/>
      <c r="P23" s="389">
        <f t="shared" si="4"/>
        <v>0</v>
      </c>
      <c r="Q23" s="387"/>
      <c r="R23" s="388"/>
      <c r="S23" s="389">
        <f t="shared" si="5"/>
        <v>0</v>
      </c>
      <c r="T23" s="387"/>
      <c r="U23" s="388"/>
      <c r="V23" s="389">
        <f t="shared" si="6"/>
        <v>0</v>
      </c>
      <c r="W23" s="387"/>
      <c r="X23" s="388"/>
      <c r="Y23" s="389">
        <f t="shared" si="7"/>
        <v>0</v>
      </c>
      <c r="Z23" s="387"/>
      <c r="AA23" s="388"/>
      <c r="AB23" s="389">
        <f t="shared" si="8"/>
        <v>0</v>
      </c>
      <c r="AC23" s="387"/>
      <c r="AD23" s="388"/>
      <c r="AE23" s="389">
        <f t="shared" si="9"/>
        <v>0</v>
      </c>
      <c r="AF23" s="387"/>
      <c r="AG23" s="388"/>
      <c r="AH23" s="389">
        <f t="shared" si="10"/>
        <v>0</v>
      </c>
      <c r="AI23" s="387"/>
      <c r="AJ23" s="388"/>
      <c r="AK23" s="389">
        <f t="shared" si="11"/>
        <v>0</v>
      </c>
      <c r="AL23" s="387"/>
      <c r="AM23" s="388"/>
      <c r="AN23" s="389">
        <f t="shared" si="12"/>
        <v>0</v>
      </c>
      <c r="AO23" s="387"/>
      <c r="AP23" s="388"/>
      <c r="AQ23" s="389">
        <f t="shared" si="13"/>
        <v>0</v>
      </c>
      <c r="AR23" s="387"/>
      <c r="AS23" s="388"/>
      <c r="AT23" s="389">
        <f t="shared" si="14"/>
        <v>0</v>
      </c>
      <c r="AU23" s="387"/>
      <c r="AV23" s="388"/>
      <c r="AW23" s="389">
        <f t="shared" si="15"/>
        <v>0</v>
      </c>
      <c r="AX23" s="387"/>
      <c r="AY23" s="388"/>
      <c r="AZ23" s="389">
        <f t="shared" si="16"/>
        <v>0</v>
      </c>
      <c r="BA23" s="387"/>
      <c r="BB23" s="388"/>
      <c r="BC23" s="389">
        <f t="shared" si="17"/>
        <v>0</v>
      </c>
      <c r="BD23" s="387"/>
      <c r="BE23" s="388"/>
      <c r="BF23" s="389">
        <f t="shared" si="18"/>
        <v>0</v>
      </c>
      <c r="BG23" s="387"/>
      <c r="BH23" s="388"/>
      <c r="BI23" s="389">
        <f t="shared" si="19"/>
        <v>0</v>
      </c>
      <c r="BJ23" s="387"/>
      <c r="BK23" s="388"/>
      <c r="BL23" s="389">
        <f t="shared" si="20"/>
        <v>0</v>
      </c>
      <c r="BM23" s="387"/>
      <c r="BN23" s="388"/>
      <c r="BO23" s="389">
        <f t="shared" si="21"/>
        <v>0</v>
      </c>
      <c r="BP23" s="387"/>
      <c r="BQ23" s="388"/>
      <c r="BR23" s="389">
        <f t="shared" si="22"/>
        <v>0</v>
      </c>
      <c r="BS23" s="387"/>
      <c r="BT23" s="388"/>
      <c r="BU23" s="389">
        <f t="shared" si="23"/>
        <v>0</v>
      </c>
      <c r="BV23" s="387"/>
      <c r="BW23" s="388"/>
      <c r="BX23" s="389">
        <f t="shared" si="24"/>
        <v>0</v>
      </c>
      <c r="BY23" s="387"/>
      <c r="BZ23" s="388"/>
      <c r="CA23" s="389">
        <f t="shared" si="25"/>
        <v>0</v>
      </c>
      <c r="CB23" s="387"/>
      <c r="CC23" s="388"/>
      <c r="CD23" s="389">
        <f t="shared" si="26"/>
        <v>0</v>
      </c>
      <c r="CE23" s="387"/>
      <c r="CF23" s="388"/>
      <c r="CG23" s="389">
        <f t="shared" si="27"/>
        <v>0</v>
      </c>
      <c r="CH23" s="387"/>
      <c r="CI23" s="388"/>
      <c r="CJ23" s="389">
        <f t="shared" si="28"/>
        <v>0</v>
      </c>
      <c r="CK23" s="387"/>
      <c r="CL23" s="388"/>
      <c r="CM23" s="389">
        <f t="shared" si="29"/>
        <v>0</v>
      </c>
      <c r="CN23" s="387"/>
      <c r="CO23" s="388"/>
      <c r="CP23" s="389">
        <f t="shared" si="30"/>
        <v>0</v>
      </c>
    </row>
    <row r="24" spans="1:94" ht="15.95" customHeight="1" x14ac:dyDescent="0.25">
      <c r="A24" s="386"/>
      <c r="B24" s="387"/>
      <c r="C24" s="388"/>
      <c r="D24" s="389">
        <f t="shared" si="0"/>
        <v>0</v>
      </c>
      <c r="E24" s="387"/>
      <c r="F24" s="388"/>
      <c r="G24" s="389">
        <f t="shared" si="1"/>
        <v>0</v>
      </c>
      <c r="H24" s="387"/>
      <c r="I24" s="388"/>
      <c r="J24" s="389">
        <f t="shared" si="2"/>
        <v>0</v>
      </c>
      <c r="K24" s="387"/>
      <c r="L24" s="388"/>
      <c r="M24" s="389">
        <f t="shared" si="3"/>
        <v>0</v>
      </c>
      <c r="N24" s="387"/>
      <c r="O24" s="388"/>
      <c r="P24" s="389">
        <f t="shared" si="4"/>
        <v>0</v>
      </c>
      <c r="Q24" s="387"/>
      <c r="R24" s="388"/>
      <c r="S24" s="389">
        <f t="shared" si="5"/>
        <v>0</v>
      </c>
      <c r="T24" s="387"/>
      <c r="U24" s="388"/>
      <c r="V24" s="389">
        <f t="shared" si="6"/>
        <v>0</v>
      </c>
      <c r="W24" s="387"/>
      <c r="X24" s="388"/>
      <c r="Y24" s="389">
        <f t="shared" si="7"/>
        <v>0</v>
      </c>
      <c r="Z24" s="387"/>
      <c r="AA24" s="388"/>
      <c r="AB24" s="389">
        <f t="shared" si="8"/>
        <v>0</v>
      </c>
      <c r="AC24" s="387"/>
      <c r="AD24" s="388"/>
      <c r="AE24" s="389">
        <f t="shared" si="9"/>
        <v>0</v>
      </c>
      <c r="AF24" s="387"/>
      <c r="AG24" s="388"/>
      <c r="AH24" s="389">
        <f t="shared" si="10"/>
        <v>0</v>
      </c>
      <c r="AI24" s="387"/>
      <c r="AJ24" s="388"/>
      <c r="AK24" s="389">
        <f t="shared" si="11"/>
        <v>0</v>
      </c>
      <c r="AL24" s="387"/>
      <c r="AM24" s="388"/>
      <c r="AN24" s="389">
        <f t="shared" si="12"/>
        <v>0</v>
      </c>
      <c r="AO24" s="387"/>
      <c r="AP24" s="388"/>
      <c r="AQ24" s="389">
        <f t="shared" si="13"/>
        <v>0</v>
      </c>
      <c r="AR24" s="387"/>
      <c r="AS24" s="388"/>
      <c r="AT24" s="389">
        <f t="shared" si="14"/>
        <v>0</v>
      </c>
      <c r="AU24" s="387"/>
      <c r="AV24" s="388"/>
      <c r="AW24" s="389">
        <f t="shared" si="15"/>
        <v>0</v>
      </c>
      <c r="AX24" s="387"/>
      <c r="AY24" s="388"/>
      <c r="AZ24" s="389">
        <f t="shared" si="16"/>
        <v>0</v>
      </c>
      <c r="BA24" s="387"/>
      <c r="BB24" s="388"/>
      <c r="BC24" s="389">
        <f t="shared" si="17"/>
        <v>0</v>
      </c>
      <c r="BD24" s="387"/>
      <c r="BE24" s="388"/>
      <c r="BF24" s="389">
        <f t="shared" si="18"/>
        <v>0</v>
      </c>
      <c r="BG24" s="387"/>
      <c r="BH24" s="388"/>
      <c r="BI24" s="389">
        <f t="shared" si="19"/>
        <v>0</v>
      </c>
      <c r="BJ24" s="387"/>
      <c r="BK24" s="388"/>
      <c r="BL24" s="389">
        <f t="shared" si="20"/>
        <v>0</v>
      </c>
      <c r="BM24" s="387"/>
      <c r="BN24" s="388"/>
      <c r="BO24" s="389">
        <f t="shared" si="21"/>
        <v>0</v>
      </c>
      <c r="BP24" s="387"/>
      <c r="BQ24" s="388"/>
      <c r="BR24" s="389">
        <f t="shared" si="22"/>
        <v>0</v>
      </c>
      <c r="BS24" s="387"/>
      <c r="BT24" s="388"/>
      <c r="BU24" s="389">
        <f t="shared" si="23"/>
        <v>0</v>
      </c>
      <c r="BV24" s="387"/>
      <c r="BW24" s="388"/>
      <c r="BX24" s="389">
        <f t="shared" si="24"/>
        <v>0</v>
      </c>
      <c r="BY24" s="387"/>
      <c r="BZ24" s="388"/>
      <c r="CA24" s="389">
        <f t="shared" si="25"/>
        <v>0</v>
      </c>
      <c r="CB24" s="387"/>
      <c r="CC24" s="388"/>
      <c r="CD24" s="389">
        <f t="shared" si="26"/>
        <v>0</v>
      </c>
      <c r="CE24" s="387"/>
      <c r="CF24" s="388"/>
      <c r="CG24" s="389">
        <f t="shared" si="27"/>
        <v>0</v>
      </c>
      <c r="CH24" s="387"/>
      <c r="CI24" s="388"/>
      <c r="CJ24" s="389">
        <f t="shared" si="28"/>
        <v>0</v>
      </c>
      <c r="CK24" s="387"/>
      <c r="CL24" s="388"/>
      <c r="CM24" s="389">
        <f t="shared" si="29"/>
        <v>0</v>
      </c>
      <c r="CN24" s="387"/>
      <c r="CO24" s="388"/>
      <c r="CP24" s="389">
        <f t="shared" si="30"/>
        <v>0</v>
      </c>
    </row>
    <row r="25" spans="1:94" ht="15.95" customHeight="1" x14ac:dyDescent="0.25">
      <c r="A25" s="386"/>
      <c r="B25" s="387"/>
      <c r="C25" s="388"/>
      <c r="D25" s="389">
        <f t="shared" si="0"/>
        <v>0</v>
      </c>
      <c r="E25" s="387"/>
      <c r="F25" s="388"/>
      <c r="G25" s="389">
        <f t="shared" si="1"/>
        <v>0</v>
      </c>
      <c r="H25" s="387"/>
      <c r="I25" s="388"/>
      <c r="J25" s="389">
        <f t="shared" si="2"/>
        <v>0</v>
      </c>
      <c r="K25" s="387"/>
      <c r="L25" s="388"/>
      <c r="M25" s="389">
        <f t="shared" si="3"/>
        <v>0</v>
      </c>
      <c r="N25" s="387"/>
      <c r="O25" s="388"/>
      <c r="P25" s="389">
        <f t="shared" si="4"/>
        <v>0</v>
      </c>
      <c r="Q25" s="387"/>
      <c r="R25" s="388"/>
      <c r="S25" s="389">
        <f t="shared" si="5"/>
        <v>0</v>
      </c>
      <c r="T25" s="387"/>
      <c r="U25" s="388"/>
      <c r="V25" s="389">
        <f t="shared" si="6"/>
        <v>0</v>
      </c>
      <c r="W25" s="387"/>
      <c r="X25" s="388"/>
      <c r="Y25" s="389">
        <f t="shared" si="7"/>
        <v>0</v>
      </c>
      <c r="Z25" s="387"/>
      <c r="AA25" s="388"/>
      <c r="AB25" s="389">
        <f t="shared" si="8"/>
        <v>0</v>
      </c>
      <c r="AC25" s="387"/>
      <c r="AD25" s="388"/>
      <c r="AE25" s="389">
        <f t="shared" si="9"/>
        <v>0</v>
      </c>
      <c r="AF25" s="387"/>
      <c r="AG25" s="388"/>
      <c r="AH25" s="389">
        <f t="shared" si="10"/>
        <v>0</v>
      </c>
      <c r="AI25" s="387"/>
      <c r="AJ25" s="388"/>
      <c r="AK25" s="389">
        <f t="shared" si="11"/>
        <v>0</v>
      </c>
      <c r="AL25" s="387"/>
      <c r="AM25" s="388"/>
      <c r="AN25" s="389">
        <f t="shared" si="12"/>
        <v>0</v>
      </c>
      <c r="AO25" s="387"/>
      <c r="AP25" s="388"/>
      <c r="AQ25" s="389">
        <f t="shared" si="13"/>
        <v>0</v>
      </c>
      <c r="AR25" s="387"/>
      <c r="AS25" s="388"/>
      <c r="AT25" s="389">
        <f t="shared" si="14"/>
        <v>0</v>
      </c>
      <c r="AU25" s="387"/>
      <c r="AV25" s="388"/>
      <c r="AW25" s="389">
        <f t="shared" si="15"/>
        <v>0</v>
      </c>
      <c r="AX25" s="387"/>
      <c r="AY25" s="388"/>
      <c r="AZ25" s="389">
        <f t="shared" si="16"/>
        <v>0</v>
      </c>
      <c r="BA25" s="387"/>
      <c r="BB25" s="388"/>
      <c r="BC25" s="389">
        <f t="shared" si="17"/>
        <v>0</v>
      </c>
      <c r="BD25" s="387"/>
      <c r="BE25" s="388"/>
      <c r="BF25" s="389">
        <f t="shared" si="18"/>
        <v>0</v>
      </c>
      <c r="BG25" s="387"/>
      <c r="BH25" s="388"/>
      <c r="BI25" s="389">
        <f t="shared" si="19"/>
        <v>0</v>
      </c>
      <c r="BJ25" s="387"/>
      <c r="BK25" s="388"/>
      <c r="BL25" s="389">
        <f t="shared" si="20"/>
        <v>0</v>
      </c>
      <c r="BM25" s="387"/>
      <c r="BN25" s="388"/>
      <c r="BO25" s="389">
        <f t="shared" si="21"/>
        <v>0</v>
      </c>
      <c r="BP25" s="387"/>
      <c r="BQ25" s="388"/>
      <c r="BR25" s="389">
        <f t="shared" si="22"/>
        <v>0</v>
      </c>
      <c r="BS25" s="387"/>
      <c r="BT25" s="388"/>
      <c r="BU25" s="389">
        <f t="shared" si="23"/>
        <v>0</v>
      </c>
      <c r="BV25" s="387"/>
      <c r="BW25" s="388"/>
      <c r="BX25" s="389">
        <f t="shared" si="24"/>
        <v>0</v>
      </c>
      <c r="BY25" s="387"/>
      <c r="BZ25" s="388"/>
      <c r="CA25" s="389">
        <f t="shared" si="25"/>
        <v>0</v>
      </c>
      <c r="CB25" s="387"/>
      <c r="CC25" s="388"/>
      <c r="CD25" s="389">
        <f t="shared" si="26"/>
        <v>0</v>
      </c>
      <c r="CE25" s="387"/>
      <c r="CF25" s="388"/>
      <c r="CG25" s="389">
        <f t="shared" si="27"/>
        <v>0</v>
      </c>
      <c r="CH25" s="387"/>
      <c r="CI25" s="388"/>
      <c r="CJ25" s="389">
        <f t="shared" si="28"/>
        <v>0</v>
      </c>
      <c r="CK25" s="387"/>
      <c r="CL25" s="388"/>
      <c r="CM25" s="389">
        <f t="shared" si="29"/>
        <v>0</v>
      </c>
      <c r="CN25" s="387"/>
      <c r="CO25" s="388"/>
      <c r="CP25" s="389">
        <f t="shared" si="30"/>
        <v>0</v>
      </c>
    </row>
    <row r="26" spans="1:94" ht="15.95" customHeight="1" x14ac:dyDescent="0.25">
      <c r="A26" s="386"/>
      <c r="B26" s="387"/>
      <c r="C26" s="388"/>
      <c r="D26" s="389">
        <f t="shared" si="0"/>
        <v>0</v>
      </c>
      <c r="E26" s="387"/>
      <c r="F26" s="388"/>
      <c r="G26" s="389">
        <f t="shared" si="1"/>
        <v>0</v>
      </c>
      <c r="H26" s="387"/>
      <c r="I26" s="388"/>
      <c r="J26" s="389">
        <f t="shared" si="2"/>
        <v>0</v>
      </c>
      <c r="K26" s="387"/>
      <c r="L26" s="388"/>
      <c r="M26" s="389">
        <f t="shared" si="3"/>
        <v>0</v>
      </c>
      <c r="N26" s="387"/>
      <c r="O26" s="388"/>
      <c r="P26" s="389">
        <f t="shared" si="4"/>
        <v>0</v>
      </c>
      <c r="Q26" s="387"/>
      <c r="R26" s="388"/>
      <c r="S26" s="389">
        <f t="shared" si="5"/>
        <v>0</v>
      </c>
      <c r="T26" s="387"/>
      <c r="U26" s="388"/>
      <c r="V26" s="389">
        <f t="shared" si="6"/>
        <v>0</v>
      </c>
      <c r="W26" s="387"/>
      <c r="X26" s="388"/>
      <c r="Y26" s="389">
        <f t="shared" si="7"/>
        <v>0</v>
      </c>
      <c r="Z26" s="387"/>
      <c r="AA26" s="388"/>
      <c r="AB26" s="389">
        <f t="shared" si="8"/>
        <v>0</v>
      </c>
      <c r="AC26" s="387"/>
      <c r="AD26" s="388"/>
      <c r="AE26" s="389">
        <f t="shared" si="9"/>
        <v>0</v>
      </c>
      <c r="AF26" s="387"/>
      <c r="AG26" s="388"/>
      <c r="AH26" s="389">
        <f t="shared" si="10"/>
        <v>0</v>
      </c>
      <c r="AI26" s="387"/>
      <c r="AJ26" s="388"/>
      <c r="AK26" s="389">
        <f t="shared" si="11"/>
        <v>0</v>
      </c>
      <c r="AL26" s="387"/>
      <c r="AM26" s="388"/>
      <c r="AN26" s="389">
        <f t="shared" si="12"/>
        <v>0</v>
      </c>
      <c r="AO26" s="387"/>
      <c r="AP26" s="388"/>
      <c r="AQ26" s="389">
        <f t="shared" si="13"/>
        <v>0</v>
      </c>
      <c r="AR26" s="387"/>
      <c r="AS26" s="388"/>
      <c r="AT26" s="389">
        <f t="shared" si="14"/>
        <v>0</v>
      </c>
      <c r="AU26" s="387"/>
      <c r="AV26" s="388"/>
      <c r="AW26" s="389">
        <f t="shared" si="15"/>
        <v>0</v>
      </c>
      <c r="AX26" s="387"/>
      <c r="AY26" s="388"/>
      <c r="AZ26" s="389">
        <f t="shared" si="16"/>
        <v>0</v>
      </c>
      <c r="BA26" s="387"/>
      <c r="BB26" s="388"/>
      <c r="BC26" s="389">
        <f t="shared" si="17"/>
        <v>0</v>
      </c>
      <c r="BD26" s="387"/>
      <c r="BE26" s="388"/>
      <c r="BF26" s="389">
        <f t="shared" si="18"/>
        <v>0</v>
      </c>
      <c r="BG26" s="387"/>
      <c r="BH26" s="388"/>
      <c r="BI26" s="389">
        <f t="shared" si="19"/>
        <v>0</v>
      </c>
      <c r="BJ26" s="387"/>
      <c r="BK26" s="388"/>
      <c r="BL26" s="389">
        <f t="shared" si="20"/>
        <v>0</v>
      </c>
      <c r="BM26" s="387"/>
      <c r="BN26" s="388"/>
      <c r="BO26" s="389">
        <f t="shared" si="21"/>
        <v>0</v>
      </c>
      <c r="BP26" s="387"/>
      <c r="BQ26" s="388"/>
      <c r="BR26" s="389">
        <f t="shared" si="22"/>
        <v>0</v>
      </c>
      <c r="BS26" s="387"/>
      <c r="BT26" s="388"/>
      <c r="BU26" s="389">
        <f t="shared" si="23"/>
        <v>0</v>
      </c>
      <c r="BV26" s="387"/>
      <c r="BW26" s="388"/>
      <c r="BX26" s="389">
        <f t="shared" si="24"/>
        <v>0</v>
      </c>
      <c r="BY26" s="387"/>
      <c r="BZ26" s="388"/>
      <c r="CA26" s="389">
        <f t="shared" si="25"/>
        <v>0</v>
      </c>
      <c r="CB26" s="387"/>
      <c r="CC26" s="388"/>
      <c r="CD26" s="389">
        <f t="shared" si="26"/>
        <v>0</v>
      </c>
      <c r="CE26" s="387"/>
      <c r="CF26" s="388"/>
      <c r="CG26" s="389">
        <f t="shared" si="27"/>
        <v>0</v>
      </c>
      <c r="CH26" s="387"/>
      <c r="CI26" s="388"/>
      <c r="CJ26" s="389">
        <f t="shared" si="28"/>
        <v>0</v>
      </c>
      <c r="CK26" s="387"/>
      <c r="CL26" s="388"/>
      <c r="CM26" s="389">
        <f t="shared" si="29"/>
        <v>0</v>
      </c>
      <c r="CN26" s="387"/>
      <c r="CO26" s="388"/>
      <c r="CP26" s="389">
        <f t="shared" si="30"/>
        <v>0</v>
      </c>
    </row>
    <row r="27" spans="1:94" ht="15.95" customHeight="1" x14ac:dyDescent="0.25">
      <c r="A27" s="386"/>
      <c r="B27" s="387"/>
      <c r="C27" s="388"/>
      <c r="D27" s="389">
        <f t="shared" si="0"/>
        <v>0</v>
      </c>
      <c r="E27" s="387"/>
      <c r="F27" s="388"/>
      <c r="G27" s="389">
        <f t="shared" si="1"/>
        <v>0</v>
      </c>
      <c r="H27" s="387"/>
      <c r="I27" s="388"/>
      <c r="J27" s="389">
        <f t="shared" si="2"/>
        <v>0</v>
      </c>
      <c r="K27" s="387"/>
      <c r="L27" s="388"/>
      <c r="M27" s="389">
        <f t="shared" si="3"/>
        <v>0</v>
      </c>
      <c r="N27" s="387"/>
      <c r="O27" s="388"/>
      <c r="P27" s="389">
        <f t="shared" si="4"/>
        <v>0</v>
      </c>
      <c r="Q27" s="387"/>
      <c r="R27" s="388"/>
      <c r="S27" s="389">
        <f t="shared" si="5"/>
        <v>0</v>
      </c>
      <c r="T27" s="387"/>
      <c r="U27" s="388"/>
      <c r="V27" s="389">
        <f t="shared" si="6"/>
        <v>0</v>
      </c>
      <c r="W27" s="387"/>
      <c r="X27" s="388"/>
      <c r="Y27" s="389">
        <f t="shared" si="7"/>
        <v>0</v>
      </c>
      <c r="Z27" s="387"/>
      <c r="AA27" s="388"/>
      <c r="AB27" s="389">
        <f t="shared" si="8"/>
        <v>0</v>
      </c>
      <c r="AC27" s="387"/>
      <c r="AD27" s="388"/>
      <c r="AE27" s="389">
        <f t="shared" si="9"/>
        <v>0</v>
      </c>
      <c r="AF27" s="387"/>
      <c r="AG27" s="388"/>
      <c r="AH27" s="389">
        <f t="shared" si="10"/>
        <v>0</v>
      </c>
      <c r="AI27" s="387"/>
      <c r="AJ27" s="388"/>
      <c r="AK27" s="389">
        <f t="shared" si="11"/>
        <v>0</v>
      </c>
      <c r="AL27" s="387"/>
      <c r="AM27" s="388"/>
      <c r="AN27" s="389">
        <f t="shared" si="12"/>
        <v>0</v>
      </c>
      <c r="AO27" s="387"/>
      <c r="AP27" s="388"/>
      <c r="AQ27" s="389">
        <f t="shared" si="13"/>
        <v>0</v>
      </c>
      <c r="AR27" s="387"/>
      <c r="AS27" s="388"/>
      <c r="AT27" s="389">
        <f t="shared" si="14"/>
        <v>0</v>
      </c>
      <c r="AU27" s="387"/>
      <c r="AV27" s="388"/>
      <c r="AW27" s="389">
        <f t="shared" si="15"/>
        <v>0</v>
      </c>
      <c r="AX27" s="387"/>
      <c r="AY27" s="388"/>
      <c r="AZ27" s="389">
        <f t="shared" si="16"/>
        <v>0</v>
      </c>
      <c r="BA27" s="387"/>
      <c r="BB27" s="388"/>
      <c r="BC27" s="389">
        <f t="shared" si="17"/>
        <v>0</v>
      </c>
      <c r="BD27" s="387"/>
      <c r="BE27" s="388"/>
      <c r="BF27" s="389">
        <f t="shared" si="18"/>
        <v>0</v>
      </c>
      <c r="BG27" s="387"/>
      <c r="BH27" s="388"/>
      <c r="BI27" s="389">
        <f t="shared" si="19"/>
        <v>0</v>
      </c>
      <c r="BJ27" s="387"/>
      <c r="BK27" s="388"/>
      <c r="BL27" s="389">
        <f t="shared" si="20"/>
        <v>0</v>
      </c>
      <c r="BM27" s="387"/>
      <c r="BN27" s="388"/>
      <c r="BO27" s="389">
        <f t="shared" si="21"/>
        <v>0</v>
      </c>
      <c r="BP27" s="387"/>
      <c r="BQ27" s="388"/>
      <c r="BR27" s="389">
        <f t="shared" si="22"/>
        <v>0</v>
      </c>
      <c r="BS27" s="387"/>
      <c r="BT27" s="388"/>
      <c r="BU27" s="389">
        <f t="shared" si="23"/>
        <v>0</v>
      </c>
      <c r="BV27" s="387"/>
      <c r="BW27" s="388"/>
      <c r="BX27" s="389">
        <f t="shared" si="24"/>
        <v>0</v>
      </c>
      <c r="BY27" s="387"/>
      <c r="BZ27" s="388"/>
      <c r="CA27" s="389">
        <f t="shared" si="25"/>
        <v>0</v>
      </c>
      <c r="CB27" s="387"/>
      <c r="CC27" s="388"/>
      <c r="CD27" s="389">
        <f t="shared" si="26"/>
        <v>0</v>
      </c>
      <c r="CE27" s="387"/>
      <c r="CF27" s="388"/>
      <c r="CG27" s="389">
        <f t="shared" si="27"/>
        <v>0</v>
      </c>
      <c r="CH27" s="387"/>
      <c r="CI27" s="388"/>
      <c r="CJ27" s="389">
        <f t="shared" si="28"/>
        <v>0</v>
      </c>
      <c r="CK27" s="387"/>
      <c r="CL27" s="388"/>
      <c r="CM27" s="389">
        <f t="shared" si="29"/>
        <v>0</v>
      </c>
      <c r="CN27" s="387"/>
      <c r="CO27" s="388"/>
      <c r="CP27" s="389">
        <f t="shared" si="30"/>
        <v>0</v>
      </c>
    </row>
    <row r="28" spans="1:94" ht="15.95" customHeight="1" x14ac:dyDescent="0.25">
      <c r="A28" s="386"/>
      <c r="B28" s="387"/>
      <c r="C28" s="388"/>
      <c r="D28" s="389">
        <f t="shared" si="0"/>
        <v>0</v>
      </c>
      <c r="E28" s="387"/>
      <c r="F28" s="388"/>
      <c r="G28" s="389">
        <f t="shared" si="1"/>
        <v>0</v>
      </c>
      <c r="H28" s="387"/>
      <c r="I28" s="388"/>
      <c r="J28" s="389">
        <f t="shared" si="2"/>
        <v>0</v>
      </c>
      <c r="K28" s="387"/>
      <c r="L28" s="388"/>
      <c r="M28" s="389">
        <f t="shared" si="3"/>
        <v>0</v>
      </c>
      <c r="N28" s="387"/>
      <c r="O28" s="388"/>
      <c r="P28" s="389">
        <f t="shared" si="4"/>
        <v>0</v>
      </c>
      <c r="Q28" s="387"/>
      <c r="R28" s="388"/>
      <c r="S28" s="389">
        <f t="shared" si="5"/>
        <v>0</v>
      </c>
      <c r="T28" s="387"/>
      <c r="U28" s="388"/>
      <c r="V28" s="389">
        <f t="shared" si="6"/>
        <v>0</v>
      </c>
      <c r="W28" s="387"/>
      <c r="X28" s="388"/>
      <c r="Y28" s="389">
        <f t="shared" si="7"/>
        <v>0</v>
      </c>
      <c r="Z28" s="387"/>
      <c r="AA28" s="388"/>
      <c r="AB28" s="389">
        <f t="shared" si="8"/>
        <v>0</v>
      </c>
      <c r="AC28" s="387"/>
      <c r="AD28" s="388"/>
      <c r="AE28" s="389">
        <f t="shared" si="9"/>
        <v>0</v>
      </c>
      <c r="AF28" s="387"/>
      <c r="AG28" s="388"/>
      <c r="AH28" s="389">
        <f t="shared" si="10"/>
        <v>0</v>
      </c>
      <c r="AI28" s="387"/>
      <c r="AJ28" s="388"/>
      <c r="AK28" s="389">
        <f t="shared" si="11"/>
        <v>0</v>
      </c>
      <c r="AL28" s="387"/>
      <c r="AM28" s="388"/>
      <c r="AN28" s="389">
        <f t="shared" si="12"/>
        <v>0</v>
      </c>
      <c r="AO28" s="387"/>
      <c r="AP28" s="388"/>
      <c r="AQ28" s="389">
        <f t="shared" si="13"/>
        <v>0</v>
      </c>
      <c r="AR28" s="387"/>
      <c r="AS28" s="388"/>
      <c r="AT28" s="389">
        <f t="shared" si="14"/>
        <v>0</v>
      </c>
      <c r="AU28" s="387"/>
      <c r="AV28" s="388"/>
      <c r="AW28" s="389">
        <f t="shared" si="15"/>
        <v>0</v>
      </c>
      <c r="AX28" s="387"/>
      <c r="AY28" s="388"/>
      <c r="AZ28" s="389">
        <f t="shared" si="16"/>
        <v>0</v>
      </c>
      <c r="BA28" s="387"/>
      <c r="BB28" s="388"/>
      <c r="BC28" s="389">
        <f t="shared" si="17"/>
        <v>0</v>
      </c>
      <c r="BD28" s="387"/>
      <c r="BE28" s="388"/>
      <c r="BF28" s="389">
        <f t="shared" si="18"/>
        <v>0</v>
      </c>
      <c r="BG28" s="387"/>
      <c r="BH28" s="388"/>
      <c r="BI28" s="389">
        <f t="shared" si="19"/>
        <v>0</v>
      </c>
      <c r="BJ28" s="387"/>
      <c r="BK28" s="388"/>
      <c r="BL28" s="389">
        <f t="shared" si="20"/>
        <v>0</v>
      </c>
      <c r="BM28" s="387"/>
      <c r="BN28" s="388"/>
      <c r="BO28" s="389">
        <f t="shared" si="21"/>
        <v>0</v>
      </c>
      <c r="BP28" s="387"/>
      <c r="BQ28" s="388"/>
      <c r="BR28" s="389">
        <f t="shared" si="22"/>
        <v>0</v>
      </c>
      <c r="BS28" s="387"/>
      <c r="BT28" s="388"/>
      <c r="BU28" s="389">
        <f t="shared" si="23"/>
        <v>0</v>
      </c>
      <c r="BV28" s="387"/>
      <c r="BW28" s="388"/>
      <c r="BX28" s="389">
        <f t="shared" si="24"/>
        <v>0</v>
      </c>
      <c r="BY28" s="387"/>
      <c r="BZ28" s="388"/>
      <c r="CA28" s="389">
        <f t="shared" si="25"/>
        <v>0</v>
      </c>
      <c r="CB28" s="387"/>
      <c r="CC28" s="388"/>
      <c r="CD28" s="389">
        <f t="shared" si="26"/>
        <v>0</v>
      </c>
      <c r="CE28" s="387"/>
      <c r="CF28" s="388"/>
      <c r="CG28" s="389">
        <f t="shared" si="27"/>
        <v>0</v>
      </c>
      <c r="CH28" s="387"/>
      <c r="CI28" s="388"/>
      <c r="CJ28" s="389">
        <f t="shared" si="28"/>
        <v>0</v>
      </c>
      <c r="CK28" s="387"/>
      <c r="CL28" s="388"/>
      <c r="CM28" s="389">
        <f t="shared" si="29"/>
        <v>0</v>
      </c>
      <c r="CN28" s="387"/>
      <c r="CO28" s="388"/>
      <c r="CP28" s="389">
        <f t="shared" si="30"/>
        <v>0</v>
      </c>
    </row>
    <row r="29" spans="1:94" ht="15.95" customHeight="1" x14ac:dyDescent="0.25">
      <c r="A29" s="386"/>
      <c r="B29" s="387"/>
      <c r="C29" s="388"/>
      <c r="D29" s="389">
        <f t="shared" si="0"/>
        <v>0</v>
      </c>
      <c r="E29" s="387"/>
      <c r="F29" s="388"/>
      <c r="G29" s="389">
        <f t="shared" si="1"/>
        <v>0</v>
      </c>
      <c r="H29" s="387"/>
      <c r="I29" s="388"/>
      <c r="J29" s="389">
        <f t="shared" si="2"/>
        <v>0</v>
      </c>
      <c r="K29" s="387"/>
      <c r="L29" s="388"/>
      <c r="M29" s="389">
        <f t="shared" si="3"/>
        <v>0</v>
      </c>
      <c r="N29" s="387"/>
      <c r="O29" s="388"/>
      <c r="P29" s="389">
        <f t="shared" si="4"/>
        <v>0</v>
      </c>
      <c r="Q29" s="387"/>
      <c r="R29" s="388"/>
      <c r="S29" s="389">
        <f t="shared" si="5"/>
        <v>0</v>
      </c>
      <c r="T29" s="387"/>
      <c r="U29" s="388"/>
      <c r="V29" s="389">
        <f t="shared" si="6"/>
        <v>0</v>
      </c>
      <c r="W29" s="387"/>
      <c r="X29" s="388"/>
      <c r="Y29" s="389">
        <f t="shared" si="7"/>
        <v>0</v>
      </c>
      <c r="Z29" s="387"/>
      <c r="AA29" s="388"/>
      <c r="AB29" s="389">
        <f t="shared" si="8"/>
        <v>0</v>
      </c>
      <c r="AC29" s="387"/>
      <c r="AD29" s="388"/>
      <c r="AE29" s="389">
        <f t="shared" si="9"/>
        <v>0</v>
      </c>
      <c r="AF29" s="387"/>
      <c r="AG29" s="388"/>
      <c r="AH29" s="389">
        <f t="shared" si="10"/>
        <v>0</v>
      </c>
      <c r="AI29" s="387"/>
      <c r="AJ29" s="388"/>
      <c r="AK29" s="389">
        <f t="shared" si="11"/>
        <v>0</v>
      </c>
      <c r="AL29" s="387"/>
      <c r="AM29" s="388"/>
      <c r="AN29" s="389">
        <f t="shared" si="12"/>
        <v>0</v>
      </c>
      <c r="AO29" s="387"/>
      <c r="AP29" s="388"/>
      <c r="AQ29" s="389">
        <f t="shared" si="13"/>
        <v>0</v>
      </c>
      <c r="AR29" s="387"/>
      <c r="AS29" s="388"/>
      <c r="AT29" s="389">
        <f t="shared" si="14"/>
        <v>0</v>
      </c>
      <c r="AU29" s="387"/>
      <c r="AV29" s="388"/>
      <c r="AW29" s="389">
        <f t="shared" si="15"/>
        <v>0</v>
      </c>
      <c r="AX29" s="387"/>
      <c r="AY29" s="388"/>
      <c r="AZ29" s="389">
        <f t="shared" si="16"/>
        <v>0</v>
      </c>
      <c r="BA29" s="387"/>
      <c r="BB29" s="388"/>
      <c r="BC29" s="389">
        <f t="shared" si="17"/>
        <v>0</v>
      </c>
      <c r="BD29" s="387"/>
      <c r="BE29" s="388"/>
      <c r="BF29" s="389">
        <f t="shared" si="18"/>
        <v>0</v>
      </c>
      <c r="BG29" s="387"/>
      <c r="BH29" s="388"/>
      <c r="BI29" s="389">
        <f t="shared" si="19"/>
        <v>0</v>
      </c>
      <c r="BJ29" s="387"/>
      <c r="BK29" s="388"/>
      <c r="BL29" s="389">
        <f t="shared" si="20"/>
        <v>0</v>
      </c>
      <c r="BM29" s="387"/>
      <c r="BN29" s="388"/>
      <c r="BO29" s="389">
        <f t="shared" si="21"/>
        <v>0</v>
      </c>
      <c r="BP29" s="387"/>
      <c r="BQ29" s="388"/>
      <c r="BR29" s="389">
        <f t="shared" si="22"/>
        <v>0</v>
      </c>
      <c r="BS29" s="387"/>
      <c r="BT29" s="388"/>
      <c r="BU29" s="389">
        <f t="shared" si="23"/>
        <v>0</v>
      </c>
      <c r="BV29" s="387"/>
      <c r="BW29" s="388"/>
      <c r="BX29" s="389">
        <f t="shared" si="24"/>
        <v>0</v>
      </c>
      <c r="BY29" s="387"/>
      <c r="BZ29" s="388"/>
      <c r="CA29" s="389">
        <f t="shared" si="25"/>
        <v>0</v>
      </c>
      <c r="CB29" s="387"/>
      <c r="CC29" s="388"/>
      <c r="CD29" s="389">
        <f t="shared" si="26"/>
        <v>0</v>
      </c>
      <c r="CE29" s="387"/>
      <c r="CF29" s="388"/>
      <c r="CG29" s="389">
        <f t="shared" si="27"/>
        <v>0</v>
      </c>
      <c r="CH29" s="387"/>
      <c r="CI29" s="388"/>
      <c r="CJ29" s="389">
        <f t="shared" si="28"/>
        <v>0</v>
      </c>
      <c r="CK29" s="387"/>
      <c r="CL29" s="388"/>
      <c r="CM29" s="389">
        <f t="shared" si="29"/>
        <v>0</v>
      </c>
      <c r="CN29" s="387"/>
      <c r="CO29" s="388"/>
      <c r="CP29" s="389">
        <f t="shared" si="30"/>
        <v>0</v>
      </c>
    </row>
    <row r="30" spans="1:94" ht="15.95" customHeight="1" x14ac:dyDescent="0.25">
      <c r="A30" s="386"/>
      <c r="B30" s="387"/>
      <c r="C30" s="388"/>
      <c r="D30" s="389">
        <f t="shared" si="0"/>
        <v>0</v>
      </c>
      <c r="E30" s="387"/>
      <c r="F30" s="388"/>
      <c r="G30" s="389">
        <f t="shared" si="1"/>
        <v>0</v>
      </c>
      <c r="H30" s="387"/>
      <c r="I30" s="388"/>
      <c r="J30" s="389">
        <f t="shared" si="2"/>
        <v>0</v>
      </c>
      <c r="K30" s="387"/>
      <c r="L30" s="388"/>
      <c r="M30" s="389">
        <f t="shared" si="3"/>
        <v>0</v>
      </c>
      <c r="N30" s="387"/>
      <c r="O30" s="388"/>
      <c r="P30" s="389">
        <f t="shared" si="4"/>
        <v>0</v>
      </c>
      <c r="Q30" s="387"/>
      <c r="R30" s="388"/>
      <c r="S30" s="389">
        <f t="shared" si="5"/>
        <v>0</v>
      </c>
      <c r="T30" s="387"/>
      <c r="U30" s="388"/>
      <c r="V30" s="389">
        <f t="shared" si="6"/>
        <v>0</v>
      </c>
      <c r="W30" s="387"/>
      <c r="X30" s="388"/>
      <c r="Y30" s="389">
        <f t="shared" si="7"/>
        <v>0</v>
      </c>
      <c r="Z30" s="387"/>
      <c r="AA30" s="388"/>
      <c r="AB30" s="389">
        <f t="shared" si="8"/>
        <v>0</v>
      </c>
      <c r="AC30" s="387"/>
      <c r="AD30" s="388"/>
      <c r="AE30" s="389">
        <f t="shared" si="9"/>
        <v>0</v>
      </c>
      <c r="AF30" s="387"/>
      <c r="AG30" s="388"/>
      <c r="AH30" s="389">
        <f t="shared" si="10"/>
        <v>0</v>
      </c>
      <c r="AI30" s="387"/>
      <c r="AJ30" s="388"/>
      <c r="AK30" s="389">
        <f t="shared" si="11"/>
        <v>0</v>
      </c>
      <c r="AL30" s="387"/>
      <c r="AM30" s="388"/>
      <c r="AN30" s="389">
        <f t="shared" si="12"/>
        <v>0</v>
      </c>
      <c r="AO30" s="387"/>
      <c r="AP30" s="388"/>
      <c r="AQ30" s="389">
        <f t="shared" si="13"/>
        <v>0</v>
      </c>
      <c r="AR30" s="387"/>
      <c r="AS30" s="388"/>
      <c r="AT30" s="389">
        <f t="shared" si="14"/>
        <v>0</v>
      </c>
      <c r="AU30" s="387"/>
      <c r="AV30" s="388"/>
      <c r="AW30" s="389">
        <f t="shared" si="15"/>
        <v>0</v>
      </c>
      <c r="AX30" s="387"/>
      <c r="AY30" s="388"/>
      <c r="AZ30" s="389">
        <f t="shared" si="16"/>
        <v>0</v>
      </c>
      <c r="BA30" s="387"/>
      <c r="BB30" s="388"/>
      <c r="BC30" s="389">
        <f t="shared" si="17"/>
        <v>0</v>
      </c>
      <c r="BD30" s="387"/>
      <c r="BE30" s="388"/>
      <c r="BF30" s="389">
        <f t="shared" si="18"/>
        <v>0</v>
      </c>
      <c r="BG30" s="387"/>
      <c r="BH30" s="388"/>
      <c r="BI30" s="389">
        <f t="shared" si="19"/>
        <v>0</v>
      </c>
      <c r="BJ30" s="387"/>
      <c r="BK30" s="388"/>
      <c r="BL30" s="389">
        <f t="shared" si="20"/>
        <v>0</v>
      </c>
      <c r="BM30" s="387"/>
      <c r="BN30" s="388"/>
      <c r="BO30" s="389">
        <f t="shared" si="21"/>
        <v>0</v>
      </c>
      <c r="BP30" s="387"/>
      <c r="BQ30" s="388"/>
      <c r="BR30" s="389">
        <f t="shared" si="22"/>
        <v>0</v>
      </c>
      <c r="BS30" s="387"/>
      <c r="BT30" s="388"/>
      <c r="BU30" s="389">
        <f t="shared" si="23"/>
        <v>0</v>
      </c>
      <c r="BV30" s="387"/>
      <c r="BW30" s="388"/>
      <c r="BX30" s="389">
        <f t="shared" si="24"/>
        <v>0</v>
      </c>
      <c r="BY30" s="387"/>
      <c r="BZ30" s="388"/>
      <c r="CA30" s="389">
        <f t="shared" si="25"/>
        <v>0</v>
      </c>
      <c r="CB30" s="387"/>
      <c r="CC30" s="388"/>
      <c r="CD30" s="389">
        <f t="shared" si="26"/>
        <v>0</v>
      </c>
      <c r="CE30" s="387"/>
      <c r="CF30" s="388"/>
      <c r="CG30" s="389">
        <f t="shared" si="27"/>
        <v>0</v>
      </c>
      <c r="CH30" s="387"/>
      <c r="CI30" s="388"/>
      <c r="CJ30" s="389">
        <f t="shared" si="28"/>
        <v>0</v>
      </c>
      <c r="CK30" s="387"/>
      <c r="CL30" s="388"/>
      <c r="CM30" s="389">
        <f t="shared" si="29"/>
        <v>0</v>
      </c>
      <c r="CN30" s="387"/>
      <c r="CO30" s="388"/>
      <c r="CP30" s="389">
        <f t="shared" si="30"/>
        <v>0</v>
      </c>
    </row>
    <row r="31" spans="1:94" ht="15.95" customHeight="1" x14ac:dyDescent="0.25">
      <c r="A31" s="386"/>
      <c r="B31" s="387"/>
      <c r="C31" s="388"/>
      <c r="D31" s="389">
        <f t="shared" si="0"/>
        <v>0</v>
      </c>
      <c r="E31" s="387"/>
      <c r="F31" s="388"/>
      <c r="G31" s="389">
        <f t="shared" si="1"/>
        <v>0</v>
      </c>
      <c r="H31" s="387"/>
      <c r="I31" s="388"/>
      <c r="J31" s="389">
        <f t="shared" si="2"/>
        <v>0</v>
      </c>
      <c r="K31" s="387"/>
      <c r="L31" s="388"/>
      <c r="M31" s="389">
        <f t="shared" si="3"/>
        <v>0</v>
      </c>
      <c r="N31" s="387"/>
      <c r="O31" s="388"/>
      <c r="P31" s="389">
        <f t="shared" si="4"/>
        <v>0</v>
      </c>
      <c r="Q31" s="387"/>
      <c r="R31" s="388"/>
      <c r="S31" s="389">
        <f t="shared" si="5"/>
        <v>0</v>
      </c>
      <c r="T31" s="387"/>
      <c r="U31" s="388"/>
      <c r="V31" s="389">
        <f t="shared" si="6"/>
        <v>0</v>
      </c>
      <c r="W31" s="387"/>
      <c r="X31" s="388"/>
      <c r="Y31" s="389">
        <f t="shared" si="7"/>
        <v>0</v>
      </c>
      <c r="Z31" s="387"/>
      <c r="AA31" s="388"/>
      <c r="AB31" s="389">
        <f t="shared" si="8"/>
        <v>0</v>
      </c>
      <c r="AC31" s="387"/>
      <c r="AD31" s="388"/>
      <c r="AE31" s="389">
        <f t="shared" si="9"/>
        <v>0</v>
      </c>
      <c r="AF31" s="387"/>
      <c r="AG31" s="388"/>
      <c r="AH31" s="389">
        <f t="shared" si="10"/>
        <v>0</v>
      </c>
      <c r="AI31" s="387"/>
      <c r="AJ31" s="388"/>
      <c r="AK31" s="389">
        <f t="shared" si="11"/>
        <v>0</v>
      </c>
      <c r="AL31" s="387"/>
      <c r="AM31" s="388"/>
      <c r="AN31" s="389">
        <f t="shared" si="12"/>
        <v>0</v>
      </c>
      <c r="AO31" s="387"/>
      <c r="AP31" s="388"/>
      <c r="AQ31" s="389">
        <f t="shared" si="13"/>
        <v>0</v>
      </c>
      <c r="AR31" s="387"/>
      <c r="AS31" s="388"/>
      <c r="AT31" s="389">
        <f t="shared" si="14"/>
        <v>0</v>
      </c>
      <c r="AU31" s="387"/>
      <c r="AV31" s="388"/>
      <c r="AW31" s="389">
        <f t="shared" si="15"/>
        <v>0</v>
      </c>
      <c r="AX31" s="387"/>
      <c r="AY31" s="388"/>
      <c r="AZ31" s="389">
        <f t="shared" si="16"/>
        <v>0</v>
      </c>
      <c r="BA31" s="387"/>
      <c r="BB31" s="388"/>
      <c r="BC31" s="389">
        <f t="shared" si="17"/>
        <v>0</v>
      </c>
      <c r="BD31" s="387"/>
      <c r="BE31" s="388"/>
      <c r="BF31" s="389">
        <f t="shared" si="18"/>
        <v>0</v>
      </c>
      <c r="BG31" s="387"/>
      <c r="BH31" s="388"/>
      <c r="BI31" s="389">
        <f t="shared" si="19"/>
        <v>0</v>
      </c>
      <c r="BJ31" s="387"/>
      <c r="BK31" s="388"/>
      <c r="BL31" s="389">
        <f t="shared" si="20"/>
        <v>0</v>
      </c>
      <c r="BM31" s="387"/>
      <c r="BN31" s="388"/>
      <c r="BO31" s="389">
        <f t="shared" si="21"/>
        <v>0</v>
      </c>
      <c r="BP31" s="387"/>
      <c r="BQ31" s="388"/>
      <c r="BR31" s="389">
        <f t="shared" si="22"/>
        <v>0</v>
      </c>
      <c r="BS31" s="387"/>
      <c r="BT31" s="388"/>
      <c r="BU31" s="389">
        <f t="shared" si="23"/>
        <v>0</v>
      </c>
      <c r="BV31" s="387"/>
      <c r="BW31" s="388"/>
      <c r="BX31" s="389">
        <f t="shared" si="24"/>
        <v>0</v>
      </c>
      <c r="BY31" s="387"/>
      <c r="BZ31" s="388"/>
      <c r="CA31" s="389">
        <f t="shared" si="25"/>
        <v>0</v>
      </c>
      <c r="CB31" s="387"/>
      <c r="CC31" s="388"/>
      <c r="CD31" s="389">
        <f t="shared" si="26"/>
        <v>0</v>
      </c>
      <c r="CE31" s="387"/>
      <c r="CF31" s="388"/>
      <c r="CG31" s="389">
        <f t="shared" si="27"/>
        <v>0</v>
      </c>
      <c r="CH31" s="387"/>
      <c r="CI31" s="388"/>
      <c r="CJ31" s="389">
        <f t="shared" si="28"/>
        <v>0</v>
      </c>
      <c r="CK31" s="387"/>
      <c r="CL31" s="388"/>
      <c r="CM31" s="389">
        <f t="shared" si="29"/>
        <v>0</v>
      </c>
      <c r="CN31" s="387"/>
      <c r="CO31" s="388"/>
      <c r="CP31" s="389">
        <f t="shared" si="30"/>
        <v>0</v>
      </c>
    </row>
    <row r="32" spans="1:94" ht="15.95" customHeight="1" x14ac:dyDescent="0.25">
      <c r="A32" s="386"/>
      <c r="B32" s="387"/>
      <c r="C32" s="388"/>
      <c r="D32" s="389">
        <f t="shared" si="0"/>
        <v>0</v>
      </c>
      <c r="E32" s="387"/>
      <c r="F32" s="388"/>
      <c r="G32" s="389">
        <f t="shared" si="1"/>
        <v>0</v>
      </c>
      <c r="H32" s="387"/>
      <c r="I32" s="388"/>
      <c r="J32" s="389">
        <f t="shared" si="2"/>
        <v>0</v>
      </c>
      <c r="K32" s="387"/>
      <c r="L32" s="388"/>
      <c r="M32" s="389">
        <f t="shared" si="3"/>
        <v>0</v>
      </c>
      <c r="N32" s="387"/>
      <c r="O32" s="388"/>
      <c r="P32" s="389">
        <f t="shared" si="4"/>
        <v>0</v>
      </c>
      <c r="Q32" s="387"/>
      <c r="R32" s="388"/>
      <c r="S32" s="389">
        <f t="shared" si="5"/>
        <v>0</v>
      </c>
      <c r="T32" s="387"/>
      <c r="U32" s="388"/>
      <c r="V32" s="389">
        <f t="shared" si="6"/>
        <v>0</v>
      </c>
      <c r="W32" s="387"/>
      <c r="X32" s="388"/>
      <c r="Y32" s="389">
        <f t="shared" si="7"/>
        <v>0</v>
      </c>
      <c r="Z32" s="387"/>
      <c r="AA32" s="388"/>
      <c r="AB32" s="389">
        <f t="shared" si="8"/>
        <v>0</v>
      </c>
      <c r="AC32" s="387"/>
      <c r="AD32" s="388"/>
      <c r="AE32" s="389">
        <f t="shared" si="9"/>
        <v>0</v>
      </c>
      <c r="AF32" s="387"/>
      <c r="AG32" s="388"/>
      <c r="AH32" s="389">
        <f t="shared" si="10"/>
        <v>0</v>
      </c>
      <c r="AI32" s="387"/>
      <c r="AJ32" s="388"/>
      <c r="AK32" s="389">
        <f t="shared" si="11"/>
        <v>0</v>
      </c>
      <c r="AL32" s="387"/>
      <c r="AM32" s="388"/>
      <c r="AN32" s="389">
        <f t="shared" si="12"/>
        <v>0</v>
      </c>
      <c r="AO32" s="387"/>
      <c r="AP32" s="388"/>
      <c r="AQ32" s="389">
        <f t="shared" si="13"/>
        <v>0</v>
      </c>
      <c r="AR32" s="387"/>
      <c r="AS32" s="388"/>
      <c r="AT32" s="389">
        <f t="shared" si="14"/>
        <v>0</v>
      </c>
      <c r="AU32" s="387"/>
      <c r="AV32" s="388"/>
      <c r="AW32" s="389">
        <f t="shared" si="15"/>
        <v>0</v>
      </c>
      <c r="AX32" s="387"/>
      <c r="AY32" s="388"/>
      <c r="AZ32" s="389">
        <f t="shared" si="16"/>
        <v>0</v>
      </c>
      <c r="BA32" s="387"/>
      <c r="BB32" s="388"/>
      <c r="BC32" s="389">
        <f t="shared" si="17"/>
        <v>0</v>
      </c>
      <c r="BD32" s="387"/>
      <c r="BE32" s="388"/>
      <c r="BF32" s="389">
        <f t="shared" si="18"/>
        <v>0</v>
      </c>
      <c r="BG32" s="387"/>
      <c r="BH32" s="388"/>
      <c r="BI32" s="389">
        <f t="shared" si="19"/>
        <v>0</v>
      </c>
      <c r="BJ32" s="387"/>
      <c r="BK32" s="388"/>
      <c r="BL32" s="389">
        <f t="shared" si="20"/>
        <v>0</v>
      </c>
      <c r="BM32" s="387"/>
      <c r="BN32" s="388"/>
      <c r="BO32" s="389">
        <f t="shared" si="21"/>
        <v>0</v>
      </c>
      <c r="BP32" s="387"/>
      <c r="BQ32" s="388"/>
      <c r="BR32" s="389">
        <f t="shared" si="22"/>
        <v>0</v>
      </c>
      <c r="BS32" s="387"/>
      <c r="BT32" s="388"/>
      <c r="BU32" s="389">
        <f t="shared" si="23"/>
        <v>0</v>
      </c>
      <c r="BV32" s="387"/>
      <c r="BW32" s="388"/>
      <c r="BX32" s="389">
        <f t="shared" si="24"/>
        <v>0</v>
      </c>
      <c r="BY32" s="387"/>
      <c r="BZ32" s="388"/>
      <c r="CA32" s="389">
        <f t="shared" si="25"/>
        <v>0</v>
      </c>
      <c r="CB32" s="387"/>
      <c r="CC32" s="388"/>
      <c r="CD32" s="389">
        <f t="shared" si="26"/>
        <v>0</v>
      </c>
      <c r="CE32" s="387"/>
      <c r="CF32" s="388"/>
      <c r="CG32" s="389">
        <f t="shared" si="27"/>
        <v>0</v>
      </c>
      <c r="CH32" s="387"/>
      <c r="CI32" s="388"/>
      <c r="CJ32" s="389">
        <f t="shared" si="28"/>
        <v>0</v>
      </c>
      <c r="CK32" s="387"/>
      <c r="CL32" s="388"/>
      <c r="CM32" s="389">
        <f t="shared" si="29"/>
        <v>0</v>
      </c>
      <c r="CN32" s="387"/>
      <c r="CO32" s="388"/>
      <c r="CP32" s="389">
        <f t="shared" si="30"/>
        <v>0</v>
      </c>
    </row>
    <row r="33" spans="1:94" ht="15.95" customHeight="1" x14ac:dyDescent="0.25">
      <c r="A33" s="386"/>
      <c r="B33" s="387"/>
      <c r="C33" s="388"/>
      <c r="D33" s="389">
        <f t="shared" si="0"/>
        <v>0</v>
      </c>
      <c r="E33" s="387"/>
      <c r="F33" s="388"/>
      <c r="G33" s="389">
        <f t="shared" si="1"/>
        <v>0</v>
      </c>
      <c r="H33" s="387"/>
      <c r="I33" s="388"/>
      <c r="J33" s="389">
        <f t="shared" si="2"/>
        <v>0</v>
      </c>
      <c r="K33" s="387"/>
      <c r="L33" s="388"/>
      <c r="M33" s="389">
        <f t="shared" si="3"/>
        <v>0</v>
      </c>
      <c r="N33" s="387"/>
      <c r="O33" s="388"/>
      <c r="P33" s="389">
        <f t="shared" si="4"/>
        <v>0</v>
      </c>
      <c r="Q33" s="387"/>
      <c r="R33" s="388"/>
      <c r="S33" s="389">
        <f t="shared" si="5"/>
        <v>0</v>
      </c>
      <c r="T33" s="387"/>
      <c r="U33" s="388"/>
      <c r="V33" s="389">
        <f t="shared" si="6"/>
        <v>0</v>
      </c>
      <c r="W33" s="387"/>
      <c r="X33" s="388"/>
      <c r="Y33" s="389">
        <f t="shared" si="7"/>
        <v>0</v>
      </c>
      <c r="Z33" s="387"/>
      <c r="AA33" s="388"/>
      <c r="AB33" s="389">
        <f t="shared" si="8"/>
        <v>0</v>
      </c>
      <c r="AC33" s="387"/>
      <c r="AD33" s="388"/>
      <c r="AE33" s="389">
        <f t="shared" si="9"/>
        <v>0</v>
      </c>
      <c r="AF33" s="387"/>
      <c r="AG33" s="388"/>
      <c r="AH33" s="389">
        <f t="shared" si="10"/>
        <v>0</v>
      </c>
      <c r="AI33" s="387"/>
      <c r="AJ33" s="388"/>
      <c r="AK33" s="389">
        <f t="shared" si="11"/>
        <v>0</v>
      </c>
      <c r="AL33" s="387"/>
      <c r="AM33" s="388"/>
      <c r="AN33" s="389">
        <f t="shared" si="12"/>
        <v>0</v>
      </c>
      <c r="AO33" s="387"/>
      <c r="AP33" s="388"/>
      <c r="AQ33" s="389">
        <f t="shared" si="13"/>
        <v>0</v>
      </c>
      <c r="AR33" s="387"/>
      <c r="AS33" s="388"/>
      <c r="AT33" s="389">
        <f t="shared" si="14"/>
        <v>0</v>
      </c>
      <c r="AU33" s="387"/>
      <c r="AV33" s="388"/>
      <c r="AW33" s="389">
        <f t="shared" si="15"/>
        <v>0</v>
      </c>
      <c r="AX33" s="387"/>
      <c r="AY33" s="388"/>
      <c r="AZ33" s="389">
        <f t="shared" si="16"/>
        <v>0</v>
      </c>
      <c r="BA33" s="387"/>
      <c r="BB33" s="388"/>
      <c r="BC33" s="389">
        <f t="shared" si="17"/>
        <v>0</v>
      </c>
      <c r="BD33" s="387"/>
      <c r="BE33" s="388"/>
      <c r="BF33" s="389">
        <f t="shared" si="18"/>
        <v>0</v>
      </c>
      <c r="BG33" s="387"/>
      <c r="BH33" s="388"/>
      <c r="BI33" s="389">
        <f t="shared" si="19"/>
        <v>0</v>
      </c>
      <c r="BJ33" s="387"/>
      <c r="BK33" s="388"/>
      <c r="BL33" s="389">
        <f t="shared" si="20"/>
        <v>0</v>
      </c>
      <c r="BM33" s="387"/>
      <c r="BN33" s="388"/>
      <c r="BO33" s="389">
        <f t="shared" si="21"/>
        <v>0</v>
      </c>
      <c r="BP33" s="387"/>
      <c r="BQ33" s="388"/>
      <c r="BR33" s="389">
        <f t="shared" si="22"/>
        <v>0</v>
      </c>
      <c r="BS33" s="387"/>
      <c r="BT33" s="388"/>
      <c r="BU33" s="389">
        <f t="shared" si="23"/>
        <v>0</v>
      </c>
      <c r="BV33" s="387"/>
      <c r="BW33" s="388"/>
      <c r="BX33" s="389">
        <f t="shared" si="24"/>
        <v>0</v>
      </c>
      <c r="BY33" s="387"/>
      <c r="BZ33" s="388"/>
      <c r="CA33" s="389">
        <f t="shared" si="25"/>
        <v>0</v>
      </c>
      <c r="CB33" s="387"/>
      <c r="CC33" s="388"/>
      <c r="CD33" s="389">
        <f t="shared" si="26"/>
        <v>0</v>
      </c>
      <c r="CE33" s="387"/>
      <c r="CF33" s="388"/>
      <c r="CG33" s="389">
        <f t="shared" si="27"/>
        <v>0</v>
      </c>
      <c r="CH33" s="387"/>
      <c r="CI33" s="388"/>
      <c r="CJ33" s="389">
        <f t="shared" si="28"/>
        <v>0</v>
      </c>
      <c r="CK33" s="387"/>
      <c r="CL33" s="388"/>
      <c r="CM33" s="389">
        <f t="shared" si="29"/>
        <v>0</v>
      </c>
      <c r="CN33" s="387"/>
      <c r="CO33" s="388"/>
      <c r="CP33" s="389">
        <f t="shared" si="30"/>
        <v>0</v>
      </c>
    </row>
    <row r="34" spans="1:94" ht="15.95" customHeight="1" x14ac:dyDescent="0.25">
      <c r="A34" s="386"/>
      <c r="B34" s="387"/>
      <c r="C34" s="388"/>
      <c r="D34" s="389">
        <f t="shared" si="0"/>
        <v>0</v>
      </c>
      <c r="E34" s="387"/>
      <c r="F34" s="388"/>
      <c r="G34" s="389">
        <f t="shared" si="1"/>
        <v>0</v>
      </c>
      <c r="H34" s="387"/>
      <c r="I34" s="388"/>
      <c r="J34" s="389">
        <f t="shared" si="2"/>
        <v>0</v>
      </c>
      <c r="K34" s="387"/>
      <c r="L34" s="388"/>
      <c r="M34" s="389">
        <f t="shared" si="3"/>
        <v>0</v>
      </c>
      <c r="N34" s="387"/>
      <c r="O34" s="388"/>
      <c r="P34" s="389">
        <f t="shared" si="4"/>
        <v>0</v>
      </c>
      <c r="Q34" s="387"/>
      <c r="R34" s="388"/>
      <c r="S34" s="389">
        <f t="shared" si="5"/>
        <v>0</v>
      </c>
      <c r="T34" s="387"/>
      <c r="U34" s="388"/>
      <c r="V34" s="389">
        <f t="shared" si="6"/>
        <v>0</v>
      </c>
      <c r="W34" s="387"/>
      <c r="X34" s="388"/>
      <c r="Y34" s="389">
        <f t="shared" si="7"/>
        <v>0</v>
      </c>
      <c r="Z34" s="387"/>
      <c r="AA34" s="388"/>
      <c r="AB34" s="389">
        <f t="shared" si="8"/>
        <v>0</v>
      </c>
      <c r="AC34" s="387"/>
      <c r="AD34" s="388"/>
      <c r="AE34" s="389">
        <f t="shared" si="9"/>
        <v>0</v>
      </c>
      <c r="AF34" s="387"/>
      <c r="AG34" s="388"/>
      <c r="AH34" s="389">
        <f t="shared" si="10"/>
        <v>0</v>
      </c>
      <c r="AI34" s="387"/>
      <c r="AJ34" s="388"/>
      <c r="AK34" s="389">
        <f t="shared" si="11"/>
        <v>0</v>
      </c>
      <c r="AL34" s="387"/>
      <c r="AM34" s="388"/>
      <c r="AN34" s="389">
        <f t="shared" si="12"/>
        <v>0</v>
      </c>
      <c r="AO34" s="387"/>
      <c r="AP34" s="388"/>
      <c r="AQ34" s="389">
        <f t="shared" si="13"/>
        <v>0</v>
      </c>
      <c r="AR34" s="387"/>
      <c r="AS34" s="388"/>
      <c r="AT34" s="389">
        <f t="shared" si="14"/>
        <v>0</v>
      </c>
      <c r="AU34" s="387"/>
      <c r="AV34" s="388"/>
      <c r="AW34" s="389">
        <f t="shared" si="15"/>
        <v>0</v>
      </c>
      <c r="AX34" s="387"/>
      <c r="AY34" s="388"/>
      <c r="AZ34" s="389">
        <f t="shared" si="16"/>
        <v>0</v>
      </c>
      <c r="BA34" s="387"/>
      <c r="BB34" s="388"/>
      <c r="BC34" s="389">
        <f t="shared" si="17"/>
        <v>0</v>
      </c>
      <c r="BD34" s="387"/>
      <c r="BE34" s="388"/>
      <c r="BF34" s="389">
        <f t="shared" si="18"/>
        <v>0</v>
      </c>
      <c r="BG34" s="387"/>
      <c r="BH34" s="388"/>
      <c r="BI34" s="389">
        <f t="shared" si="19"/>
        <v>0</v>
      </c>
      <c r="BJ34" s="387"/>
      <c r="BK34" s="388"/>
      <c r="BL34" s="389">
        <f t="shared" si="20"/>
        <v>0</v>
      </c>
      <c r="BM34" s="387"/>
      <c r="BN34" s="388"/>
      <c r="BO34" s="389">
        <f t="shared" si="21"/>
        <v>0</v>
      </c>
      <c r="BP34" s="387"/>
      <c r="BQ34" s="388"/>
      <c r="BR34" s="389">
        <f t="shared" si="22"/>
        <v>0</v>
      </c>
      <c r="BS34" s="387"/>
      <c r="BT34" s="388"/>
      <c r="BU34" s="389">
        <f t="shared" si="23"/>
        <v>0</v>
      </c>
      <c r="BV34" s="387"/>
      <c r="BW34" s="388"/>
      <c r="BX34" s="389">
        <f t="shared" si="24"/>
        <v>0</v>
      </c>
      <c r="BY34" s="387"/>
      <c r="BZ34" s="388"/>
      <c r="CA34" s="389">
        <f t="shared" si="25"/>
        <v>0</v>
      </c>
      <c r="CB34" s="387"/>
      <c r="CC34" s="388"/>
      <c r="CD34" s="389">
        <f t="shared" si="26"/>
        <v>0</v>
      </c>
      <c r="CE34" s="387"/>
      <c r="CF34" s="388"/>
      <c r="CG34" s="389">
        <f t="shared" si="27"/>
        <v>0</v>
      </c>
      <c r="CH34" s="387"/>
      <c r="CI34" s="388"/>
      <c r="CJ34" s="389">
        <f t="shared" si="28"/>
        <v>0</v>
      </c>
      <c r="CK34" s="387"/>
      <c r="CL34" s="388"/>
      <c r="CM34" s="389">
        <f t="shared" si="29"/>
        <v>0</v>
      </c>
      <c r="CN34" s="387"/>
      <c r="CO34" s="388"/>
      <c r="CP34" s="389">
        <f t="shared" si="30"/>
        <v>0</v>
      </c>
    </row>
    <row r="35" spans="1:94" ht="15.95" customHeight="1" x14ac:dyDescent="0.25">
      <c r="A35" s="386"/>
      <c r="B35" s="387"/>
      <c r="C35" s="388"/>
      <c r="D35" s="389">
        <f t="shared" si="0"/>
        <v>0</v>
      </c>
      <c r="E35" s="387"/>
      <c r="F35" s="388"/>
      <c r="G35" s="389">
        <f t="shared" si="1"/>
        <v>0</v>
      </c>
      <c r="H35" s="387"/>
      <c r="I35" s="388"/>
      <c r="J35" s="389">
        <f t="shared" si="2"/>
        <v>0</v>
      </c>
      <c r="K35" s="387"/>
      <c r="L35" s="388"/>
      <c r="M35" s="389">
        <f t="shared" si="3"/>
        <v>0</v>
      </c>
      <c r="N35" s="387"/>
      <c r="O35" s="388"/>
      <c r="P35" s="389">
        <f t="shared" si="4"/>
        <v>0</v>
      </c>
      <c r="Q35" s="387"/>
      <c r="R35" s="388"/>
      <c r="S35" s="389">
        <f t="shared" si="5"/>
        <v>0</v>
      </c>
      <c r="T35" s="387"/>
      <c r="U35" s="388"/>
      <c r="V35" s="389">
        <f t="shared" si="6"/>
        <v>0</v>
      </c>
      <c r="W35" s="387"/>
      <c r="X35" s="388"/>
      <c r="Y35" s="389">
        <f t="shared" si="7"/>
        <v>0</v>
      </c>
      <c r="Z35" s="387"/>
      <c r="AA35" s="388"/>
      <c r="AB35" s="389">
        <f t="shared" si="8"/>
        <v>0</v>
      </c>
      <c r="AC35" s="387"/>
      <c r="AD35" s="388"/>
      <c r="AE35" s="389">
        <f t="shared" si="9"/>
        <v>0</v>
      </c>
      <c r="AF35" s="387"/>
      <c r="AG35" s="388"/>
      <c r="AH35" s="389">
        <f t="shared" si="10"/>
        <v>0</v>
      </c>
      <c r="AI35" s="387"/>
      <c r="AJ35" s="388"/>
      <c r="AK35" s="389">
        <f t="shared" si="11"/>
        <v>0</v>
      </c>
      <c r="AL35" s="387"/>
      <c r="AM35" s="388"/>
      <c r="AN35" s="389">
        <f t="shared" si="12"/>
        <v>0</v>
      </c>
      <c r="AO35" s="387"/>
      <c r="AP35" s="388"/>
      <c r="AQ35" s="389">
        <f t="shared" si="13"/>
        <v>0</v>
      </c>
      <c r="AR35" s="387"/>
      <c r="AS35" s="388"/>
      <c r="AT35" s="389">
        <f t="shared" si="14"/>
        <v>0</v>
      </c>
      <c r="AU35" s="387"/>
      <c r="AV35" s="388"/>
      <c r="AW35" s="389">
        <f t="shared" si="15"/>
        <v>0</v>
      </c>
      <c r="AX35" s="387"/>
      <c r="AY35" s="388"/>
      <c r="AZ35" s="389">
        <f t="shared" si="16"/>
        <v>0</v>
      </c>
      <c r="BA35" s="387"/>
      <c r="BB35" s="388"/>
      <c r="BC35" s="389">
        <f t="shared" si="17"/>
        <v>0</v>
      </c>
      <c r="BD35" s="387"/>
      <c r="BE35" s="388"/>
      <c r="BF35" s="389">
        <f t="shared" si="18"/>
        <v>0</v>
      </c>
      <c r="BG35" s="387"/>
      <c r="BH35" s="388"/>
      <c r="BI35" s="389">
        <f t="shared" si="19"/>
        <v>0</v>
      </c>
      <c r="BJ35" s="387"/>
      <c r="BK35" s="388"/>
      <c r="BL35" s="389">
        <f t="shared" si="20"/>
        <v>0</v>
      </c>
      <c r="BM35" s="387"/>
      <c r="BN35" s="388"/>
      <c r="BO35" s="389">
        <f t="shared" si="21"/>
        <v>0</v>
      </c>
      <c r="BP35" s="387"/>
      <c r="BQ35" s="388"/>
      <c r="BR35" s="389">
        <f t="shared" si="22"/>
        <v>0</v>
      </c>
      <c r="BS35" s="387"/>
      <c r="BT35" s="388"/>
      <c r="BU35" s="389">
        <f t="shared" si="23"/>
        <v>0</v>
      </c>
      <c r="BV35" s="387"/>
      <c r="BW35" s="388"/>
      <c r="BX35" s="389">
        <f t="shared" si="24"/>
        <v>0</v>
      </c>
      <c r="BY35" s="387"/>
      <c r="BZ35" s="388"/>
      <c r="CA35" s="389">
        <f t="shared" si="25"/>
        <v>0</v>
      </c>
      <c r="CB35" s="387"/>
      <c r="CC35" s="388"/>
      <c r="CD35" s="389">
        <f t="shared" si="26"/>
        <v>0</v>
      </c>
      <c r="CE35" s="387"/>
      <c r="CF35" s="388"/>
      <c r="CG35" s="389">
        <f t="shared" si="27"/>
        <v>0</v>
      </c>
      <c r="CH35" s="387"/>
      <c r="CI35" s="388"/>
      <c r="CJ35" s="389">
        <f t="shared" si="28"/>
        <v>0</v>
      </c>
      <c r="CK35" s="387"/>
      <c r="CL35" s="388"/>
      <c r="CM35" s="389">
        <f t="shared" si="29"/>
        <v>0</v>
      </c>
      <c r="CN35" s="387"/>
      <c r="CO35" s="388"/>
      <c r="CP35" s="389">
        <f t="shared" si="30"/>
        <v>0</v>
      </c>
    </row>
    <row r="36" spans="1:94" ht="15.95" customHeight="1" x14ac:dyDescent="0.25">
      <c r="A36" s="386"/>
      <c r="B36" s="387"/>
      <c r="C36" s="388"/>
      <c r="D36" s="389">
        <f t="shared" si="0"/>
        <v>0</v>
      </c>
      <c r="E36" s="387"/>
      <c r="F36" s="388"/>
      <c r="G36" s="389">
        <f t="shared" si="1"/>
        <v>0</v>
      </c>
      <c r="H36" s="387"/>
      <c r="I36" s="388"/>
      <c r="J36" s="389">
        <f t="shared" si="2"/>
        <v>0</v>
      </c>
      <c r="K36" s="387"/>
      <c r="L36" s="388"/>
      <c r="M36" s="389">
        <f t="shared" si="3"/>
        <v>0</v>
      </c>
      <c r="N36" s="387"/>
      <c r="O36" s="388"/>
      <c r="P36" s="389">
        <f t="shared" si="4"/>
        <v>0</v>
      </c>
      <c r="Q36" s="387"/>
      <c r="R36" s="388"/>
      <c r="S36" s="389">
        <f t="shared" si="5"/>
        <v>0</v>
      </c>
      <c r="T36" s="387"/>
      <c r="U36" s="388"/>
      <c r="V36" s="389">
        <f t="shared" si="6"/>
        <v>0</v>
      </c>
      <c r="W36" s="387"/>
      <c r="X36" s="388"/>
      <c r="Y36" s="389">
        <f t="shared" si="7"/>
        <v>0</v>
      </c>
      <c r="Z36" s="387"/>
      <c r="AA36" s="388"/>
      <c r="AB36" s="389">
        <f t="shared" si="8"/>
        <v>0</v>
      </c>
      <c r="AC36" s="387"/>
      <c r="AD36" s="388"/>
      <c r="AE36" s="389">
        <f t="shared" si="9"/>
        <v>0</v>
      </c>
      <c r="AF36" s="387"/>
      <c r="AG36" s="388"/>
      <c r="AH36" s="389">
        <f t="shared" si="10"/>
        <v>0</v>
      </c>
      <c r="AI36" s="387"/>
      <c r="AJ36" s="388"/>
      <c r="AK36" s="389">
        <f t="shared" si="11"/>
        <v>0</v>
      </c>
      <c r="AL36" s="387"/>
      <c r="AM36" s="388"/>
      <c r="AN36" s="389">
        <f t="shared" si="12"/>
        <v>0</v>
      </c>
      <c r="AO36" s="387"/>
      <c r="AP36" s="388"/>
      <c r="AQ36" s="389">
        <f t="shared" si="13"/>
        <v>0</v>
      </c>
      <c r="AR36" s="387"/>
      <c r="AS36" s="388"/>
      <c r="AT36" s="389">
        <f t="shared" si="14"/>
        <v>0</v>
      </c>
      <c r="AU36" s="387"/>
      <c r="AV36" s="388"/>
      <c r="AW36" s="389">
        <f t="shared" si="15"/>
        <v>0</v>
      </c>
      <c r="AX36" s="387"/>
      <c r="AY36" s="388"/>
      <c r="AZ36" s="389">
        <f t="shared" si="16"/>
        <v>0</v>
      </c>
      <c r="BA36" s="387"/>
      <c r="BB36" s="388"/>
      <c r="BC36" s="389">
        <f t="shared" si="17"/>
        <v>0</v>
      </c>
      <c r="BD36" s="387"/>
      <c r="BE36" s="388"/>
      <c r="BF36" s="389">
        <f t="shared" si="18"/>
        <v>0</v>
      </c>
      <c r="BG36" s="387"/>
      <c r="BH36" s="388"/>
      <c r="BI36" s="389">
        <f t="shared" si="19"/>
        <v>0</v>
      </c>
      <c r="BJ36" s="387"/>
      <c r="BK36" s="388"/>
      <c r="BL36" s="389">
        <f t="shared" si="20"/>
        <v>0</v>
      </c>
      <c r="BM36" s="387"/>
      <c r="BN36" s="388"/>
      <c r="BO36" s="389">
        <f t="shared" si="21"/>
        <v>0</v>
      </c>
      <c r="BP36" s="387"/>
      <c r="BQ36" s="388"/>
      <c r="BR36" s="389">
        <f t="shared" si="22"/>
        <v>0</v>
      </c>
      <c r="BS36" s="387"/>
      <c r="BT36" s="388"/>
      <c r="BU36" s="389">
        <f t="shared" si="23"/>
        <v>0</v>
      </c>
      <c r="BV36" s="387"/>
      <c r="BW36" s="388"/>
      <c r="BX36" s="389">
        <f t="shared" si="24"/>
        <v>0</v>
      </c>
      <c r="BY36" s="387"/>
      <c r="BZ36" s="388"/>
      <c r="CA36" s="389">
        <f t="shared" si="25"/>
        <v>0</v>
      </c>
      <c r="CB36" s="387"/>
      <c r="CC36" s="388"/>
      <c r="CD36" s="389">
        <f t="shared" si="26"/>
        <v>0</v>
      </c>
      <c r="CE36" s="387"/>
      <c r="CF36" s="388"/>
      <c r="CG36" s="389">
        <f t="shared" si="27"/>
        <v>0</v>
      </c>
      <c r="CH36" s="387"/>
      <c r="CI36" s="388"/>
      <c r="CJ36" s="389">
        <f t="shared" si="28"/>
        <v>0</v>
      </c>
      <c r="CK36" s="387"/>
      <c r="CL36" s="388"/>
      <c r="CM36" s="389">
        <f t="shared" si="29"/>
        <v>0</v>
      </c>
      <c r="CN36" s="387"/>
      <c r="CO36" s="388"/>
      <c r="CP36" s="389">
        <f t="shared" si="30"/>
        <v>0</v>
      </c>
    </row>
    <row r="37" spans="1:94" ht="15.95" customHeight="1" x14ac:dyDescent="0.25">
      <c r="A37" s="390"/>
      <c r="B37" s="391"/>
      <c r="C37" s="392"/>
      <c r="D37" s="393">
        <f t="shared" si="0"/>
        <v>0</v>
      </c>
      <c r="E37" s="391"/>
      <c r="F37" s="392"/>
      <c r="G37" s="393">
        <f t="shared" si="1"/>
        <v>0</v>
      </c>
      <c r="H37" s="391"/>
      <c r="I37" s="392"/>
      <c r="J37" s="393">
        <f t="shared" si="2"/>
        <v>0</v>
      </c>
      <c r="K37" s="391"/>
      <c r="L37" s="392"/>
      <c r="M37" s="393">
        <f t="shared" si="3"/>
        <v>0</v>
      </c>
      <c r="N37" s="391"/>
      <c r="O37" s="392"/>
      <c r="P37" s="393">
        <f t="shared" si="4"/>
        <v>0</v>
      </c>
      <c r="Q37" s="391"/>
      <c r="R37" s="392"/>
      <c r="S37" s="393">
        <f t="shared" si="5"/>
        <v>0</v>
      </c>
      <c r="T37" s="391"/>
      <c r="U37" s="392"/>
      <c r="V37" s="393">
        <f t="shared" si="6"/>
        <v>0</v>
      </c>
      <c r="W37" s="391"/>
      <c r="X37" s="392"/>
      <c r="Y37" s="393">
        <f t="shared" si="7"/>
        <v>0</v>
      </c>
      <c r="Z37" s="391"/>
      <c r="AA37" s="392"/>
      <c r="AB37" s="393">
        <f t="shared" si="8"/>
        <v>0</v>
      </c>
      <c r="AC37" s="391"/>
      <c r="AD37" s="392"/>
      <c r="AE37" s="393">
        <f t="shared" si="9"/>
        <v>0</v>
      </c>
      <c r="AF37" s="391"/>
      <c r="AG37" s="392"/>
      <c r="AH37" s="393">
        <f t="shared" si="10"/>
        <v>0</v>
      </c>
      <c r="AI37" s="391"/>
      <c r="AJ37" s="392"/>
      <c r="AK37" s="393">
        <f t="shared" si="11"/>
        <v>0</v>
      </c>
      <c r="AL37" s="391"/>
      <c r="AM37" s="392"/>
      <c r="AN37" s="393">
        <f t="shared" si="12"/>
        <v>0</v>
      </c>
      <c r="AO37" s="391"/>
      <c r="AP37" s="392"/>
      <c r="AQ37" s="393">
        <f t="shared" si="13"/>
        <v>0</v>
      </c>
      <c r="AR37" s="391"/>
      <c r="AS37" s="392"/>
      <c r="AT37" s="393">
        <f t="shared" si="14"/>
        <v>0</v>
      </c>
      <c r="AU37" s="391"/>
      <c r="AV37" s="392"/>
      <c r="AW37" s="393">
        <f t="shared" si="15"/>
        <v>0</v>
      </c>
      <c r="AX37" s="391"/>
      <c r="AY37" s="392"/>
      <c r="AZ37" s="393">
        <f t="shared" si="16"/>
        <v>0</v>
      </c>
      <c r="BA37" s="391"/>
      <c r="BB37" s="392"/>
      <c r="BC37" s="393">
        <f t="shared" si="17"/>
        <v>0</v>
      </c>
      <c r="BD37" s="391"/>
      <c r="BE37" s="392"/>
      <c r="BF37" s="393">
        <f t="shared" si="18"/>
        <v>0</v>
      </c>
      <c r="BG37" s="391"/>
      <c r="BH37" s="392"/>
      <c r="BI37" s="393">
        <f t="shared" si="19"/>
        <v>0</v>
      </c>
      <c r="BJ37" s="391"/>
      <c r="BK37" s="392"/>
      <c r="BL37" s="393">
        <f t="shared" si="20"/>
        <v>0</v>
      </c>
      <c r="BM37" s="391"/>
      <c r="BN37" s="392"/>
      <c r="BO37" s="393">
        <f t="shared" si="21"/>
        <v>0</v>
      </c>
      <c r="BP37" s="391"/>
      <c r="BQ37" s="392"/>
      <c r="BR37" s="393">
        <f t="shared" si="22"/>
        <v>0</v>
      </c>
      <c r="BS37" s="391"/>
      <c r="BT37" s="392"/>
      <c r="BU37" s="393">
        <f t="shared" si="23"/>
        <v>0</v>
      </c>
      <c r="BV37" s="391"/>
      <c r="BW37" s="392"/>
      <c r="BX37" s="393">
        <f t="shared" si="24"/>
        <v>0</v>
      </c>
      <c r="BY37" s="391"/>
      <c r="BZ37" s="392"/>
      <c r="CA37" s="393">
        <f t="shared" si="25"/>
        <v>0</v>
      </c>
      <c r="CB37" s="391"/>
      <c r="CC37" s="392"/>
      <c r="CD37" s="393">
        <f t="shared" si="26"/>
        <v>0</v>
      </c>
      <c r="CE37" s="391"/>
      <c r="CF37" s="392"/>
      <c r="CG37" s="393">
        <f t="shared" si="27"/>
        <v>0</v>
      </c>
      <c r="CH37" s="391"/>
      <c r="CI37" s="392"/>
      <c r="CJ37" s="393">
        <f t="shared" si="28"/>
        <v>0</v>
      </c>
      <c r="CK37" s="391"/>
      <c r="CL37" s="392"/>
      <c r="CM37" s="393">
        <f t="shared" si="29"/>
        <v>0</v>
      </c>
      <c r="CN37" s="391"/>
      <c r="CO37" s="392"/>
      <c r="CP37" s="393">
        <f t="shared" si="30"/>
        <v>0</v>
      </c>
    </row>
    <row r="38" spans="1:94" ht="19.5" customHeight="1" thickBot="1" x14ac:dyDescent="0.3">
      <c r="A38" s="394" t="s">
        <v>179</v>
      </c>
      <c r="B38" s="970">
        <f>SUM(D5:D37)</f>
        <v>0</v>
      </c>
      <c r="C38" s="971"/>
      <c r="D38" s="972"/>
      <c r="E38" s="970">
        <f>SUM(G5:G37)</f>
        <v>0</v>
      </c>
      <c r="F38" s="971"/>
      <c r="G38" s="972"/>
      <c r="H38" s="970">
        <f>SUM(J5:J37)</f>
        <v>0</v>
      </c>
      <c r="I38" s="971"/>
      <c r="J38" s="972"/>
      <c r="K38" s="970">
        <f>SUM(M5:M37)</f>
        <v>0</v>
      </c>
      <c r="L38" s="971"/>
      <c r="M38" s="972"/>
      <c r="N38" s="970">
        <f>SUM(P5:P37)</f>
        <v>0</v>
      </c>
      <c r="O38" s="971"/>
      <c r="P38" s="972"/>
      <c r="Q38" s="970">
        <f>SUM(S5:S37)</f>
        <v>0</v>
      </c>
      <c r="R38" s="971"/>
      <c r="S38" s="972"/>
      <c r="T38" s="970">
        <f>SUM(V5:V37)</f>
        <v>0</v>
      </c>
      <c r="U38" s="971"/>
      <c r="V38" s="972"/>
      <c r="W38" s="970">
        <f>SUM(Y5:Y37)</f>
        <v>0</v>
      </c>
      <c r="X38" s="971"/>
      <c r="Y38" s="972"/>
      <c r="Z38" s="970">
        <f>SUM(AB5:AB37)</f>
        <v>0</v>
      </c>
      <c r="AA38" s="971"/>
      <c r="AB38" s="972"/>
      <c r="AC38" s="970">
        <f>SUM(AE5:AE37)</f>
        <v>0</v>
      </c>
      <c r="AD38" s="971"/>
      <c r="AE38" s="972"/>
      <c r="AF38" s="970">
        <f>SUM(AH5:AH37)</f>
        <v>0</v>
      </c>
      <c r="AG38" s="971"/>
      <c r="AH38" s="972"/>
      <c r="AI38" s="970">
        <f>SUM(AK5:AK37)</f>
        <v>0</v>
      </c>
      <c r="AJ38" s="971"/>
      <c r="AK38" s="972"/>
      <c r="AL38" s="970">
        <f>SUM(AN5:AN37)</f>
        <v>0</v>
      </c>
      <c r="AM38" s="971"/>
      <c r="AN38" s="972"/>
      <c r="AO38" s="970">
        <f>SUM(AQ5:AQ37)</f>
        <v>0</v>
      </c>
      <c r="AP38" s="971"/>
      <c r="AQ38" s="972"/>
      <c r="AR38" s="970">
        <f>SUM(AT5:AT37)</f>
        <v>0</v>
      </c>
      <c r="AS38" s="971"/>
      <c r="AT38" s="972"/>
      <c r="AU38" s="970">
        <f>SUM(AW5:AW37)</f>
        <v>0</v>
      </c>
      <c r="AV38" s="971"/>
      <c r="AW38" s="972"/>
      <c r="AX38" s="970">
        <f>SUM(AZ5:AZ37)</f>
        <v>0</v>
      </c>
      <c r="AY38" s="971"/>
      <c r="AZ38" s="972"/>
      <c r="BA38" s="970">
        <f>SUM(BC5:BC37)</f>
        <v>0</v>
      </c>
      <c r="BB38" s="971"/>
      <c r="BC38" s="972"/>
      <c r="BD38" s="970">
        <f>SUM(BF5:BF37)</f>
        <v>0</v>
      </c>
      <c r="BE38" s="971"/>
      <c r="BF38" s="972"/>
      <c r="BG38" s="970">
        <f>SUM(BI5:BI37)</f>
        <v>0</v>
      </c>
      <c r="BH38" s="971"/>
      <c r="BI38" s="972"/>
      <c r="BJ38" s="970">
        <f>SUM(BL5:BL37)</f>
        <v>0</v>
      </c>
      <c r="BK38" s="971"/>
      <c r="BL38" s="972"/>
      <c r="BM38" s="970">
        <f>SUM(BO5:BO37)</f>
        <v>0</v>
      </c>
      <c r="BN38" s="971"/>
      <c r="BO38" s="972"/>
      <c r="BP38" s="970">
        <f>SUM(BR5:BR37)</f>
        <v>0</v>
      </c>
      <c r="BQ38" s="971"/>
      <c r="BR38" s="972"/>
      <c r="BS38" s="970">
        <f>SUM(BU5:BU37)</f>
        <v>0</v>
      </c>
      <c r="BT38" s="971"/>
      <c r="BU38" s="972"/>
      <c r="BV38" s="970">
        <f>SUM(BX5:BX37)</f>
        <v>0</v>
      </c>
      <c r="BW38" s="971"/>
      <c r="BX38" s="972"/>
      <c r="BY38" s="970">
        <f>SUM(CA5:CA37)</f>
        <v>0</v>
      </c>
      <c r="BZ38" s="971"/>
      <c r="CA38" s="972"/>
      <c r="CB38" s="970">
        <f>SUM(CD5:CD37)</f>
        <v>0</v>
      </c>
      <c r="CC38" s="971"/>
      <c r="CD38" s="972"/>
      <c r="CE38" s="970">
        <f>SUM(CG5:CG37)</f>
        <v>0</v>
      </c>
      <c r="CF38" s="971"/>
      <c r="CG38" s="972"/>
      <c r="CH38" s="970">
        <f>SUM(CJ5:CJ37)</f>
        <v>0</v>
      </c>
      <c r="CI38" s="971"/>
      <c r="CJ38" s="972"/>
      <c r="CK38" s="970">
        <f>SUM(CM5:CM37)</f>
        <v>0</v>
      </c>
      <c r="CL38" s="971"/>
      <c r="CM38" s="972"/>
      <c r="CN38" s="970">
        <f>SUM(CP5:CP37)</f>
        <v>0</v>
      </c>
      <c r="CO38" s="971"/>
      <c r="CP38" s="972"/>
    </row>
  </sheetData>
  <protectedRanges>
    <protectedRange sqref="H1:I1 L1:M1" name="입력란2"/>
    <protectedRange sqref="A5:A37" name="입력란"/>
  </protectedRanges>
  <mergeCells count="67">
    <mergeCell ref="CN38:CP38"/>
    <mergeCell ref="BY38:CA38"/>
    <mergeCell ref="CB38:CD38"/>
    <mergeCell ref="CE38:CG38"/>
    <mergeCell ref="CH38:CJ38"/>
    <mergeCell ref="CK38:CM38"/>
    <mergeCell ref="BJ38:BL38"/>
    <mergeCell ref="BM38:BO38"/>
    <mergeCell ref="BP38:BR38"/>
    <mergeCell ref="BS38:BU38"/>
    <mergeCell ref="BV38:BX38"/>
    <mergeCell ref="AU38:AW38"/>
    <mergeCell ref="AX38:AZ38"/>
    <mergeCell ref="BA38:BC38"/>
    <mergeCell ref="BD38:BF38"/>
    <mergeCell ref="BG38:BI38"/>
    <mergeCell ref="AF38:AH38"/>
    <mergeCell ref="AI38:AK38"/>
    <mergeCell ref="AL38:AN38"/>
    <mergeCell ref="AO38:AQ38"/>
    <mergeCell ref="AR38:AT38"/>
    <mergeCell ref="Q38:S38"/>
    <mergeCell ref="T38:V38"/>
    <mergeCell ref="W38:Y38"/>
    <mergeCell ref="Z38:AB38"/>
    <mergeCell ref="AC38:AE38"/>
    <mergeCell ref="B38:D38"/>
    <mergeCell ref="E38:G38"/>
    <mergeCell ref="H38:J38"/>
    <mergeCell ref="K38:M38"/>
    <mergeCell ref="N38:P38"/>
    <mergeCell ref="A3:A4"/>
    <mergeCell ref="B3:D3"/>
    <mergeCell ref="E3:G3"/>
    <mergeCell ref="H3:J3"/>
    <mergeCell ref="K3:M3"/>
    <mergeCell ref="AC3:AE3"/>
    <mergeCell ref="F1:G1"/>
    <mergeCell ref="H1:I1"/>
    <mergeCell ref="J1:K1"/>
    <mergeCell ref="L1:M1"/>
    <mergeCell ref="N3:P3"/>
    <mergeCell ref="Q3:S3"/>
    <mergeCell ref="T3:V3"/>
    <mergeCell ref="W3:Y3"/>
    <mergeCell ref="Z3:AB3"/>
    <mergeCell ref="BM3:BO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BJ3:BL3"/>
    <mergeCell ref="CH3:CJ3"/>
    <mergeCell ref="CK3:CM3"/>
    <mergeCell ref="CN3:CP3"/>
    <mergeCell ref="BP3:BR3"/>
    <mergeCell ref="BS3:BU3"/>
    <mergeCell ref="BV3:BX3"/>
    <mergeCell ref="BY3:CA3"/>
    <mergeCell ref="CB3:CD3"/>
    <mergeCell ref="CE3:CG3"/>
  </mergeCells>
  <phoneticPr fontId="46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</sheetPr>
  <dimension ref="A1:P223"/>
  <sheetViews>
    <sheetView zoomScale="70" zoomScaleNormal="70" zoomScaleSheetLayoutView="75" workbookViewId="0">
      <pane xSplit="5" ySplit="5" topLeftCell="G17" activePane="bottomRight" state="frozen"/>
      <selection activeCell="R13" sqref="R13"/>
      <selection pane="topRight" activeCell="R13" sqref="R13"/>
      <selection pane="bottomLeft" activeCell="R13" sqref="R13"/>
      <selection pane="bottomRight" activeCell="M22" sqref="M22"/>
    </sheetView>
  </sheetViews>
  <sheetFormatPr defaultColWidth="9.140625" defaultRowHeight="13.5" x14ac:dyDescent="0.25"/>
  <cols>
    <col min="2" max="6" width="12.7109375" hidden="1" customWidth="1"/>
    <col min="7" max="7" width="23" style="2" customWidth="1"/>
    <col min="8" max="8" width="13.7109375" style="2" customWidth="1"/>
    <col min="9" max="9" width="23" style="2" customWidth="1"/>
    <col min="10" max="10" width="13.7109375" style="2" customWidth="1"/>
    <col min="11" max="11" width="23" style="2" customWidth="1"/>
    <col min="12" max="12" width="13.7109375" style="2" customWidth="1"/>
    <col min="13" max="13" width="23" style="2" customWidth="1"/>
    <col min="14" max="14" width="13.7109375" style="2" customWidth="1"/>
    <col min="15" max="15" width="23" style="2" customWidth="1"/>
    <col min="16" max="16" width="13.7109375" style="2" customWidth="1"/>
  </cols>
  <sheetData>
    <row r="1" spans="1:16" ht="32.25" thickBot="1" x14ac:dyDescent="0.3">
      <c r="A1" s="20" t="s">
        <v>51</v>
      </c>
      <c r="H1" s="354"/>
      <c r="I1" s="985" t="str">
        <f>'0.기초및고정비'!C4&amp;'0.기초및고정비'!D4</f>
        <v>2026년4월</v>
      </c>
      <c r="J1" s="985"/>
      <c r="K1" s="985"/>
      <c r="L1" s="985"/>
      <c r="M1" s="985"/>
      <c r="N1" s="354"/>
      <c r="O1" s="353" t="s">
        <v>133</v>
      </c>
      <c r="P1" s="354"/>
    </row>
    <row r="2" spans="1:16" x14ac:dyDescent="0.25">
      <c r="G2"/>
      <c r="H2"/>
      <c r="I2"/>
      <c r="J2"/>
      <c r="K2"/>
      <c r="L2"/>
      <c r="M2"/>
      <c r="N2"/>
      <c r="O2"/>
      <c r="P2"/>
    </row>
    <row r="3" spans="1:16" ht="30" customHeight="1" thickBot="1" x14ac:dyDescent="0.3">
      <c r="A3" s="100"/>
      <c r="F3" s="354"/>
      <c r="G3" s="475" t="s">
        <v>50</v>
      </c>
      <c r="H3"/>
      <c r="I3" s="24"/>
      <c r="J3"/>
      <c r="K3" s="24"/>
      <c r="L3"/>
      <c r="M3" s="24"/>
      <c r="N3"/>
      <c r="O3" s="24"/>
      <c r="P3"/>
    </row>
    <row r="4" spans="1:16" ht="29.25" customHeight="1" x14ac:dyDescent="0.25">
      <c r="A4" s="949" t="s">
        <v>26</v>
      </c>
      <c r="B4" s="982" t="s">
        <v>55</v>
      </c>
      <c r="C4" s="982" t="s">
        <v>56</v>
      </c>
      <c r="D4" s="982" t="s">
        <v>468</v>
      </c>
      <c r="E4" s="982" t="s">
        <v>163</v>
      </c>
      <c r="F4" s="995" t="s">
        <v>469</v>
      </c>
      <c r="G4" s="988" t="s">
        <v>464</v>
      </c>
      <c r="H4" s="989"/>
      <c r="I4" s="990" t="s">
        <v>184</v>
      </c>
      <c r="J4" s="991"/>
      <c r="K4" s="990" t="s">
        <v>465</v>
      </c>
      <c r="L4" s="991"/>
      <c r="M4" s="980" t="s">
        <v>466</v>
      </c>
      <c r="N4" s="981"/>
      <c r="O4" s="980" t="s">
        <v>467</v>
      </c>
      <c r="P4" s="994"/>
    </row>
    <row r="5" spans="1:16" ht="28.5" customHeight="1" thickBot="1" x14ac:dyDescent="0.3">
      <c r="A5" s="987"/>
      <c r="B5" s="983"/>
      <c r="C5" s="983"/>
      <c r="D5" s="983"/>
      <c r="E5" s="983"/>
      <c r="F5" s="996"/>
      <c r="G5" s="355" t="s">
        <v>92</v>
      </c>
      <c r="H5" s="356" t="s">
        <v>81</v>
      </c>
      <c r="I5" s="355" t="s">
        <v>92</v>
      </c>
      <c r="J5" s="356" t="s">
        <v>81</v>
      </c>
      <c r="K5" s="355" t="s">
        <v>92</v>
      </c>
      <c r="L5" s="356" t="s">
        <v>81</v>
      </c>
      <c r="M5" s="355" t="s">
        <v>92</v>
      </c>
      <c r="N5" s="356" t="s">
        <v>81</v>
      </c>
      <c r="O5" s="355" t="s">
        <v>92</v>
      </c>
      <c r="P5" s="357" t="s">
        <v>81</v>
      </c>
    </row>
    <row r="6" spans="1:16" ht="20.100000000000001" customHeight="1" x14ac:dyDescent="0.25">
      <c r="A6" s="992">
        <v>1</v>
      </c>
      <c r="B6" s="986">
        <f>H12</f>
        <v>0</v>
      </c>
      <c r="C6" s="984">
        <f>J12</f>
        <v>28440</v>
      </c>
      <c r="D6" s="984">
        <f>L12</f>
        <v>0</v>
      </c>
      <c r="E6" s="986">
        <f>N12</f>
        <v>211000</v>
      </c>
      <c r="F6" s="984">
        <f>P12</f>
        <v>0</v>
      </c>
      <c r="G6" s="358"/>
      <c r="H6" s="359"/>
      <c r="I6" s="358" t="s">
        <v>560</v>
      </c>
      <c r="J6" s="359">
        <v>28440</v>
      </c>
      <c r="K6" s="358"/>
      <c r="L6" s="359"/>
      <c r="M6" s="358" t="s">
        <v>547</v>
      </c>
      <c r="N6" s="359">
        <v>211000</v>
      </c>
      <c r="O6" s="358"/>
      <c r="P6" s="359"/>
    </row>
    <row r="7" spans="1:16" ht="20.100000000000001" customHeight="1" x14ac:dyDescent="0.25">
      <c r="A7" s="993"/>
      <c r="B7" s="978"/>
      <c r="C7" s="974"/>
      <c r="D7" s="974"/>
      <c r="E7" s="978"/>
      <c r="F7" s="974"/>
      <c r="G7" s="358"/>
      <c r="H7" s="359"/>
      <c r="I7" s="358"/>
      <c r="J7" s="359"/>
      <c r="K7" s="358"/>
      <c r="L7" s="359"/>
      <c r="M7" s="358"/>
      <c r="N7" s="359"/>
      <c r="O7" s="358"/>
      <c r="P7" s="359"/>
    </row>
    <row r="8" spans="1:16" ht="20.100000000000001" customHeight="1" x14ac:dyDescent="0.25">
      <c r="A8" s="993"/>
      <c r="B8" s="978"/>
      <c r="C8" s="974"/>
      <c r="D8" s="974"/>
      <c r="E8" s="978"/>
      <c r="F8" s="974"/>
      <c r="G8" s="358"/>
      <c r="H8" s="359"/>
      <c r="I8" s="358"/>
      <c r="J8" s="359"/>
      <c r="K8" s="358"/>
      <c r="L8" s="359"/>
      <c r="M8" s="358"/>
      <c r="N8" s="359"/>
      <c r="O8" s="358"/>
      <c r="P8" s="359"/>
    </row>
    <row r="9" spans="1:16" ht="20.100000000000001" customHeight="1" x14ac:dyDescent="0.25">
      <c r="A9" s="993"/>
      <c r="B9" s="978"/>
      <c r="C9" s="974"/>
      <c r="D9" s="974"/>
      <c r="E9" s="978"/>
      <c r="F9" s="974"/>
      <c r="G9" s="358"/>
      <c r="H9" s="359"/>
      <c r="I9" s="358"/>
      <c r="J9" s="359"/>
      <c r="K9" s="358"/>
      <c r="L9" s="359"/>
      <c r="M9" s="358"/>
      <c r="N9" s="359"/>
      <c r="O9" s="358"/>
      <c r="P9" s="359"/>
    </row>
    <row r="10" spans="1:16" ht="20.100000000000001" customHeight="1" x14ac:dyDescent="0.25">
      <c r="A10" s="976"/>
      <c r="B10" s="978"/>
      <c r="C10" s="974"/>
      <c r="D10" s="974"/>
      <c r="E10" s="978"/>
      <c r="F10" s="974"/>
      <c r="G10" s="360"/>
      <c r="H10" s="361"/>
      <c r="I10" s="360"/>
      <c r="J10" s="361"/>
      <c r="K10" s="360"/>
      <c r="L10" s="361"/>
      <c r="M10" s="360"/>
      <c r="N10" s="361"/>
      <c r="O10" s="360"/>
      <c r="P10" s="361"/>
    </row>
    <row r="11" spans="1:16" ht="20.100000000000001" customHeight="1" x14ac:dyDescent="0.25">
      <c r="A11" s="976"/>
      <c r="B11" s="978"/>
      <c r="C11" s="974"/>
      <c r="D11" s="974"/>
      <c r="E11" s="978"/>
      <c r="F11" s="974"/>
      <c r="G11" s="362"/>
      <c r="H11" s="363"/>
      <c r="I11" s="362"/>
      <c r="J11" s="363"/>
      <c r="K11" s="362"/>
      <c r="L11" s="363"/>
      <c r="M11" s="362"/>
      <c r="N11" s="363"/>
      <c r="O11" s="362"/>
      <c r="P11" s="363"/>
    </row>
    <row r="12" spans="1:16" ht="20.100000000000001" customHeight="1" x14ac:dyDescent="0.25">
      <c r="A12" s="976"/>
      <c r="B12" s="979"/>
      <c r="C12" s="975"/>
      <c r="D12" s="975"/>
      <c r="E12" s="979"/>
      <c r="F12" s="975"/>
      <c r="G12" s="450" t="s">
        <v>86</v>
      </c>
      <c r="H12" s="364">
        <f>SUM(H6:H11)</f>
        <v>0</v>
      </c>
      <c r="I12" s="450" t="s">
        <v>86</v>
      </c>
      <c r="J12" s="364">
        <f>SUM(J6:J11)</f>
        <v>28440</v>
      </c>
      <c r="K12" s="450" t="s">
        <v>86</v>
      </c>
      <c r="L12" s="364">
        <f>SUM(L6:L11)</f>
        <v>0</v>
      </c>
      <c r="M12" s="450" t="s">
        <v>86</v>
      </c>
      <c r="N12" s="364">
        <f>SUM(N6:N11)</f>
        <v>211000</v>
      </c>
      <c r="O12" s="450" t="s">
        <v>86</v>
      </c>
      <c r="P12" s="364">
        <f>SUM(P6:P11)</f>
        <v>0</v>
      </c>
    </row>
    <row r="13" spans="1:16" ht="20.100000000000001" customHeight="1" x14ac:dyDescent="0.25">
      <c r="A13" s="976">
        <v>2</v>
      </c>
      <c r="B13" s="977">
        <f>H19</f>
        <v>0</v>
      </c>
      <c r="C13" s="973">
        <f>J19</f>
        <v>231520</v>
      </c>
      <c r="D13" s="973">
        <f>L19</f>
        <v>0</v>
      </c>
      <c r="E13" s="977">
        <f>N19</f>
        <v>0</v>
      </c>
      <c r="F13" s="973">
        <f>P19</f>
        <v>0</v>
      </c>
      <c r="G13" s="358"/>
      <c r="H13" s="359"/>
      <c r="I13" s="358" t="s">
        <v>561</v>
      </c>
      <c r="J13" s="359">
        <v>211000</v>
      </c>
      <c r="K13" s="358"/>
      <c r="L13" s="359"/>
      <c r="M13" s="358"/>
      <c r="N13" s="359"/>
      <c r="O13" s="358"/>
      <c r="P13" s="359"/>
    </row>
    <row r="14" spans="1:16" ht="20.100000000000001" customHeight="1" x14ac:dyDescent="0.25">
      <c r="A14" s="976"/>
      <c r="B14" s="978"/>
      <c r="C14" s="974"/>
      <c r="D14" s="974"/>
      <c r="E14" s="978"/>
      <c r="F14" s="974"/>
      <c r="G14" s="358"/>
      <c r="H14" s="359"/>
      <c r="I14" s="358" t="s">
        <v>560</v>
      </c>
      <c r="J14" s="359">
        <v>20520</v>
      </c>
      <c r="K14" s="358"/>
      <c r="L14" s="359"/>
      <c r="M14" s="358"/>
      <c r="N14" s="359"/>
      <c r="O14" s="358"/>
      <c r="P14" s="359"/>
    </row>
    <row r="15" spans="1:16" ht="20.100000000000001" customHeight="1" x14ac:dyDescent="0.25">
      <c r="A15" s="976"/>
      <c r="B15" s="978"/>
      <c r="C15" s="974"/>
      <c r="D15" s="974"/>
      <c r="E15" s="978"/>
      <c r="F15" s="974"/>
      <c r="G15" s="358"/>
      <c r="H15" s="359"/>
      <c r="I15" s="358"/>
      <c r="J15" s="359"/>
      <c r="K15" s="358"/>
      <c r="L15" s="359"/>
      <c r="M15" s="358"/>
      <c r="N15" s="359"/>
      <c r="O15" s="358"/>
      <c r="P15" s="359"/>
    </row>
    <row r="16" spans="1:16" ht="20.100000000000001" customHeight="1" x14ac:dyDescent="0.25">
      <c r="A16" s="976"/>
      <c r="B16" s="978"/>
      <c r="C16" s="974"/>
      <c r="D16" s="974"/>
      <c r="E16" s="978"/>
      <c r="F16" s="974"/>
      <c r="G16" s="358"/>
      <c r="H16" s="359"/>
      <c r="I16" s="358"/>
      <c r="J16" s="359"/>
      <c r="K16" s="358"/>
      <c r="L16" s="359"/>
      <c r="M16" s="358"/>
      <c r="N16" s="359"/>
      <c r="O16" s="358"/>
      <c r="P16" s="359"/>
    </row>
    <row r="17" spans="1:16" ht="20.100000000000001" customHeight="1" x14ac:dyDescent="0.25">
      <c r="A17" s="976"/>
      <c r="B17" s="978"/>
      <c r="C17" s="974"/>
      <c r="D17" s="974"/>
      <c r="E17" s="978"/>
      <c r="F17" s="974"/>
      <c r="G17" s="360"/>
      <c r="H17" s="361"/>
      <c r="I17" s="360"/>
      <c r="J17" s="361"/>
      <c r="K17" s="360"/>
      <c r="L17" s="361"/>
      <c r="M17" s="360"/>
      <c r="N17" s="361"/>
      <c r="O17" s="360"/>
      <c r="P17" s="361"/>
    </row>
    <row r="18" spans="1:16" ht="20.100000000000001" customHeight="1" x14ac:dyDescent="0.25">
      <c r="A18" s="976"/>
      <c r="B18" s="978"/>
      <c r="C18" s="974"/>
      <c r="D18" s="974"/>
      <c r="E18" s="978"/>
      <c r="F18" s="974"/>
      <c r="G18" s="362"/>
      <c r="H18" s="363"/>
      <c r="I18" s="362"/>
      <c r="J18" s="363"/>
      <c r="K18" s="362"/>
      <c r="L18" s="363"/>
      <c r="M18" s="362"/>
      <c r="N18" s="363"/>
      <c r="O18" s="362"/>
      <c r="P18" s="363"/>
    </row>
    <row r="19" spans="1:16" ht="20.100000000000001" customHeight="1" x14ac:dyDescent="0.25">
      <c r="A19" s="976"/>
      <c r="B19" s="979"/>
      <c r="C19" s="975"/>
      <c r="D19" s="975"/>
      <c r="E19" s="979"/>
      <c r="F19" s="975"/>
      <c r="G19" s="450" t="s">
        <v>86</v>
      </c>
      <c r="H19" s="364">
        <f>SUM(H13:H18)</f>
        <v>0</v>
      </c>
      <c r="I19" s="450" t="s">
        <v>86</v>
      </c>
      <c r="J19" s="364">
        <f>SUM(J13:J18)</f>
        <v>231520</v>
      </c>
      <c r="K19" s="450" t="s">
        <v>86</v>
      </c>
      <c r="L19" s="364">
        <f>SUM(L13:L18)</f>
        <v>0</v>
      </c>
      <c r="M19" s="450" t="s">
        <v>86</v>
      </c>
      <c r="N19" s="364">
        <f>SUM(N13:N18)</f>
        <v>0</v>
      </c>
      <c r="O19" s="450" t="s">
        <v>86</v>
      </c>
      <c r="P19" s="364">
        <f>SUM(P13:P18)</f>
        <v>0</v>
      </c>
    </row>
    <row r="20" spans="1:16" ht="20.100000000000001" customHeight="1" x14ac:dyDescent="0.25">
      <c r="A20" s="976">
        <v>3</v>
      </c>
      <c r="B20" s="977">
        <f>H26</f>
        <v>0</v>
      </c>
      <c r="C20" s="973">
        <f>J26</f>
        <v>301000</v>
      </c>
      <c r="D20" s="973">
        <f>L26</f>
        <v>0</v>
      </c>
      <c r="E20" s="977">
        <f>N26</f>
        <v>12000</v>
      </c>
      <c r="F20" s="973">
        <f>P26</f>
        <v>0</v>
      </c>
      <c r="G20" s="358"/>
      <c r="H20" s="359"/>
      <c r="I20" s="358" t="s">
        <v>561</v>
      </c>
      <c r="J20" s="359">
        <v>301000</v>
      </c>
      <c r="K20" s="358"/>
      <c r="L20" s="359"/>
      <c r="M20" s="358" t="s">
        <v>565</v>
      </c>
      <c r="N20" s="359">
        <v>12000</v>
      </c>
      <c r="O20" s="358"/>
      <c r="P20" s="359"/>
    </row>
    <row r="21" spans="1:16" ht="20.100000000000001" customHeight="1" x14ac:dyDescent="0.25">
      <c r="A21" s="976"/>
      <c r="B21" s="978"/>
      <c r="C21" s="974"/>
      <c r="D21" s="974"/>
      <c r="E21" s="978"/>
      <c r="F21" s="974"/>
      <c r="G21" s="358"/>
      <c r="H21" s="359"/>
      <c r="I21" s="358"/>
      <c r="J21" s="359"/>
      <c r="K21" s="358"/>
      <c r="L21" s="359"/>
      <c r="M21" s="358"/>
      <c r="N21" s="359"/>
      <c r="O21" s="358"/>
      <c r="P21" s="359"/>
    </row>
    <row r="22" spans="1:16" ht="20.100000000000001" customHeight="1" x14ac:dyDescent="0.25">
      <c r="A22" s="976"/>
      <c r="B22" s="978"/>
      <c r="C22" s="974"/>
      <c r="D22" s="974"/>
      <c r="E22" s="978"/>
      <c r="F22" s="974"/>
      <c r="G22" s="358"/>
      <c r="H22" s="359"/>
      <c r="I22" s="358"/>
      <c r="J22" s="359"/>
      <c r="K22" s="358"/>
      <c r="L22" s="359"/>
      <c r="M22" s="358"/>
      <c r="N22" s="359"/>
      <c r="O22" s="358"/>
      <c r="P22" s="359"/>
    </row>
    <row r="23" spans="1:16" ht="20.100000000000001" customHeight="1" x14ac:dyDescent="0.25">
      <c r="A23" s="976"/>
      <c r="B23" s="978"/>
      <c r="C23" s="974"/>
      <c r="D23" s="974"/>
      <c r="E23" s="978"/>
      <c r="F23" s="974"/>
      <c r="G23" s="358"/>
      <c r="H23" s="359"/>
      <c r="I23" s="358"/>
      <c r="J23" s="359"/>
      <c r="K23" s="358"/>
      <c r="L23" s="359"/>
      <c r="M23" s="358"/>
      <c r="N23" s="359"/>
      <c r="O23" s="358"/>
      <c r="P23" s="359"/>
    </row>
    <row r="24" spans="1:16" ht="20.100000000000001" customHeight="1" x14ac:dyDescent="0.25">
      <c r="A24" s="976"/>
      <c r="B24" s="978"/>
      <c r="C24" s="974"/>
      <c r="D24" s="974"/>
      <c r="E24" s="978"/>
      <c r="F24" s="974"/>
      <c r="G24" s="360"/>
      <c r="H24" s="361"/>
      <c r="I24" s="360"/>
      <c r="J24" s="361"/>
      <c r="K24" s="360"/>
      <c r="L24" s="361"/>
      <c r="M24" s="360"/>
      <c r="N24" s="361"/>
      <c r="O24" s="360"/>
      <c r="P24" s="361"/>
    </row>
    <row r="25" spans="1:16" ht="20.100000000000001" customHeight="1" x14ac:dyDescent="0.25">
      <c r="A25" s="976"/>
      <c r="B25" s="978"/>
      <c r="C25" s="974"/>
      <c r="D25" s="974"/>
      <c r="E25" s="978"/>
      <c r="F25" s="974"/>
      <c r="G25" s="362"/>
      <c r="H25" s="363"/>
      <c r="I25" s="362"/>
      <c r="J25" s="363"/>
      <c r="K25" s="362"/>
      <c r="L25" s="363"/>
      <c r="M25" s="362"/>
      <c r="N25" s="363"/>
      <c r="O25" s="362"/>
      <c r="P25" s="363"/>
    </row>
    <row r="26" spans="1:16" ht="20.100000000000001" customHeight="1" x14ac:dyDescent="0.25">
      <c r="A26" s="976"/>
      <c r="B26" s="979"/>
      <c r="C26" s="975"/>
      <c r="D26" s="975"/>
      <c r="E26" s="979"/>
      <c r="F26" s="975"/>
      <c r="G26" s="450" t="s">
        <v>86</v>
      </c>
      <c r="H26" s="364">
        <f>SUM(H20:H25)</f>
        <v>0</v>
      </c>
      <c r="I26" s="450" t="s">
        <v>86</v>
      </c>
      <c r="J26" s="364">
        <f>SUM(J20:J25)</f>
        <v>301000</v>
      </c>
      <c r="K26" s="450" t="s">
        <v>86</v>
      </c>
      <c r="L26" s="364">
        <f>SUM(L20:L25)</f>
        <v>0</v>
      </c>
      <c r="M26" s="450" t="s">
        <v>86</v>
      </c>
      <c r="N26" s="364">
        <f>SUM(N20:N25)</f>
        <v>12000</v>
      </c>
      <c r="O26" s="450" t="s">
        <v>86</v>
      </c>
      <c r="P26" s="364">
        <f>SUM(P20:P25)</f>
        <v>0</v>
      </c>
    </row>
    <row r="27" spans="1:16" ht="20.100000000000001" customHeight="1" x14ac:dyDescent="0.25">
      <c r="A27" s="976">
        <v>4</v>
      </c>
      <c r="B27" s="977">
        <f>H33</f>
        <v>0</v>
      </c>
      <c r="C27" s="973">
        <f>J33</f>
        <v>84860</v>
      </c>
      <c r="D27" s="973">
        <f>L33</f>
        <v>7300</v>
      </c>
      <c r="E27" s="977">
        <f>N33</f>
        <v>0</v>
      </c>
      <c r="F27" s="973">
        <f>P33</f>
        <v>0</v>
      </c>
      <c r="G27" s="358"/>
      <c r="H27" s="359"/>
      <c r="I27" s="358" t="s">
        <v>560</v>
      </c>
      <c r="J27" s="359">
        <v>84860</v>
      </c>
      <c r="K27" s="358" t="s">
        <v>564</v>
      </c>
      <c r="L27" s="359">
        <v>7300</v>
      </c>
      <c r="M27" s="358"/>
      <c r="N27" s="359"/>
      <c r="O27" s="358"/>
      <c r="P27" s="359"/>
    </row>
    <row r="28" spans="1:16" ht="20.100000000000001" customHeight="1" x14ac:dyDescent="0.25">
      <c r="A28" s="976"/>
      <c r="B28" s="978"/>
      <c r="C28" s="974"/>
      <c r="D28" s="974"/>
      <c r="E28" s="978"/>
      <c r="F28" s="974"/>
      <c r="G28" s="358"/>
      <c r="H28" s="359"/>
      <c r="I28" s="358"/>
      <c r="J28" s="359"/>
      <c r="K28" s="358"/>
      <c r="L28" s="359"/>
      <c r="M28" s="358"/>
      <c r="N28" s="359"/>
      <c r="O28" s="358"/>
      <c r="P28" s="359"/>
    </row>
    <row r="29" spans="1:16" ht="20.100000000000001" customHeight="1" x14ac:dyDescent="0.25">
      <c r="A29" s="976"/>
      <c r="B29" s="978"/>
      <c r="C29" s="974"/>
      <c r="D29" s="974"/>
      <c r="E29" s="978"/>
      <c r="F29" s="974"/>
      <c r="G29" s="358"/>
      <c r="H29" s="359"/>
      <c r="I29" s="358"/>
      <c r="J29" s="359"/>
      <c r="K29" s="358"/>
      <c r="L29" s="359"/>
      <c r="M29" s="358"/>
      <c r="N29" s="359"/>
      <c r="O29" s="358"/>
      <c r="P29" s="359"/>
    </row>
    <row r="30" spans="1:16" ht="20.100000000000001" customHeight="1" x14ac:dyDescent="0.25">
      <c r="A30" s="976"/>
      <c r="B30" s="978"/>
      <c r="C30" s="974"/>
      <c r="D30" s="974"/>
      <c r="E30" s="978"/>
      <c r="F30" s="974"/>
      <c r="G30" s="358"/>
      <c r="H30" s="359"/>
      <c r="I30" s="358"/>
      <c r="J30" s="359"/>
      <c r="K30" s="358"/>
      <c r="L30" s="359"/>
      <c r="M30" s="358"/>
      <c r="N30" s="359"/>
      <c r="O30" s="358"/>
      <c r="P30" s="359"/>
    </row>
    <row r="31" spans="1:16" ht="20.100000000000001" customHeight="1" x14ac:dyDescent="0.25">
      <c r="A31" s="976"/>
      <c r="B31" s="978"/>
      <c r="C31" s="974"/>
      <c r="D31" s="974"/>
      <c r="E31" s="978"/>
      <c r="F31" s="974"/>
      <c r="G31" s="360"/>
      <c r="H31" s="361"/>
      <c r="I31" s="360"/>
      <c r="J31" s="361"/>
      <c r="K31" s="360"/>
      <c r="L31" s="361"/>
      <c r="M31" s="360"/>
      <c r="N31" s="361"/>
      <c r="O31" s="360"/>
      <c r="P31" s="361"/>
    </row>
    <row r="32" spans="1:16" ht="20.100000000000001" customHeight="1" x14ac:dyDescent="0.25">
      <c r="A32" s="976"/>
      <c r="B32" s="978"/>
      <c r="C32" s="974"/>
      <c r="D32" s="974"/>
      <c r="E32" s="978"/>
      <c r="F32" s="974"/>
      <c r="G32" s="362"/>
      <c r="H32" s="363"/>
      <c r="I32" s="362"/>
      <c r="J32" s="363"/>
      <c r="K32" s="362"/>
      <c r="L32" s="363"/>
      <c r="M32" s="362"/>
      <c r="N32" s="363"/>
      <c r="O32" s="362"/>
      <c r="P32" s="363"/>
    </row>
    <row r="33" spans="1:16" ht="20.100000000000001" customHeight="1" x14ac:dyDescent="0.25">
      <c r="A33" s="976"/>
      <c r="B33" s="979"/>
      <c r="C33" s="975"/>
      <c r="D33" s="975"/>
      <c r="E33" s="979"/>
      <c r="F33" s="975"/>
      <c r="G33" s="450" t="s">
        <v>86</v>
      </c>
      <c r="H33" s="364">
        <f>SUM(H27:H32)</f>
        <v>0</v>
      </c>
      <c r="I33" s="450" t="s">
        <v>86</v>
      </c>
      <c r="J33" s="364">
        <f>SUM(J27:J32)</f>
        <v>84860</v>
      </c>
      <c r="K33" s="450" t="s">
        <v>86</v>
      </c>
      <c r="L33" s="364">
        <f>SUM(L27:L32)</f>
        <v>7300</v>
      </c>
      <c r="M33" s="450" t="s">
        <v>86</v>
      </c>
      <c r="N33" s="364">
        <f>SUM(N27:N32)</f>
        <v>0</v>
      </c>
      <c r="O33" s="450" t="s">
        <v>86</v>
      </c>
      <c r="P33" s="364">
        <f>SUM(P27:P32)</f>
        <v>0</v>
      </c>
    </row>
    <row r="34" spans="1:16" ht="20.100000000000001" customHeight="1" x14ac:dyDescent="0.25">
      <c r="A34" s="976">
        <v>5</v>
      </c>
      <c r="B34" s="977">
        <f>H40</f>
        <v>0</v>
      </c>
      <c r="C34" s="973">
        <f>J40</f>
        <v>0</v>
      </c>
      <c r="D34" s="973">
        <f>L40</f>
        <v>0</v>
      </c>
      <c r="E34" s="977">
        <f>N40</f>
        <v>0</v>
      </c>
      <c r="F34" s="973">
        <f>P40</f>
        <v>0</v>
      </c>
      <c r="G34" s="358"/>
      <c r="H34" s="359"/>
      <c r="I34" s="358"/>
      <c r="J34" s="359"/>
      <c r="K34" s="358"/>
      <c r="L34" s="359"/>
      <c r="M34" s="358"/>
      <c r="N34" s="359"/>
      <c r="O34" s="358"/>
      <c r="P34" s="359"/>
    </row>
    <row r="35" spans="1:16" ht="20.100000000000001" customHeight="1" x14ac:dyDescent="0.25">
      <c r="A35" s="976"/>
      <c r="B35" s="978"/>
      <c r="C35" s="974"/>
      <c r="D35" s="974"/>
      <c r="E35" s="978"/>
      <c r="F35" s="974"/>
      <c r="G35" s="358"/>
      <c r="H35" s="359"/>
      <c r="I35" s="358"/>
      <c r="J35" s="359"/>
      <c r="K35" s="358"/>
      <c r="L35" s="359"/>
      <c r="M35" s="358"/>
      <c r="N35" s="359"/>
      <c r="O35" s="358"/>
      <c r="P35" s="359"/>
    </row>
    <row r="36" spans="1:16" ht="20.100000000000001" customHeight="1" x14ac:dyDescent="0.25">
      <c r="A36" s="976"/>
      <c r="B36" s="978"/>
      <c r="C36" s="974"/>
      <c r="D36" s="974"/>
      <c r="E36" s="978"/>
      <c r="F36" s="974"/>
      <c r="G36" s="358"/>
      <c r="H36" s="359"/>
      <c r="I36" s="358"/>
      <c r="J36" s="359"/>
      <c r="K36" s="358"/>
      <c r="L36" s="359"/>
      <c r="M36" s="358"/>
      <c r="N36" s="359"/>
      <c r="O36" s="358"/>
      <c r="P36" s="359"/>
    </row>
    <row r="37" spans="1:16" ht="20.100000000000001" customHeight="1" x14ac:dyDescent="0.25">
      <c r="A37" s="976"/>
      <c r="B37" s="978"/>
      <c r="C37" s="974"/>
      <c r="D37" s="974"/>
      <c r="E37" s="978"/>
      <c r="F37" s="974"/>
      <c r="G37" s="358"/>
      <c r="H37" s="359"/>
      <c r="I37" s="358"/>
      <c r="J37" s="359"/>
      <c r="K37" s="358"/>
      <c r="L37" s="359"/>
      <c r="M37" s="358"/>
      <c r="N37" s="359"/>
      <c r="O37" s="358"/>
      <c r="P37" s="359"/>
    </row>
    <row r="38" spans="1:16" ht="19.5" customHeight="1" x14ac:dyDescent="0.25">
      <c r="A38" s="976"/>
      <c r="B38" s="978"/>
      <c r="C38" s="974"/>
      <c r="D38" s="974"/>
      <c r="E38" s="978"/>
      <c r="F38" s="974"/>
      <c r="G38" s="360"/>
      <c r="H38" s="361"/>
      <c r="I38" s="360"/>
      <c r="J38" s="361"/>
      <c r="K38" s="360"/>
      <c r="L38" s="361"/>
      <c r="M38" s="360"/>
      <c r="N38" s="361"/>
      <c r="O38" s="360"/>
      <c r="P38" s="361"/>
    </row>
    <row r="39" spans="1:16" ht="20.100000000000001" customHeight="1" x14ac:dyDescent="0.25">
      <c r="A39" s="976"/>
      <c r="B39" s="978"/>
      <c r="C39" s="974"/>
      <c r="D39" s="974"/>
      <c r="E39" s="978"/>
      <c r="F39" s="974"/>
      <c r="G39" s="362"/>
      <c r="H39" s="363"/>
      <c r="I39" s="362"/>
      <c r="J39" s="363"/>
      <c r="K39" s="362"/>
      <c r="L39" s="363"/>
      <c r="M39" s="362"/>
      <c r="N39" s="363"/>
      <c r="O39" s="362"/>
      <c r="P39" s="363"/>
    </row>
    <row r="40" spans="1:16" ht="20.100000000000001" customHeight="1" x14ac:dyDescent="0.25">
      <c r="A40" s="976"/>
      <c r="B40" s="979"/>
      <c r="C40" s="975"/>
      <c r="D40" s="975"/>
      <c r="E40" s="979"/>
      <c r="F40" s="975"/>
      <c r="G40" s="450" t="s">
        <v>86</v>
      </c>
      <c r="H40" s="364">
        <f>SUM(H34:H39)</f>
        <v>0</v>
      </c>
      <c r="I40" s="450" t="s">
        <v>86</v>
      </c>
      <c r="J40" s="364">
        <f>SUM(J34:J39)</f>
        <v>0</v>
      </c>
      <c r="K40" s="450" t="s">
        <v>86</v>
      </c>
      <c r="L40" s="364">
        <f>SUM(L34:L39)</f>
        <v>0</v>
      </c>
      <c r="M40" s="450" t="s">
        <v>86</v>
      </c>
      <c r="N40" s="364">
        <f>SUM(N34:N39)</f>
        <v>0</v>
      </c>
      <c r="O40" s="450" t="s">
        <v>86</v>
      </c>
      <c r="P40" s="364">
        <f>SUM(P34:P39)</f>
        <v>0</v>
      </c>
    </row>
    <row r="41" spans="1:16" ht="20.100000000000001" customHeight="1" x14ac:dyDescent="0.25">
      <c r="A41" s="976">
        <v>6</v>
      </c>
      <c r="B41" s="977">
        <f>H47</f>
        <v>0</v>
      </c>
      <c r="C41" s="973">
        <f>J47</f>
        <v>269380</v>
      </c>
      <c r="D41" s="973">
        <f>L47</f>
        <v>0</v>
      </c>
      <c r="E41" s="977">
        <f>N47</f>
        <v>0</v>
      </c>
      <c r="F41" s="973">
        <f>P47</f>
        <v>0</v>
      </c>
      <c r="G41" s="358"/>
      <c r="H41" s="359"/>
      <c r="I41" s="358" t="s">
        <v>561</v>
      </c>
      <c r="J41" s="359">
        <v>89000</v>
      </c>
      <c r="K41" s="358"/>
      <c r="L41" s="359"/>
      <c r="M41" s="358"/>
      <c r="N41" s="359"/>
      <c r="O41" s="358"/>
      <c r="P41" s="359"/>
    </row>
    <row r="42" spans="1:16" ht="20.100000000000001" customHeight="1" x14ac:dyDescent="0.25">
      <c r="A42" s="976"/>
      <c r="B42" s="978"/>
      <c r="C42" s="974"/>
      <c r="D42" s="974"/>
      <c r="E42" s="978"/>
      <c r="F42" s="974"/>
      <c r="G42" s="358"/>
      <c r="H42" s="359"/>
      <c r="I42" s="358" t="s">
        <v>560</v>
      </c>
      <c r="J42" s="359">
        <v>132380</v>
      </c>
      <c r="K42" s="358"/>
      <c r="L42" s="359"/>
      <c r="M42" s="358"/>
      <c r="N42" s="359"/>
      <c r="O42" s="358"/>
      <c r="P42" s="359"/>
    </row>
    <row r="43" spans="1:16" ht="20.100000000000001" customHeight="1" x14ac:dyDescent="0.25">
      <c r="A43" s="976"/>
      <c r="B43" s="978"/>
      <c r="C43" s="974"/>
      <c r="D43" s="974"/>
      <c r="E43" s="978"/>
      <c r="F43" s="974"/>
      <c r="G43" s="358"/>
      <c r="H43" s="359"/>
      <c r="I43" s="358" t="s">
        <v>562</v>
      </c>
      <c r="J43" s="359">
        <v>48000</v>
      </c>
      <c r="K43" s="358"/>
      <c r="L43" s="359"/>
      <c r="M43" s="358"/>
      <c r="N43" s="359"/>
      <c r="O43" s="358"/>
      <c r="P43" s="359"/>
    </row>
    <row r="44" spans="1:16" ht="20.100000000000001" customHeight="1" x14ac:dyDescent="0.25">
      <c r="A44" s="976"/>
      <c r="B44" s="978"/>
      <c r="C44" s="974"/>
      <c r="D44" s="974"/>
      <c r="E44" s="978"/>
      <c r="F44" s="974"/>
      <c r="G44" s="358"/>
      <c r="H44" s="359"/>
      <c r="I44" s="358"/>
      <c r="J44" s="359"/>
      <c r="K44" s="358"/>
      <c r="L44" s="359"/>
      <c r="M44" s="358"/>
      <c r="N44" s="359"/>
      <c r="O44" s="358"/>
      <c r="P44" s="359"/>
    </row>
    <row r="45" spans="1:16" ht="20.100000000000001" customHeight="1" x14ac:dyDescent="0.25">
      <c r="A45" s="976"/>
      <c r="B45" s="978"/>
      <c r="C45" s="974"/>
      <c r="D45" s="974"/>
      <c r="E45" s="978"/>
      <c r="F45" s="974"/>
      <c r="G45" s="360"/>
      <c r="H45" s="361"/>
      <c r="I45" s="360"/>
      <c r="J45" s="361"/>
      <c r="K45" s="360"/>
      <c r="L45" s="361"/>
      <c r="M45" s="360"/>
      <c r="N45" s="361"/>
      <c r="O45" s="360"/>
      <c r="P45" s="361"/>
    </row>
    <row r="46" spans="1:16" ht="20.100000000000001" customHeight="1" x14ac:dyDescent="0.25">
      <c r="A46" s="976"/>
      <c r="B46" s="978"/>
      <c r="C46" s="974"/>
      <c r="D46" s="974"/>
      <c r="E46" s="978"/>
      <c r="F46" s="974"/>
      <c r="G46" s="362"/>
      <c r="H46" s="363"/>
      <c r="I46" s="362"/>
      <c r="J46" s="363"/>
      <c r="K46" s="362"/>
      <c r="L46" s="363"/>
      <c r="M46" s="362"/>
      <c r="N46" s="363"/>
      <c r="O46" s="362"/>
      <c r="P46" s="363"/>
    </row>
    <row r="47" spans="1:16" ht="20.100000000000001" customHeight="1" x14ac:dyDescent="0.25">
      <c r="A47" s="976"/>
      <c r="B47" s="979"/>
      <c r="C47" s="975"/>
      <c r="D47" s="975"/>
      <c r="E47" s="979"/>
      <c r="F47" s="975"/>
      <c r="G47" s="450" t="s">
        <v>86</v>
      </c>
      <c r="H47" s="364">
        <f>SUM(H41:H46)</f>
        <v>0</v>
      </c>
      <c r="I47" s="450" t="s">
        <v>86</v>
      </c>
      <c r="J47" s="364">
        <f>SUM(J41:J46)</f>
        <v>269380</v>
      </c>
      <c r="K47" s="450" t="s">
        <v>86</v>
      </c>
      <c r="L47" s="364">
        <f>SUM(L41:L46)</f>
        <v>0</v>
      </c>
      <c r="M47" s="450" t="s">
        <v>86</v>
      </c>
      <c r="N47" s="364">
        <f>SUM(N41:N46)</f>
        <v>0</v>
      </c>
      <c r="O47" s="450" t="s">
        <v>86</v>
      </c>
      <c r="P47" s="364">
        <f>SUM(P41:P46)</f>
        <v>0</v>
      </c>
    </row>
    <row r="48" spans="1:16" ht="20.100000000000001" customHeight="1" x14ac:dyDescent="0.25">
      <c r="A48" s="976">
        <v>7</v>
      </c>
      <c r="B48" s="977">
        <f>H54</f>
        <v>0</v>
      </c>
      <c r="C48" s="973">
        <f>J54</f>
        <v>85850</v>
      </c>
      <c r="D48" s="973">
        <f>L54</f>
        <v>0</v>
      </c>
      <c r="E48" s="977">
        <f>N54</f>
        <v>12000</v>
      </c>
      <c r="F48" s="973">
        <f>P54</f>
        <v>0</v>
      </c>
      <c r="G48" s="358"/>
      <c r="H48" s="359"/>
      <c r="I48" s="358" t="s">
        <v>560</v>
      </c>
      <c r="J48" s="359">
        <v>61850</v>
      </c>
      <c r="K48" s="358"/>
      <c r="L48" s="359"/>
      <c r="M48" s="358" t="s">
        <v>551</v>
      </c>
      <c r="N48" s="359">
        <v>12000</v>
      </c>
      <c r="O48" s="358"/>
      <c r="P48" s="359"/>
    </row>
    <row r="49" spans="1:16" ht="20.100000000000001" customHeight="1" x14ac:dyDescent="0.25">
      <c r="A49" s="976"/>
      <c r="B49" s="978"/>
      <c r="C49" s="974"/>
      <c r="D49" s="974"/>
      <c r="E49" s="978"/>
      <c r="F49" s="974"/>
      <c r="G49" s="358"/>
      <c r="H49" s="359"/>
      <c r="I49" s="358" t="s">
        <v>562</v>
      </c>
      <c r="J49" s="359">
        <v>24000</v>
      </c>
      <c r="K49" s="358"/>
      <c r="L49" s="359"/>
      <c r="M49" s="358"/>
      <c r="N49" s="359"/>
      <c r="O49" s="358"/>
      <c r="P49" s="359"/>
    </row>
    <row r="50" spans="1:16" ht="20.100000000000001" customHeight="1" x14ac:dyDescent="0.25">
      <c r="A50" s="976"/>
      <c r="B50" s="978"/>
      <c r="C50" s="974"/>
      <c r="D50" s="974"/>
      <c r="E50" s="978"/>
      <c r="F50" s="974"/>
      <c r="G50" s="358"/>
      <c r="H50" s="359"/>
      <c r="I50" s="358"/>
      <c r="J50" s="359"/>
      <c r="K50" s="358"/>
      <c r="L50" s="359"/>
      <c r="M50" s="358"/>
      <c r="N50" s="359"/>
      <c r="O50" s="358"/>
      <c r="P50" s="359"/>
    </row>
    <row r="51" spans="1:16" ht="20.100000000000001" customHeight="1" x14ac:dyDescent="0.25">
      <c r="A51" s="976"/>
      <c r="B51" s="978"/>
      <c r="C51" s="974"/>
      <c r="D51" s="974"/>
      <c r="E51" s="978"/>
      <c r="F51" s="974"/>
      <c r="G51" s="358"/>
      <c r="H51" s="359"/>
      <c r="I51" s="358"/>
      <c r="J51" s="359"/>
      <c r="K51" s="358"/>
      <c r="L51" s="359"/>
      <c r="M51" s="358"/>
      <c r="N51" s="359"/>
      <c r="O51" s="358"/>
      <c r="P51" s="359"/>
    </row>
    <row r="52" spans="1:16" ht="20.100000000000001" customHeight="1" x14ac:dyDescent="0.25">
      <c r="A52" s="976"/>
      <c r="B52" s="978"/>
      <c r="C52" s="974"/>
      <c r="D52" s="974"/>
      <c r="E52" s="978"/>
      <c r="F52" s="974"/>
      <c r="G52" s="360"/>
      <c r="H52" s="361"/>
      <c r="I52" s="360"/>
      <c r="J52" s="361"/>
      <c r="K52" s="360"/>
      <c r="L52" s="361"/>
      <c r="M52" s="360"/>
      <c r="N52" s="361"/>
      <c r="O52" s="360"/>
      <c r="P52" s="361"/>
    </row>
    <row r="53" spans="1:16" ht="20.100000000000001" customHeight="1" x14ac:dyDescent="0.25">
      <c r="A53" s="976"/>
      <c r="B53" s="978"/>
      <c r="C53" s="974"/>
      <c r="D53" s="974"/>
      <c r="E53" s="978"/>
      <c r="F53" s="974"/>
      <c r="G53" s="362"/>
      <c r="H53" s="363"/>
      <c r="I53" s="362"/>
      <c r="J53" s="363"/>
      <c r="K53" s="362"/>
      <c r="L53" s="363"/>
      <c r="M53" s="362"/>
      <c r="N53" s="363"/>
      <c r="O53" s="362"/>
      <c r="P53" s="363"/>
    </row>
    <row r="54" spans="1:16" ht="20.100000000000001" customHeight="1" x14ac:dyDescent="0.25">
      <c r="A54" s="976"/>
      <c r="B54" s="979"/>
      <c r="C54" s="975"/>
      <c r="D54" s="975"/>
      <c r="E54" s="979"/>
      <c r="F54" s="975"/>
      <c r="G54" s="450" t="s">
        <v>86</v>
      </c>
      <c r="H54" s="364">
        <f>SUM(H48:H53)</f>
        <v>0</v>
      </c>
      <c r="I54" s="450" t="s">
        <v>86</v>
      </c>
      <c r="J54" s="364">
        <f>SUM(J48:J53)</f>
        <v>85850</v>
      </c>
      <c r="K54" s="450" t="s">
        <v>86</v>
      </c>
      <c r="L54" s="364">
        <f>SUM(L48:L53)</f>
        <v>0</v>
      </c>
      <c r="M54" s="450" t="s">
        <v>86</v>
      </c>
      <c r="N54" s="364">
        <f>SUM(N48:N53)</f>
        <v>12000</v>
      </c>
      <c r="O54" s="450" t="s">
        <v>86</v>
      </c>
      <c r="P54" s="364">
        <f>SUM(P48:P53)</f>
        <v>0</v>
      </c>
    </row>
    <row r="55" spans="1:16" ht="20.100000000000001" customHeight="1" x14ac:dyDescent="0.25">
      <c r="A55" s="976">
        <v>8</v>
      </c>
      <c r="B55" s="977">
        <f>H61</f>
        <v>0</v>
      </c>
      <c r="C55" s="973">
        <f>J61</f>
        <v>33200</v>
      </c>
      <c r="D55" s="973">
        <f>L61</f>
        <v>0</v>
      </c>
      <c r="E55" s="977">
        <f>N61</f>
        <v>46000</v>
      </c>
      <c r="F55" s="973">
        <f>P61</f>
        <v>0</v>
      </c>
      <c r="G55" s="358"/>
      <c r="H55" s="359"/>
      <c r="I55" s="358" t="s">
        <v>563</v>
      </c>
      <c r="J55" s="359">
        <v>9200</v>
      </c>
      <c r="K55" s="358"/>
      <c r="L55" s="359"/>
      <c r="M55" s="358" t="s">
        <v>552</v>
      </c>
      <c r="N55" s="359">
        <v>46000</v>
      </c>
      <c r="O55" s="358"/>
      <c r="P55" s="359"/>
    </row>
    <row r="56" spans="1:16" ht="20.100000000000001" customHeight="1" x14ac:dyDescent="0.25">
      <c r="A56" s="976"/>
      <c r="B56" s="978"/>
      <c r="C56" s="974"/>
      <c r="D56" s="974"/>
      <c r="E56" s="978"/>
      <c r="F56" s="974"/>
      <c r="G56" s="358"/>
      <c r="H56" s="359"/>
      <c r="I56" s="358" t="s">
        <v>562</v>
      </c>
      <c r="J56" s="359">
        <v>24000</v>
      </c>
      <c r="K56" s="358"/>
      <c r="L56" s="359"/>
      <c r="M56" s="358"/>
      <c r="N56" s="359"/>
      <c r="O56" s="358"/>
      <c r="P56" s="359"/>
    </row>
    <row r="57" spans="1:16" ht="20.100000000000001" customHeight="1" x14ac:dyDescent="0.25">
      <c r="A57" s="976"/>
      <c r="B57" s="978"/>
      <c r="C57" s="974"/>
      <c r="D57" s="974"/>
      <c r="E57" s="978"/>
      <c r="F57" s="974"/>
      <c r="G57" s="358"/>
      <c r="H57" s="359"/>
      <c r="I57" s="358"/>
      <c r="J57" s="359"/>
      <c r="K57" s="358"/>
      <c r="L57" s="359"/>
      <c r="M57" s="358"/>
      <c r="N57" s="359"/>
      <c r="O57" s="358"/>
      <c r="P57" s="359"/>
    </row>
    <row r="58" spans="1:16" ht="20.100000000000001" customHeight="1" x14ac:dyDescent="0.25">
      <c r="A58" s="976"/>
      <c r="B58" s="978"/>
      <c r="C58" s="974"/>
      <c r="D58" s="974"/>
      <c r="E58" s="978"/>
      <c r="F58" s="974"/>
      <c r="G58" s="358"/>
      <c r="H58" s="359"/>
      <c r="I58" s="358"/>
      <c r="J58" s="359"/>
      <c r="K58" s="358"/>
      <c r="L58" s="359"/>
      <c r="M58" s="358"/>
      <c r="N58" s="359"/>
      <c r="O58" s="358"/>
      <c r="P58" s="359"/>
    </row>
    <row r="59" spans="1:16" ht="20.100000000000001" customHeight="1" x14ac:dyDescent="0.25">
      <c r="A59" s="976"/>
      <c r="B59" s="978"/>
      <c r="C59" s="974"/>
      <c r="D59" s="974"/>
      <c r="E59" s="978"/>
      <c r="F59" s="974"/>
      <c r="G59" s="360"/>
      <c r="H59" s="361"/>
      <c r="I59" s="360"/>
      <c r="J59" s="361"/>
      <c r="K59" s="360"/>
      <c r="L59" s="361"/>
      <c r="M59" s="360"/>
      <c r="N59" s="361"/>
      <c r="O59" s="360"/>
      <c r="P59" s="361"/>
    </row>
    <row r="60" spans="1:16" ht="20.100000000000001" customHeight="1" x14ac:dyDescent="0.25">
      <c r="A60" s="976"/>
      <c r="B60" s="978"/>
      <c r="C60" s="974"/>
      <c r="D60" s="974"/>
      <c r="E60" s="978"/>
      <c r="F60" s="974"/>
      <c r="G60" s="362"/>
      <c r="H60" s="363"/>
      <c r="I60" s="362"/>
      <c r="J60" s="363"/>
      <c r="K60" s="362"/>
      <c r="L60" s="363"/>
      <c r="M60" s="362"/>
      <c r="N60" s="363"/>
      <c r="O60" s="362"/>
      <c r="P60" s="363"/>
    </row>
    <row r="61" spans="1:16" ht="20.100000000000001" customHeight="1" x14ac:dyDescent="0.25">
      <c r="A61" s="976"/>
      <c r="B61" s="979"/>
      <c r="C61" s="975"/>
      <c r="D61" s="975"/>
      <c r="E61" s="979"/>
      <c r="F61" s="975"/>
      <c r="G61" s="450" t="s">
        <v>86</v>
      </c>
      <c r="H61" s="364">
        <f>SUM(H55:H60)</f>
        <v>0</v>
      </c>
      <c r="I61" s="450" t="s">
        <v>86</v>
      </c>
      <c r="J61" s="364">
        <f>SUM(J55:J60)</f>
        <v>33200</v>
      </c>
      <c r="K61" s="450" t="s">
        <v>86</v>
      </c>
      <c r="L61" s="364">
        <f>SUM(L55:L60)</f>
        <v>0</v>
      </c>
      <c r="M61" s="450" t="s">
        <v>86</v>
      </c>
      <c r="N61" s="364">
        <f>SUM(N55:N60)</f>
        <v>46000</v>
      </c>
      <c r="O61" s="450" t="s">
        <v>86</v>
      </c>
      <c r="P61" s="364">
        <f>SUM(P55:P60)</f>
        <v>0</v>
      </c>
    </row>
    <row r="62" spans="1:16" ht="20.100000000000001" customHeight="1" x14ac:dyDescent="0.25">
      <c r="A62" s="976">
        <v>9</v>
      </c>
      <c r="B62" s="977">
        <f>H68</f>
        <v>0</v>
      </c>
      <c r="C62" s="973">
        <f>J68</f>
        <v>0</v>
      </c>
      <c r="D62" s="973">
        <f>L68</f>
        <v>0</v>
      </c>
      <c r="E62" s="977">
        <f>N68</f>
        <v>0</v>
      </c>
      <c r="F62" s="973">
        <f>P68</f>
        <v>0</v>
      </c>
      <c r="G62" s="358"/>
      <c r="H62" s="359"/>
      <c r="I62" s="358"/>
      <c r="J62" s="359"/>
      <c r="K62" s="358"/>
      <c r="L62" s="359"/>
      <c r="M62" s="358"/>
      <c r="N62" s="359"/>
      <c r="O62" s="358"/>
      <c r="P62" s="359"/>
    </row>
    <row r="63" spans="1:16" ht="20.100000000000001" customHeight="1" x14ac:dyDescent="0.25">
      <c r="A63" s="976"/>
      <c r="B63" s="978"/>
      <c r="C63" s="974"/>
      <c r="D63" s="974"/>
      <c r="E63" s="978"/>
      <c r="F63" s="974"/>
      <c r="G63" s="358"/>
      <c r="H63" s="359"/>
      <c r="I63" s="358"/>
      <c r="J63" s="359"/>
      <c r="K63" s="358"/>
      <c r="L63" s="359"/>
      <c r="M63" s="358"/>
      <c r="N63" s="359"/>
      <c r="O63" s="358"/>
      <c r="P63" s="359"/>
    </row>
    <row r="64" spans="1:16" ht="20.100000000000001" customHeight="1" x14ac:dyDescent="0.25">
      <c r="A64" s="976"/>
      <c r="B64" s="978"/>
      <c r="C64" s="974"/>
      <c r="D64" s="974"/>
      <c r="E64" s="978"/>
      <c r="F64" s="974"/>
      <c r="G64" s="358"/>
      <c r="H64" s="359"/>
      <c r="I64" s="358"/>
      <c r="J64" s="359"/>
      <c r="K64" s="358"/>
      <c r="L64" s="359"/>
      <c r="M64" s="358"/>
      <c r="N64" s="359"/>
      <c r="O64" s="358"/>
      <c r="P64" s="359"/>
    </row>
    <row r="65" spans="1:16" ht="20.100000000000001" customHeight="1" x14ac:dyDescent="0.25">
      <c r="A65" s="976"/>
      <c r="B65" s="978"/>
      <c r="C65" s="974"/>
      <c r="D65" s="974"/>
      <c r="E65" s="978"/>
      <c r="F65" s="974"/>
      <c r="G65" s="358"/>
      <c r="H65" s="359"/>
      <c r="I65" s="358"/>
      <c r="J65" s="359"/>
      <c r="K65" s="358"/>
      <c r="L65" s="359"/>
      <c r="M65" s="358"/>
      <c r="N65" s="359"/>
      <c r="O65" s="358"/>
      <c r="P65" s="359"/>
    </row>
    <row r="66" spans="1:16" ht="20.100000000000001" customHeight="1" x14ac:dyDescent="0.25">
      <c r="A66" s="976"/>
      <c r="B66" s="978"/>
      <c r="C66" s="974"/>
      <c r="D66" s="974"/>
      <c r="E66" s="978"/>
      <c r="F66" s="974"/>
      <c r="G66" s="360"/>
      <c r="H66" s="361"/>
      <c r="I66" s="360"/>
      <c r="J66" s="361"/>
      <c r="K66" s="360"/>
      <c r="L66" s="361"/>
      <c r="M66" s="360"/>
      <c r="N66" s="361"/>
      <c r="O66" s="360"/>
      <c r="P66" s="361"/>
    </row>
    <row r="67" spans="1:16" ht="20.100000000000001" customHeight="1" x14ac:dyDescent="0.25">
      <c r="A67" s="976"/>
      <c r="B67" s="978"/>
      <c r="C67" s="974"/>
      <c r="D67" s="974"/>
      <c r="E67" s="978"/>
      <c r="F67" s="974"/>
      <c r="G67" s="362"/>
      <c r="H67" s="363"/>
      <c r="I67" s="362"/>
      <c r="J67" s="363"/>
      <c r="K67" s="362"/>
      <c r="L67" s="363"/>
      <c r="M67" s="362"/>
      <c r="N67" s="363"/>
      <c r="O67" s="362"/>
      <c r="P67" s="363"/>
    </row>
    <row r="68" spans="1:16" ht="20.100000000000001" customHeight="1" x14ac:dyDescent="0.25">
      <c r="A68" s="976"/>
      <c r="B68" s="979"/>
      <c r="C68" s="975"/>
      <c r="D68" s="975"/>
      <c r="E68" s="979"/>
      <c r="F68" s="975"/>
      <c r="G68" s="450" t="s">
        <v>86</v>
      </c>
      <c r="H68" s="364">
        <f>SUM(H62:H67)</f>
        <v>0</v>
      </c>
      <c r="I68" s="450" t="s">
        <v>86</v>
      </c>
      <c r="J68" s="364">
        <f>SUM(J62:J67)</f>
        <v>0</v>
      </c>
      <c r="K68" s="450" t="s">
        <v>86</v>
      </c>
      <c r="L68" s="364">
        <f>SUM(L62:L67)</f>
        <v>0</v>
      </c>
      <c r="M68" s="450" t="s">
        <v>86</v>
      </c>
      <c r="N68" s="364">
        <f>SUM(N62:N67)</f>
        <v>0</v>
      </c>
      <c r="O68" s="450" t="s">
        <v>86</v>
      </c>
      <c r="P68" s="364">
        <f>SUM(P62:P67)</f>
        <v>0</v>
      </c>
    </row>
    <row r="69" spans="1:16" ht="20.100000000000001" customHeight="1" x14ac:dyDescent="0.25">
      <c r="A69" s="976">
        <v>10</v>
      </c>
      <c r="B69" s="977">
        <f>H75</f>
        <v>0</v>
      </c>
      <c r="C69" s="973">
        <f>J75</f>
        <v>0</v>
      </c>
      <c r="D69" s="973">
        <f>L75</f>
        <v>0</v>
      </c>
      <c r="E69" s="977">
        <f>N75</f>
        <v>0</v>
      </c>
      <c r="F69" s="973">
        <f>P75</f>
        <v>0</v>
      </c>
      <c r="G69" s="358"/>
      <c r="H69" s="359"/>
      <c r="I69" s="358"/>
      <c r="J69" s="359"/>
      <c r="K69" s="358"/>
      <c r="L69" s="359"/>
      <c r="M69" s="358"/>
      <c r="N69" s="359"/>
      <c r="O69" s="358"/>
      <c r="P69" s="359"/>
    </row>
    <row r="70" spans="1:16" ht="20.100000000000001" customHeight="1" x14ac:dyDescent="0.25">
      <c r="A70" s="976"/>
      <c r="B70" s="978"/>
      <c r="C70" s="974"/>
      <c r="D70" s="974"/>
      <c r="E70" s="978"/>
      <c r="F70" s="974"/>
      <c r="G70" s="358"/>
      <c r="H70" s="359"/>
      <c r="I70" s="358"/>
      <c r="J70" s="359"/>
      <c r="K70" s="358"/>
      <c r="L70" s="359"/>
      <c r="M70" s="358"/>
      <c r="N70" s="359"/>
      <c r="O70" s="358"/>
      <c r="P70" s="359"/>
    </row>
    <row r="71" spans="1:16" ht="20.100000000000001" customHeight="1" x14ac:dyDescent="0.25">
      <c r="A71" s="976"/>
      <c r="B71" s="978"/>
      <c r="C71" s="974"/>
      <c r="D71" s="974"/>
      <c r="E71" s="978"/>
      <c r="F71" s="974"/>
      <c r="G71" s="358"/>
      <c r="H71" s="359"/>
      <c r="I71" s="358"/>
      <c r="J71" s="359"/>
      <c r="K71" s="358"/>
      <c r="L71" s="359"/>
      <c r="M71" s="358"/>
      <c r="N71" s="359"/>
      <c r="O71" s="358"/>
      <c r="P71" s="359"/>
    </row>
    <row r="72" spans="1:16" ht="20.100000000000001" customHeight="1" x14ac:dyDescent="0.25">
      <c r="A72" s="976"/>
      <c r="B72" s="978"/>
      <c r="C72" s="974"/>
      <c r="D72" s="974"/>
      <c r="E72" s="978"/>
      <c r="F72" s="974"/>
      <c r="G72" s="358"/>
      <c r="H72" s="359"/>
      <c r="I72" s="358"/>
      <c r="J72" s="359"/>
      <c r="K72" s="358"/>
      <c r="L72" s="359"/>
      <c r="M72" s="358"/>
      <c r="N72" s="359"/>
      <c r="O72" s="358"/>
      <c r="P72" s="359"/>
    </row>
    <row r="73" spans="1:16" ht="20.100000000000001" customHeight="1" x14ac:dyDescent="0.25">
      <c r="A73" s="976"/>
      <c r="B73" s="978"/>
      <c r="C73" s="974"/>
      <c r="D73" s="974"/>
      <c r="E73" s="978"/>
      <c r="F73" s="974"/>
      <c r="G73" s="360"/>
      <c r="H73" s="361"/>
      <c r="I73" s="360"/>
      <c r="J73" s="361"/>
      <c r="K73" s="360"/>
      <c r="L73" s="361"/>
      <c r="M73" s="360"/>
      <c r="N73" s="361"/>
      <c r="O73" s="360"/>
      <c r="P73" s="361"/>
    </row>
    <row r="74" spans="1:16" ht="20.100000000000001" customHeight="1" x14ac:dyDescent="0.25">
      <c r="A74" s="976"/>
      <c r="B74" s="978"/>
      <c r="C74" s="974"/>
      <c r="D74" s="974"/>
      <c r="E74" s="978"/>
      <c r="F74" s="974"/>
      <c r="G74" s="362"/>
      <c r="H74" s="363"/>
      <c r="I74" s="362"/>
      <c r="J74" s="363"/>
      <c r="K74" s="362"/>
      <c r="L74" s="363"/>
      <c r="M74" s="362"/>
      <c r="N74" s="363"/>
      <c r="O74" s="362"/>
      <c r="P74" s="363"/>
    </row>
    <row r="75" spans="1:16" ht="20.100000000000001" customHeight="1" x14ac:dyDescent="0.25">
      <c r="A75" s="976"/>
      <c r="B75" s="979"/>
      <c r="C75" s="975"/>
      <c r="D75" s="975"/>
      <c r="E75" s="979"/>
      <c r="F75" s="975"/>
      <c r="G75" s="450" t="s">
        <v>86</v>
      </c>
      <c r="H75" s="364">
        <f>SUM(H69:H74)</f>
        <v>0</v>
      </c>
      <c r="I75" s="450" t="s">
        <v>86</v>
      </c>
      <c r="J75" s="364">
        <f>SUM(J69:J74)</f>
        <v>0</v>
      </c>
      <c r="K75" s="450" t="s">
        <v>86</v>
      </c>
      <c r="L75" s="364">
        <f>SUM(L69:L74)</f>
        <v>0</v>
      </c>
      <c r="M75" s="450" t="s">
        <v>86</v>
      </c>
      <c r="N75" s="364">
        <f>SUM(N69:N74)</f>
        <v>0</v>
      </c>
      <c r="O75" s="450" t="s">
        <v>86</v>
      </c>
      <c r="P75" s="364">
        <f>SUM(P69:P74)</f>
        <v>0</v>
      </c>
    </row>
    <row r="76" spans="1:16" ht="20.100000000000001" customHeight="1" x14ac:dyDescent="0.25">
      <c r="A76" s="976">
        <v>11</v>
      </c>
      <c r="B76" s="977">
        <f>H82</f>
        <v>0</v>
      </c>
      <c r="C76" s="973">
        <f>J82</f>
        <v>0</v>
      </c>
      <c r="D76" s="973">
        <f>L82</f>
        <v>0</v>
      </c>
      <c r="E76" s="977">
        <f>N82</f>
        <v>0</v>
      </c>
      <c r="F76" s="973">
        <f>P82</f>
        <v>0</v>
      </c>
      <c r="G76" s="358"/>
      <c r="H76" s="359"/>
      <c r="I76" s="358"/>
      <c r="J76" s="359"/>
      <c r="K76" s="358"/>
      <c r="L76" s="359"/>
      <c r="M76" s="358"/>
      <c r="N76" s="359"/>
      <c r="O76" s="358"/>
      <c r="P76" s="359"/>
    </row>
    <row r="77" spans="1:16" ht="20.100000000000001" customHeight="1" x14ac:dyDescent="0.25">
      <c r="A77" s="976"/>
      <c r="B77" s="978"/>
      <c r="C77" s="974"/>
      <c r="D77" s="974"/>
      <c r="E77" s="978"/>
      <c r="F77" s="974"/>
      <c r="G77" s="358"/>
      <c r="H77" s="359"/>
      <c r="I77" s="358"/>
      <c r="J77" s="359"/>
      <c r="K77" s="358"/>
      <c r="L77" s="359"/>
      <c r="M77" s="358"/>
      <c r="N77" s="359"/>
      <c r="O77" s="358"/>
      <c r="P77" s="359"/>
    </row>
    <row r="78" spans="1:16" ht="20.100000000000001" customHeight="1" x14ac:dyDescent="0.25">
      <c r="A78" s="976"/>
      <c r="B78" s="978"/>
      <c r="C78" s="974"/>
      <c r="D78" s="974"/>
      <c r="E78" s="978"/>
      <c r="F78" s="974"/>
      <c r="G78" s="358"/>
      <c r="H78" s="359"/>
      <c r="I78" s="358"/>
      <c r="J78" s="359"/>
      <c r="K78" s="358"/>
      <c r="L78" s="359"/>
      <c r="M78" s="358"/>
      <c r="N78" s="359"/>
      <c r="O78" s="358"/>
      <c r="P78" s="359"/>
    </row>
    <row r="79" spans="1:16" ht="20.100000000000001" customHeight="1" x14ac:dyDescent="0.25">
      <c r="A79" s="976"/>
      <c r="B79" s="978"/>
      <c r="C79" s="974"/>
      <c r="D79" s="974"/>
      <c r="E79" s="978"/>
      <c r="F79" s="974"/>
      <c r="G79" s="358"/>
      <c r="H79" s="359"/>
      <c r="I79" s="358"/>
      <c r="J79" s="359"/>
      <c r="K79" s="358"/>
      <c r="L79" s="359"/>
      <c r="M79" s="358"/>
      <c r="N79" s="359"/>
      <c r="O79" s="358"/>
      <c r="P79" s="359"/>
    </row>
    <row r="80" spans="1:16" ht="20.100000000000001" customHeight="1" x14ac:dyDescent="0.25">
      <c r="A80" s="976"/>
      <c r="B80" s="978"/>
      <c r="C80" s="974"/>
      <c r="D80" s="974"/>
      <c r="E80" s="978"/>
      <c r="F80" s="974"/>
      <c r="G80" s="360"/>
      <c r="H80" s="361"/>
      <c r="I80" s="360"/>
      <c r="J80" s="361"/>
      <c r="K80" s="360"/>
      <c r="L80" s="361"/>
      <c r="M80" s="360"/>
      <c r="N80" s="361"/>
      <c r="O80" s="360"/>
      <c r="P80" s="361"/>
    </row>
    <row r="81" spans="1:16" ht="20.100000000000001" customHeight="1" x14ac:dyDescent="0.25">
      <c r="A81" s="976"/>
      <c r="B81" s="978"/>
      <c r="C81" s="974"/>
      <c r="D81" s="974"/>
      <c r="E81" s="978"/>
      <c r="F81" s="974"/>
      <c r="G81" s="362"/>
      <c r="H81" s="363"/>
      <c r="I81" s="362"/>
      <c r="J81" s="363"/>
      <c r="K81" s="362"/>
      <c r="L81" s="363"/>
      <c r="M81" s="362"/>
      <c r="N81" s="363"/>
      <c r="O81" s="362"/>
      <c r="P81" s="363"/>
    </row>
    <row r="82" spans="1:16" ht="20.100000000000001" customHeight="1" x14ac:dyDescent="0.25">
      <c r="A82" s="976"/>
      <c r="B82" s="979"/>
      <c r="C82" s="975"/>
      <c r="D82" s="975"/>
      <c r="E82" s="979"/>
      <c r="F82" s="975"/>
      <c r="G82" s="450" t="s">
        <v>86</v>
      </c>
      <c r="H82" s="364">
        <f>SUM(H76:H81)</f>
        <v>0</v>
      </c>
      <c r="I82" s="450" t="s">
        <v>86</v>
      </c>
      <c r="J82" s="364">
        <f>SUM(J76:J81)</f>
        <v>0</v>
      </c>
      <c r="K82" s="450" t="s">
        <v>86</v>
      </c>
      <c r="L82" s="364">
        <f>SUM(L76:L81)</f>
        <v>0</v>
      </c>
      <c r="M82" s="450" t="s">
        <v>86</v>
      </c>
      <c r="N82" s="364">
        <f>SUM(N76:N81)</f>
        <v>0</v>
      </c>
      <c r="O82" s="450" t="s">
        <v>86</v>
      </c>
      <c r="P82" s="364">
        <f>SUM(P76:P81)</f>
        <v>0</v>
      </c>
    </row>
    <row r="83" spans="1:16" ht="20.100000000000001" customHeight="1" x14ac:dyDescent="0.25">
      <c r="A83" s="976">
        <v>12</v>
      </c>
      <c r="B83" s="977">
        <f>H89</f>
        <v>0</v>
      </c>
      <c r="C83" s="973">
        <f>J89</f>
        <v>0</v>
      </c>
      <c r="D83" s="973">
        <f>L89</f>
        <v>0</v>
      </c>
      <c r="E83" s="977">
        <f>N89</f>
        <v>46100</v>
      </c>
      <c r="F83" s="973">
        <f>P89</f>
        <v>0</v>
      </c>
      <c r="G83" s="358"/>
      <c r="H83" s="359"/>
      <c r="I83" s="358"/>
      <c r="J83" s="359"/>
      <c r="K83" s="358"/>
      <c r="L83" s="359"/>
      <c r="M83" s="358" t="s">
        <v>555</v>
      </c>
      <c r="N83" s="359">
        <v>46100</v>
      </c>
      <c r="O83" s="358"/>
      <c r="P83" s="359"/>
    </row>
    <row r="84" spans="1:16" ht="20.100000000000001" customHeight="1" x14ac:dyDescent="0.25">
      <c r="A84" s="976"/>
      <c r="B84" s="978"/>
      <c r="C84" s="974"/>
      <c r="D84" s="974"/>
      <c r="E84" s="978"/>
      <c r="F84" s="974"/>
      <c r="G84" s="358"/>
      <c r="H84" s="359"/>
      <c r="I84" s="358"/>
      <c r="J84" s="359"/>
      <c r="K84" s="358"/>
      <c r="L84" s="359"/>
      <c r="M84" s="358"/>
      <c r="N84" s="359"/>
      <c r="O84" s="358"/>
      <c r="P84" s="359"/>
    </row>
    <row r="85" spans="1:16" ht="20.100000000000001" customHeight="1" x14ac:dyDescent="0.25">
      <c r="A85" s="976"/>
      <c r="B85" s="978"/>
      <c r="C85" s="974"/>
      <c r="D85" s="974"/>
      <c r="E85" s="978"/>
      <c r="F85" s="974"/>
      <c r="G85" s="358"/>
      <c r="H85" s="359"/>
      <c r="I85" s="358"/>
      <c r="J85" s="359"/>
      <c r="K85" s="358"/>
      <c r="L85" s="359"/>
      <c r="M85" s="358"/>
      <c r="N85" s="359"/>
      <c r="O85" s="358"/>
      <c r="P85" s="359"/>
    </row>
    <row r="86" spans="1:16" ht="20.100000000000001" customHeight="1" x14ac:dyDescent="0.25">
      <c r="A86" s="976"/>
      <c r="B86" s="978"/>
      <c r="C86" s="974"/>
      <c r="D86" s="974"/>
      <c r="E86" s="978"/>
      <c r="F86" s="974"/>
      <c r="G86" s="358"/>
      <c r="H86" s="359"/>
      <c r="I86" s="358"/>
      <c r="J86" s="359"/>
      <c r="K86" s="358"/>
      <c r="L86" s="359"/>
      <c r="M86" s="358"/>
      <c r="N86" s="359"/>
      <c r="O86" s="358"/>
      <c r="P86" s="359"/>
    </row>
    <row r="87" spans="1:16" ht="20.100000000000001" customHeight="1" x14ac:dyDescent="0.25">
      <c r="A87" s="976"/>
      <c r="B87" s="978"/>
      <c r="C87" s="974"/>
      <c r="D87" s="974"/>
      <c r="E87" s="978"/>
      <c r="F87" s="974"/>
      <c r="G87" s="360"/>
      <c r="H87" s="361"/>
      <c r="I87" s="360"/>
      <c r="J87" s="361"/>
      <c r="K87" s="360"/>
      <c r="L87" s="361"/>
      <c r="M87" s="360"/>
      <c r="N87" s="361"/>
      <c r="O87" s="360"/>
      <c r="P87" s="361"/>
    </row>
    <row r="88" spans="1:16" ht="20.100000000000001" customHeight="1" x14ac:dyDescent="0.25">
      <c r="A88" s="976"/>
      <c r="B88" s="978"/>
      <c r="C88" s="974"/>
      <c r="D88" s="974"/>
      <c r="E88" s="978"/>
      <c r="F88" s="974"/>
      <c r="G88" s="362"/>
      <c r="H88" s="363"/>
      <c r="I88" s="362"/>
      <c r="J88" s="363"/>
      <c r="K88" s="362"/>
      <c r="L88" s="363"/>
      <c r="M88" s="362"/>
      <c r="N88" s="363"/>
      <c r="O88" s="362"/>
      <c r="P88" s="363"/>
    </row>
    <row r="89" spans="1:16" ht="20.100000000000001" customHeight="1" x14ac:dyDescent="0.25">
      <c r="A89" s="976"/>
      <c r="B89" s="979"/>
      <c r="C89" s="975"/>
      <c r="D89" s="975"/>
      <c r="E89" s="979"/>
      <c r="F89" s="975"/>
      <c r="G89" s="450" t="s">
        <v>86</v>
      </c>
      <c r="H89" s="364">
        <f>SUM(H83:H88)</f>
        <v>0</v>
      </c>
      <c r="I89" s="450" t="s">
        <v>86</v>
      </c>
      <c r="J89" s="364">
        <f>SUM(J83:J88)</f>
        <v>0</v>
      </c>
      <c r="K89" s="450" t="s">
        <v>86</v>
      </c>
      <c r="L89" s="364">
        <f>SUM(L83:L88)</f>
        <v>0</v>
      </c>
      <c r="M89" s="450" t="s">
        <v>86</v>
      </c>
      <c r="N89" s="364">
        <f>SUM(N83:N88)</f>
        <v>46100</v>
      </c>
      <c r="O89" s="450" t="s">
        <v>86</v>
      </c>
      <c r="P89" s="364">
        <f>SUM(P83:P88)</f>
        <v>0</v>
      </c>
    </row>
    <row r="90" spans="1:16" ht="20.100000000000001" customHeight="1" x14ac:dyDescent="0.25">
      <c r="A90" s="976">
        <v>13</v>
      </c>
      <c r="B90" s="977">
        <f>H96</f>
        <v>0</v>
      </c>
      <c r="C90" s="973">
        <f>J96</f>
        <v>0</v>
      </c>
      <c r="D90" s="973">
        <f>L96</f>
        <v>0</v>
      </c>
      <c r="E90" s="977">
        <f>N96</f>
        <v>0</v>
      </c>
      <c r="F90" s="973">
        <f>P96</f>
        <v>0</v>
      </c>
      <c r="G90" s="358"/>
      <c r="H90" s="359"/>
      <c r="I90" s="358"/>
      <c r="J90" s="359"/>
      <c r="K90" s="358"/>
      <c r="L90" s="359"/>
      <c r="M90" s="358"/>
      <c r="N90" s="359"/>
      <c r="O90" s="358"/>
      <c r="P90" s="359"/>
    </row>
    <row r="91" spans="1:16" ht="20.100000000000001" customHeight="1" x14ac:dyDescent="0.25">
      <c r="A91" s="976"/>
      <c r="B91" s="978"/>
      <c r="C91" s="974"/>
      <c r="D91" s="974"/>
      <c r="E91" s="978"/>
      <c r="F91" s="974"/>
      <c r="G91" s="358"/>
      <c r="H91" s="359"/>
      <c r="I91" s="358"/>
      <c r="J91" s="359"/>
      <c r="K91" s="358"/>
      <c r="L91" s="359"/>
      <c r="M91" s="358"/>
      <c r="N91" s="359"/>
      <c r="O91" s="358"/>
      <c r="P91" s="359"/>
    </row>
    <row r="92" spans="1:16" ht="20.100000000000001" customHeight="1" x14ac:dyDescent="0.25">
      <c r="A92" s="976"/>
      <c r="B92" s="978"/>
      <c r="C92" s="974"/>
      <c r="D92" s="974"/>
      <c r="E92" s="978"/>
      <c r="F92" s="974"/>
      <c r="G92" s="358"/>
      <c r="H92" s="359"/>
      <c r="I92" s="358"/>
      <c r="J92" s="359"/>
      <c r="K92" s="358"/>
      <c r="L92" s="359"/>
      <c r="M92" s="358"/>
      <c r="N92" s="359"/>
      <c r="O92" s="358"/>
      <c r="P92" s="359"/>
    </row>
    <row r="93" spans="1:16" ht="20.100000000000001" customHeight="1" x14ac:dyDescent="0.25">
      <c r="A93" s="976"/>
      <c r="B93" s="978"/>
      <c r="C93" s="974"/>
      <c r="D93" s="974"/>
      <c r="E93" s="978"/>
      <c r="F93" s="974"/>
      <c r="G93" s="358"/>
      <c r="H93" s="359"/>
      <c r="I93" s="358"/>
      <c r="J93" s="359"/>
      <c r="K93" s="358"/>
      <c r="L93" s="359"/>
      <c r="M93" s="358"/>
      <c r="N93" s="359"/>
      <c r="O93" s="358"/>
      <c r="P93" s="359"/>
    </row>
    <row r="94" spans="1:16" ht="20.100000000000001" customHeight="1" x14ac:dyDescent="0.25">
      <c r="A94" s="976"/>
      <c r="B94" s="978"/>
      <c r="C94" s="974"/>
      <c r="D94" s="974"/>
      <c r="E94" s="978"/>
      <c r="F94" s="974"/>
      <c r="G94" s="360"/>
      <c r="H94" s="361"/>
      <c r="I94" s="360"/>
      <c r="J94" s="361"/>
      <c r="K94" s="360"/>
      <c r="L94" s="361"/>
      <c r="M94" s="360"/>
      <c r="N94" s="361"/>
      <c r="O94" s="360"/>
      <c r="P94" s="361"/>
    </row>
    <row r="95" spans="1:16" ht="20.100000000000001" customHeight="1" x14ac:dyDescent="0.25">
      <c r="A95" s="976"/>
      <c r="B95" s="978"/>
      <c r="C95" s="974"/>
      <c r="D95" s="974"/>
      <c r="E95" s="978"/>
      <c r="F95" s="974"/>
      <c r="G95" s="362"/>
      <c r="H95" s="363"/>
      <c r="I95" s="362"/>
      <c r="J95" s="363"/>
      <c r="K95" s="362"/>
      <c r="L95" s="363"/>
      <c r="M95" s="362"/>
      <c r="N95" s="363"/>
      <c r="O95" s="362"/>
      <c r="P95" s="363"/>
    </row>
    <row r="96" spans="1:16" ht="20.100000000000001" customHeight="1" x14ac:dyDescent="0.25">
      <c r="A96" s="976"/>
      <c r="B96" s="979"/>
      <c r="C96" s="975"/>
      <c r="D96" s="975"/>
      <c r="E96" s="979"/>
      <c r="F96" s="975"/>
      <c r="G96" s="450" t="s">
        <v>86</v>
      </c>
      <c r="H96" s="364">
        <f>SUM(H90:H95)</f>
        <v>0</v>
      </c>
      <c r="I96" s="450" t="s">
        <v>86</v>
      </c>
      <c r="J96" s="364">
        <f>SUM(J90:J95)</f>
        <v>0</v>
      </c>
      <c r="K96" s="450" t="s">
        <v>86</v>
      </c>
      <c r="L96" s="364">
        <f>SUM(L90:L95)</f>
        <v>0</v>
      </c>
      <c r="M96" s="450" t="s">
        <v>86</v>
      </c>
      <c r="N96" s="364">
        <f>SUM(N90:N95)</f>
        <v>0</v>
      </c>
      <c r="O96" s="450" t="s">
        <v>86</v>
      </c>
      <c r="P96" s="364">
        <f>SUM(P90:P95)</f>
        <v>0</v>
      </c>
    </row>
    <row r="97" spans="1:16" ht="20.100000000000001" customHeight="1" x14ac:dyDescent="0.25">
      <c r="A97" s="976">
        <v>14</v>
      </c>
      <c r="B97" s="977">
        <f>H103</f>
        <v>0</v>
      </c>
      <c r="C97" s="973">
        <f>J103</f>
        <v>0</v>
      </c>
      <c r="D97" s="973">
        <f>L103</f>
        <v>0</v>
      </c>
      <c r="E97" s="977">
        <f>N103</f>
        <v>0</v>
      </c>
      <c r="F97" s="973">
        <f>P103</f>
        <v>0</v>
      </c>
      <c r="G97" s="358"/>
      <c r="H97" s="359"/>
      <c r="I97" s="358"/>
      <c r="J97" s="359"/>
      <c r="K97" s="358"/>
      <c r="L97" s="359"/>
      <c r="M97" s="358"/>
      <c r="N97" s="359"/>
      <c r="O97" s="358"/>
      <c r="P97" s="359"/>
    </row>
    <row r="98" spans="1:16" ht="20.100000000000001" customHeight="1" x14ac:dyDescent="0.25">
      <c r="A98" s="976"/>
      <c r="B98" s="978"/>
      <c r="C98" s="974"/>
      <c r="D98" s="974"/>
      <c r="E98" s="978"/>
      <c r="F98" s="974"/>
      <c r="G98" s="358"/>
      <c r="H98" s="359"/>
      <c r="I98" s="358"/>
      <c r="J98" s="359"/>
      <c r="K98" s="358"/>
      <c r="L98" s="359"/>
      <c r="M98" s="358"/>
      <c r="N98" s="359"/>
      <c r="O98" s="358"/>
      <c r="P98" s="359"/>
    </row>
    <row r="99" spans="1:16" ht="20.100000000000001" customHeight="1" x14ac:dyDescent="0.25">
      <c r="A99" s="976"/>
      <c r="B99" s="978"/>
      <c r="C99" s="974"/>
      <c r="D99" s="974"/>
      <c r="E99" s="978"/>
      <c r="F99" s="974"/>
      <c r="G99" s="358"/>
      <c r="H99" s="359"/>
      <c r="I99" s="358"/>
      <c r="J99" s="359"/>
      <c r="K99" s="358"/>
      <c r="L99" s="359"/>
      <c r="M99" s="358"/>
      <c r="N99" s="359"/>
      <c r="O99" s="358"/>
      <c r="P99" s="359"/>
    </row>
    <row r="100" spans="1:16" ht="20.100000000000001" customHeight="1" x14ac:dyDescent="0.25">
      <c r="A100" s="976"/>
      <c r="B100" s="978"/>
      <c r="C100" s="974"/>
      <c r="D100" s="974"/>
      <c r="E100" s="978"/>
      <c r="F100" s="974"/>
      <c r="G100" s="358"/>
      <c r="H100" s="359"/>
      <c r="I100" s="358"/>
      <c r="J100" s="359"/>
      <c r="K100" s="358"/>
      <c r="L100" s="359"/>
      <c r="M100" s="358"/>
      <c r="N100" s="359"/>
      <c r="O100" s="358"/>
      <c r="P100" s="359"/>
    </row>
    <row r="101" spans="1:16" ht="20.100000000000001" customHeight="1" x14ac:dyDescent="0.25">
      <c r="A101" s="976"/>
      <c r="B101" s="978"/>
      <c r="C101" s="974"/>
      <c r="D101" s="974"/>
      <c r="E101" s="978"/>
      <c r="F101" s="974"/>
      <c r="G101" s="360"/>
      <c r="H101" s="361"/>
      <c r="I101" s="360"/>
      <c r="J101" s="361"/>
      <c r="K101" s="360"/>
      <c r="L101" s="361"/>
      <c r="M101" s="360"/>
      <c r="N101" s="361"/>
      <c r="O101" s="360"/>
      <c r="P101" s="361"/>
    </row>
    <row r="102" spans="1:16" ht="20.100000000000001" customHeight="1" x14ac:dyDescent="0.25">
      <c r="A102" s="976"/>
      <c r="B102" s="978"/>
      <c r="C102" s="974"/>
      <c r="D102" s="974"/>
      <c r="E102" s="978"/>
      <c r="F102" s="974"/>
      <c r="G102" s="362"/>
      <c r="H102" s="363"/>
      <c r="I102" s="362"/>
      <c r="J102" s="363"/>
      <c r="K102" s="362"/>
      <c r="L102" s="363"/>
      <c r="M102" s="362"/>
      <c r="N102" s="363"/>
      <c r="O102" s="362"/>
      <c r="P102" s="363"/>
    </row>
    <row r="103" spans="1:16" ht="20.100000000000001" customHeight="1" x14ac:dyDescent="0.25">
      <c r="A103" s="976"/>
      <c r="B103" s="979"/>
      <c r="C103" s="975"/>
      <c r="D103" s="975"/>
      <c r="E103" s="979"/>
      <c r="F103" s="975"/>
      <c r="G103" s="450" t="s">
        <v>86</v>
      </c>
      <c r="H103" s="364">
        <f>SUM(H97:H102)</f>
        <v>0</v>
      </c>
      <c r="I103" s="450" t="s">
        <v>86</v>
      </c>
      <c r="J103" s="364">
        <f>SUM(J97:J102)</f>
        <v>0</v>
      </c>
      <c r="K103" s="450" t="s">
        <v>86</v>
      </c>
      <c r="L103" s="364">
        <f>SUM(L97:L102)</f>
        <v>0</v>
      </c>
      <c r="M103" s="450" t="s">
        <v>86</v>
      </c>
      <c r="N103" s="364">
        <f>SUM(N97:N102)</f>
        <v>0</v>
      </c>
      <c r="O103" s="450" t="s">
        <v>86</v>
      </c>
      <c r="P103" s="364">
        <f>SUM(P97:P102)</f>
        <v>0</v>
      </c>
    </row>
    <row r="104" spans="1:16" ht="20.100000000000001" customHeight="1" x14ac:dyDescent="0.25">
      <c r="A104" s="976" t="s">
        <v>492</v>
      </c>
      <c r="B104" s="977">
        <f>H110</f>
        <v>0</v>
      </c>
      <c r="C104" s="973">
        <f>J110</f>
        <v>0</v>
      </c>
      <c r="D104" s="973">
        <f>L110</f>
        <v>0</v>
      </c>
      <c r="E104" s="977">
        <f>N110</f>
        <v>0</v>
      </c>
      <c r="F104" s="973">
        <f>P110</f>
        <v>0</v>
      </c>
      <c r="G104" s="358"/>
      <c r="H104" s="359"/>
      <c r="I104" s="358"/>
      <c r="J104" s="359"/>
      <c r="K104" s="358"/>
      <c r="L104" s="359"/>
      <c r="M104" s="358"/>
      <c r="N104" s="359"/>
      <c r="O104" s="358"/>
      <c r="P104" s="359"/>
    </row>
    <row r="105" spans="1:16" ht="20.100000000000001" customHeight="1" x14ac:dyDescent="0.25">
      <c r="A105" s="976"/>
      <c r="B105" s="978"/>
      <c r="C105" s="974"/>
      <c r="D105" s="974"/>
      <c r="E105" s="978"/>
      <c r="F105" s="974"/>
      <c r="G105" s="358"/>
      <c r="H105" s="359"/>
      <c r="I105" s="358"/>
      <c r="J105" s="359"/>
      <c r="K105" s="358"/>
      <c r="L105" s="359"/>
      <c r="M105" s="358"/>
      <c r="N105" s="359"/>
      <c r="O105" s="358"/>
      <c r="P105" s="359"/>
    </row>
    <row r="106" spans="1:16" ht="20.100000000000001" customHeight="1" x14ac:dyDescent="0.25">
      <c r="A106" s="976"/>
      <c r="B106" s="978"/>
      <c r="C106" s="974"/>
      <c r="D106" s="974"/>
      <c r="E106" s="978"/>
      <c r="F106" s="974"/>
      <c r="G106" s="358"/>
      <c r="H106" s="359"/>
      <c r="I106" s="358"/>
      <c r="J106" s="359"/>
      <c r="K106" s="358"/>
      <c r="L106" s="359"/>
      <c r="M106" s="358"/>
      <c r="N106" s="359"/>
      <c r="O106" s="358"/>
      <c r="P106" s="359"/>
    </row>
    <row r="107" spans="1:16" ht="20.100000000000001" customHeight="1" x14ac:dyDescent="0.25">
      <c r="A107" s="976"/>
      <c r="B107" s="978"/>
      <c r="C107" s="974"/>
      <c r="D107" s="974"/>
      <c r="E107" s="978"/>
      <c r="F107" s="974"/>
      <c r="G107" s="358"/>
      <c r="H107" s="359"/>
      <c r="I107" s="358"/>
      <c r="J107" s="359"/>
      <c r="K107" s="358"/>
      <c r="L107" s="359"/>
      <c r="M107" s="358"/>
      <c r="N107" s="359"/>
      <c r="O107" s="358"/>
      <c r="P107" s="359"/>
    </row>
    <row r="108" spans="1:16" ht="20.100000000000001" customHeight="1" x14ac:dyDescent="0.25">
      <c r="A108" s="976"/>
      <c r="B108" s="978"/>
      <c r="C108" s="974"/>
      <c r="D108" s="974"/>
      <c r="E108" s="978"/>
      <c r="F108" s="974"/>
      <c r="G108" s="360"/>
      <c r="H108" s="361"/>
      <c r="I108" s="360"/>
      <c r="J108" s="361"/>
      <c r="K108" s="360"/>
      <c r="L108" s="361"/>
      <c r="M108" s="360"/>
      <c r="N108" s="361"/>
      <c r="O108" s="360"/>
      <c r="P108" s="361"/>
    </row>
    <row r="109" spans="1:16" ht="20.100000000000001" customHeight="1" x14ac:dyDescent="0.25">
      <c r="A109" s="976"/>
      <c r="B109" s="978"/>
      <c r="C109" s="974"/>
      <c r="D109" s="974"/>
      <c r="E109" s="978"/>
      <c r="F109" s="974"/>
      <c r="G109" s="362"/>
      <c r="H109" s="363"/>
      <c r="I109" s="362"/>
      <c r="J109" s="363"/>
      <c r="K109" s="362"/>
      <c r="L109" s="363"/>
      <c r="M109" s="362"/>
      <c r="N109" s="363"/>
      <c r="O109" s="362"/>
      <c r="P109" s="363"/>
    </row>
    <row r="110" spans="1:16" ht="20.100000000000001" customHeight="1" x14ac:dyDescent="0.25">
      <c r="A110" s="976"/>
      <c r="B110" s="979"/>
      <c r="C110" s="975"/>
      <c r="D110" s="975"/>
      <c r="E110" s="979"/>
      <c r="F110" s="975"/>
      <c r="G110" s="450" t="s">
        <v>86</v>
      </c>
      <c r="H110" s="364">
        <f>SUM(H104:H109)</f>
        <v>0</v>
      </c>
      <c r="I110" s="450" t="s">
        <v>86</v>
      </c>
      <c r="J110" s="364">
        <f>SUM(J104:J109)</f>
        <v>0</v>
      </c>
      <c r="K110" s="450" t="s">
        <v>86</v>
      </c>
      <c r="L110" s="364">
        <f>SUM(L104:L109)</f>
        <v>0</v>
      </c>
      <c r="M110" s="450" t="s">
        <v>86</v>
      </c>
      <c r="N110" s="364">
        <f>SUM(N104:N109)</f>
        <v>0</v>
      </c>
      <c r="O110" s="450" t="s">
        <v>86</v>
      </c>
      <c r="P110" s="364">
        <f>SUM(P104:P109)</f>
        <v>0</v>
      </c>
    </row>
    <row r="111" spans="1:16" ht="20.100000000000001" customHeight="1" x14ac:dyDescent="0.25">
      <c r="A111" s="976">
        <v>16</v>
      </c>
      <c r="B111" s="977">
        <f>H117</f>
        <v>0</v>
      </c>
      <c r="C111" s="973">
        <f>J117</f>
        <v>0</v>
      </c>
      <c r="D111" s="973">
        <f>L117</f>
        <v>0</v>
      </c>
      <c r="E111" s="977">
        <f>N117</f>
        <v>0</v>
      </c>
      <c r="F111" s="973">
        <f>P117</f>
        <v>0</v>
      </c>
      <c r="G111" s="358"/>
      <c r="H111" s="359"/>
      <c r="I111" s="358"/>
      <c r="J111" s="359"/>
      <c r="K111" s="358"/>
      <c r="L111" s="359"/>
      <c r="M111" s="358"/>
      <c r="N111" s="359"/>
      <c r="O111" s="358"/>
      <c r="P111" s="359"/>
    </row>
    <row r="112" spans="1:16" ht="20.100000000000001" customHeight="1" x14ac:dyDescent="0.25">
      <c r="A112" s="976"/>
      <c r="B112" s="978"/>
      <c r="C112" s="974"/>
      <c r="D112" s="974"/>
      <c r="E112" s="978"/>
      <c r="F112" s="974"/>
      <c r="G112" s="358"/>
      <c r="H112" s="359"/>
      <c r="I112" s="358"/>
      <c r="J112" s="359"/>
      <c r="K112" s="358"/>
      <c r="L112" s="359"/>
      <c r="M112" s="358"/>
      <c r="N112" s="359"/>
      <c r="O112" s="358"/>
      <c r="P112" s="359"/>
    </row>
    <row r="113" spans="1:16" ht="20.100000000000001" customHeight="1" x14ac:dyDescent="0.25">
      <c r="A113" s="976"/>
      <c r="B113" s="978"/>
      <c r="C113" s="974"/>
      <c r="D113" s="974"/>
      <c r="E113" s="978"/>
      <c r="F113" s="974"/>
      <c r="G113" s="358"/>
      <c r="H113" s="359"/>
      <c r="I113" s="358"/>
      <c r="J113" s="359"/>
      <c r="K113" s="358"/>
      <c r="L113" s="359"/>
      <c r="M113" s="358"/>
      <c r="N113" s="359"/>
      <c r="O113" s="358"/>
      <c r="P113" s="359"/>
    </row>
    <row r="114" spans="1:16" ht="20.100000000000001" customHeight="1" x14ac:dyDescent="0.25">
      <c r="A114" s="976"/>
      <c r="B114" s="978"/>
      <c r="C114" s="974"/>
      <c r="D114" s="974"/>
      <c r="E114" s="978"/>
      <c r="F114" s="974"/>
      <c r="G114" s="358"/>
      <c r="H114" s="359"/>
      <c r="I114" s="358"/>
      <c r="J114" s="359"/>
      <c r="K114" s="358"/>
      <c r="L114" s="359"/>
      <c r="M114" s="358"/>
      <c r="N114" s="359"/>
      <c r="O114" s="358"/>
      <c r="P114" s="359"/>
    </row>
    <row r="115" spans="1:16" ht="20.100000000000001" customHeight="1" x14ac:dyDescent="0.25">
      <c r="A115" s="976"/>
      <c r="B115" s="978"/>
      <c r="C115" s="974"/>
      <c r="D115" s="974"/>
      <c r="E115" s="978"/>
      <c r="F115" s="974"/>
      <c r="G115" s="360"/>
      <c r="H115" s="361"/>
      <c r="I115" s="360"/>
      <c r="J115" s="361"/>
      <c r="K115" s="360"/>
      <c r="L115" s="361"/>
      <c r="M115" s="360"/>
      <c r="N115" s="361"/>
      <c r="O115" s="360"/>
      <c r="P115" s="361"/>
    </row>
    <row r="116" spans="1:16" ht="17.25" x14ac:dyDescent="0.25">
      <c r="A116" s="976"/>
      <c r="B116" s="978"/>
      <c r="C116" s="974"/>
      <c r="D116" s="974"/>
      <c r="E116" s="978"/>
      <c r="F116" s="974"/>
      <c r="G116" s="362"/>
      <c r="H116" s="363"/>
      <c r="I116" s="362"/>
      <c r="J116" s="363"/>
      <c r="K116" s="362"/>
      <c r="L116" s="363"/>
      <c r="M116" s="362"/>
      <c r="N116" s="363"/>
      <c r="O116" s="362"/>
      <c r="P116" s="363"/>
    </row>
    <row r="117" spans="1:16" ht="20.100000000000001" customHeight="1" x14ac:dyDescent="0.25">
      <c r="A117" s="976"/>
      <c r="B117" s="979"/>
      <c r="C117" s="975"/>
      <c r="D117" s="975"/>
      <c r="E117" s="979"/>
      <c r="F117" s="975"/>
      <c r="G117" s="450" t="s">
        <v>86</v>
      </c>
      <c r="H117" s="364">
        <f>SUM(H111:H116)</f>
        <v>0</v>
      </c>
      <c r="I117" s="450" t="s">
        <v>86</v>
      </c>
      <c r="J117" s="364">
        <f>SUM(J111:J116)</f>
        <v>0</v>
      </c>
      <c r="K117" s="450" t="s">
        <v>86</v>
      </c>
      <c r="L117" s="364">
        <f>SUM(L111:L116)</f>
        <v>0</v>
      </c>
      <c r="M117" s="450" t="s">
        <v>86</v>
      </c>
      <c r="N117" s="364">
        <f>SUM(N111:N116)</f>
        <v>0</v>
      </c>
      <c r="O117" s="450" t="s">
        <v>86</v>
      </c>
      <c r="P117" s="364">
        <f>SUM(P111:P116)</f>
        <v>0</v>
      </c>
    </row>
    <row r="118" spans="1:16" ht="20.100000000000001" customHeight="1" x14ac:dyDescent="0.25">
      <c r="A118" s="976">
        <v>17</v>
      </c>
      <c r="B118" s="977">
        <f>H124</f>
        <v>0</v>
      </c>
      <c r="C118" s="973">
        <f>J124</f>
        <v>0</v>
      </c>
      <c r="D118" s="973">
        <f>L124</f>
        <v>0</v>
      </c>
      <c r="E118" s="977">
        <f>N124</f>
        <v>6100</v>
      </c>
      <c r="F118" s="973">
        <f>P124</f>
        <v>0</v>
      </c>
      <c r="G118" s="358"/>
      <c r="H118" s="359"/>
      <c r="I118" s="358"/>
      <c r="J118" s="359"/>
      <c r="K118" s="358"/>
      <c r="L118" s="359"/>
      <c r="M118" s="358" t="s">
        <v>558</v>
      </c>
      <c r="N118" s="359">
        <v>6100</v>
      </c>
      <c r="O118" s="358"/>
      <c r="P118" s="359"/>
    </row>
    <row r="119" spans="1:16" ht="20.100000000000001" customHeight="1" x14ac:dyDescent="0.25">
      <c r="A119" s="976"/>
      <c r="B119" s="978"/>
      <c r="C119" s="974"/>
      <c r="D119" s="974"/>
      <c r="E119" s="978"/>
      <c r="F119" s="974"/>
      <c r="G119" s="358"/>
      <c r="H119" s="359"/>
      <c r="I119" s="358"/>
      <c r="J119" s="359"/>
      <c r="K119" s="358"/>
      <c r="L119" s="359"/>
      <c r="M119" s="358"/>
      <c r="N119" s="359"/>
      <c r="O119" s="358"/>
      <c r="P119" s="359"/>
    </row>
    <row r="120" spans="1:16" ht="20.100000000000001" customHeight="1" x14ac:dyDescent="0.25">
      <c r="A120" s="976"/>
      <c r="B120" s="978"/>
      <c r="C120" s="974"/>
      <c r="D120" s="974"/>
      <c r="E120" s="978"/>
      <c r="F120" s="974"/>
      <c r="G120" s="358"/>
      <c r="H120" s="359"/>
      <c r="I120" s="358"/>
      <c r="J120" s="359"/>
      <c r="K120" s="358"/>
      <c r="L120" s="359"/>
      <c r="M120" s="358"/>
      <c r="N120" s="359"/>
      <c r="O120" s="358"/>
      <c r="P120" s="359"/>
    </row>
    <row r="121" spans="1:16" ht="20.100000000000001" customHeight="1" x14ac:dyDescent="0.25">
      <c r="A121" s="976"/>
      <c r="B121" s="978"/>
      <c r="C121" s="974"/>
      <c r="D121" s="974"/>
      <c r="E121" s="978"/>
      <c r="F121" s="974"/>
      <c r="G121" s="358"/>
      <c r="H121" s="359"/>
      <c r="I121" s="358"/>
      <c r="J121" s="359"/>
      <c r="K121" s="358"/>
      <c r="L121" s="359"/>
      <c r="M121" s="358"/>
      <c r="N121" s="359"/>
      <c r="O121" s="358"/>
      <c r="P121" s="359"/>
    </row>
    <row r="122" spans="1:16" ht="20.100000000000001" customHeight="1" x14ac:dyDescent="0.25">
      <c r="A122" s="976"/>
      <c r="B122" s="978"/>
      <c r="C122" s="974"/>
      <c r="D122" s="974"/>
      <c r="E122" s="978"/>
      <c r="F122" s="974"/>
      <c r="G122" s="360"/>
      <c r="H122" s="361"/>
      <c r="I122" s="360"/>
      <c r="J122" s="361"/>
      <c r="K122" s="360"/>
      <c r="L122" s="361"/>
      <c r="M122" s="360"/>
      <c r="N122" s="361"/>
      <c r="O122" s="360"/>
      <c r="P122" s="361"/>
    </row>
    <row r="123" spans="1:16" ht="20.100000000000001" customHeight="1" x14ac:dyDescent="0.25">
      <c r="A123" s="976"/>
      <c r="B123" s="978"/>
      <c r="C123" s="974"/>
      <c r="D123" s="974"/>
      <c r="E123" s="978"/>
      <c r="F123" s="974"/>
      <c r="G123" s="362"/>
      <c r="H123" s="363"/>
      <c r="I123" s="362"/>
      <c r="J123" s="363"/>
      <c r="K123" s="362"/>
      <c r="L123" s="363"/>
      <c r="M123" s="362"/>
      <c r="N123" s="363"/>
      <c r="O123" s="362"/>
      <c r="P123" s="363"/>
    </row>
    <row r="124" spans="1:16" ht="20.100000000000001" customHeight="1" x14ac:dyDescent="0.25">
      <c r="A124" s="976"/>
      <c r="B124" s="979"/>
      <c r="C124" s="975"/>
      <c r="D124" s="975"/>
      <c r="E124" s="979"/>
      <c r="F124" s="975"/>
      <c r="G124" s="450" t="s">
        <v>86</v>
      </c>
      <c r="H124" s="364">
        <f>SUM(H118:H123)</f>
        <v>0</v>
      </c>
      <c r="I124" s="450" t="s">
        <v>86</v>
      </c>
      <c r="J124" s="364">
        <f>SUM(J118:J123)</f>
        <v>0</v>
      </c>
      <c r="K124" s="450" t="s">
        <v>86</v>
      </c>
      <c r="L124" s="364">
        <f>SUM(L118:L123)</f>
        <v>0</v>
      </c>
      <c r="M124" s="450" t="s">
        <v>86</v>
      </c>
      <c r="N124" s="364">
        <f>SUM(N118:N123)</f>
        <v>6100</v>
      </c>
      <c r="O124" s="450" t="s">
        <v>86</v>
      </c>
      <c r="P124" s="364">
        <f>SUM(P118:P123)</f>
        <v>0</v>
      </c>
    </row>
    <row r="125" spans="1:16" ht="20.100000000000001" customHeight="1" x14ac:dyDescent="0.25">
      <c r="A125" s="976">
        <v>18</v>
      </c>
      <c r="B125" s="977">
        <f>H131</f>
        <v>0</v>
      </c>
      <c r="C125" s="973">
        <f>J131</f>
        <v>0</v>
      </c>
      <c r="D125" s="973">
        <f>L131</f>
        <v>0</v>
      </c>
      <c r="E125" s="977">
        <f>N131</f>
        <v>9400</v>
      </c>
      <c r="F125" s="973">
        <f>P131</f>
        <v>0</v>
      </c>
      <c r="G125" s="358"/>
      <c r="H125" s="359"/>
      <c r="I125" s="358"/>
      <c r="J125" s="359"/>
      <c r="K125" s="358"/>
      <c r="L125" s="359"/>
      <c r="M125" s="358" t="s">
        <v>559</v>
      </c>
      <c r="N125" s="359">
        <v>9400</v>
      </c>
      <c r="O125" s="358"/>
      <c r="P125" s="359"/>
    </row>
    <row r="126" spans="1:16" ht="20.100000000000001" customHeight="1" x14ac:dyDescent="0.25">
      <c r="A126" s="976"/>
      <c r="B126" s="978"/>
      <c r="C126" s="974"/>
      <c r="D126" s="974"/>
      <c r="E126" s="978"/>
      <c r="F126" s="974"/>
      <c r="G126" s="358"/>
      <c r="H126" s="359"/>
      <c r="I126" s="358"/>
      <c r="J126" s="359"/>
      <c r="K126" s="358"/>
      <c r="L126" s="359"/>
      <c r="M126" s="358"/>
      <c r="N126" s="359"/>
      <c r="O126" s="358"/>
      <c r="P126" s="359"/>
    </row>
    <row r="127" spans="1:16" ht="20.100000000000001" customHeight="1" x14ac:dyDescent="0.25">
      <c r="A127" s="976"/>
      <c r="B127" s="978"/>
      <c r="C127" s="974"/>
      <c r="D127" s="974"/>
      <c r="E127" s="978"/>
      <c r="F127" s="974"/>
      <c r="G127" s="358"/>
      <c r="H127" s="359"/>
      <c r="I127" s="358"/>
      <c r="J127" s="359"/>
      <c r="K127" s="358"/>
      <c r="L127" s="359"/>
      <c r="M127" s="358"/>
      <c r="N127" s="359"/>
      <c r="O127" s="358"/>
      <c r="P127" s="359"/>
    </row>
    <row r="128" spans="1:16" ht="20.100000000000001" customHeight="1" x14ac:dyDescent="0.25">
      <c r="A128" s="976"/>
      <c r="B128" s="978"/>
      <c r="C128" s="974"/>
      <c r="D128" s="974"/>
      <c r="E128" s="978"/>
      <c r="F128" s="974"/>
      <c r="G128" s="358"/>
      <c r="H128" s="359"/>
      <c r="I128" s="358"/>
      <c r="J128" s="359"/>
      <c r="K128" s="358"/>
      <c r="L128" s="359"/>
      <c r="M128" s="358"/>
      <c r="N128" s="359"/>
      <c r="O128" s="358"/>
      <c r="P128" s="359"/>
    </row>
    <row r="129" spans="1:16" ht="20.100000000000001" customHeight="1" x14ac:dyDescent="0.25">
      <c r="A129" s="976"/>
      <c r="B129" s="978"/>
      <c r="C129" s="974"/>
      <c r="D129" s="974"/>
      <c r="E129" s="978"/>
      <c r="F129" s="974"/>
      <c r="G129" s="360"/>
      <c r="H129" s="361"/>
      <c r="I129" s="360"/>
      <c r="J129" s="361"/>
      <c r="K129" s="360"/>
      <c r="L129" s="361"/>
      <c r="M129" s="360"/>
      <c r="N129" s="361"/>
      <c r="O129" s="360"/>
      <c r="P129" s="361"/>
    </row>
    <row r="130" spans="1:16" ht="20.100000000000001" customHeight="1" x14ac:dyDescent="0.25">
      <c r="A130" s="976"/>
      <c r="B130" s="978"/>
      <c r="C130" s="974"/>
      <c r="D130" s="974"/>
      <c r="E130" s="978"/>
      <c r="F130" s="974"/>
      <c r="G130" s="362"/>
      <c r="H130" s="363"/>
      <c r="I130" s="362"/>
      <c r="J130" s="363"/>
      <c r="K130" s="362"/>
      <c r="L130" s="363"/>
      <c r="M130" s="362"/>
      <c r="N130" s="363"/>
      <c r="O130" s="362"/>
      <c r="P130" s="363"/>
    </row>
    <row r="131" spans="1:16" ht="20.100000000000001" customHeight="1" x14ac:dyDescent="0.25">
      <c r="A131" s="976"/>
      <c r="B131" s="979"/>
      <c r="C131" s="975"/>
      <c r="D131" s="975"/>
      <c r="E131" s="979"/>
      <c r="F131" s="975"/>
      <c r="G131" s="450" t="s">
        <v>86</v>
      </c>
      <c r="H131" s="364">
        <f>SUM(H125:H130)</f>
        <v>0</v>
      </c>
      <c r="I131" s="450" t="s">
        <v>86</v>
      </c>
      <c r="J131" s="364">
        <f>SUM(J125:J130)</f>
        <v>0</v>
      </c>
      <c r="K131" s="450" t="s">
        <v>86</v>
      </c>
      <c r="L131" s="364">
        <f>SUM(L125:L130)</f>
        <v>0</v>
      </c>
      <c r="M131" s="450" t="s">
        <v>86</v>
      </c>
      <c r="N131" s="364">
        <f>SUM(N125:N130)</f>
        <v>9400</v>
      </c>
      <c r="O131" s="450" t="s">
        <v>86</v>
      </c>
      <c r="P131" s="364">
        <f>SUM(P125:P130)</f>
        <v>0</v>
      </c>
    </row>
    <row r="132" spans="1:16" ht="20.100000000000001" customHeight="1" x14ac:dyDescent="0.25">
      <c r="A132" s="976">
        <v>19</v>
      </c>
      <c r="B132" s="977">
        <f>H138</f>
        <v>0</v>
      </c>
      <c r="C132" s="973">
        <f>J138</f>
        <v>0</v>
      </c>
      <c r="D132" s="973">
        <f>L138</f>
        <v>0</v>
      </c>
      <c r="E132" s="977">
        <f>N138</f>
        <v>0</v>
      </c>
      <c r="F132" s="973">
        <f>P138</f>
        <v>0</v>
      </c>
      <c r="G132" s="358"/>
      <c r="H132" s="359"/>
      <c r="I132" s="358"/>
      <c r="J132" s="359"/>
      <c r="K132" s="358"/>
      <c r="L132" s="359"/>
      <c r="M132" s="358"/>
      <c r="N132" s="359"/>
      <c r="O132" s="358"/>
      <c r="P132" s="359"/>
    </row>
    <row r="133" spans="1:16" ht="20.100000000000001" customHeight="1" x14ac:dyDescent="0.25">
      <c r="A133" s="976"/>
      <c r="B133" s="978"/>
      <c r="C133" s="974"/>
      <c r="D133" s="974"/>
      <c r="E133" s="978"/>
      <c r="F133" s="974"/>
      <c r="G133" s="358"/>
      <c r="H133" s="359"/>
      <c r="I133" s="358"/>
      <c r="J133" s="359"/>
      <c r="K133" s="358"/>
      <c r="L133" s="359"/>
      <c r="M133" s="358"/>
      <c r="N133" s="359"/>
      <c r="O133" s="358"/>
      <c r="P133" s="359"/>
    </row>
    <row r="134" spans="1:16" ht="20.100000000000001" customHeight="1" x14ac:dyDescent="0.25">
      <c r="A134" s="976"/>
      <c r="B134" s="978"/>
      <c r="C134" s="974"/>
      <c r="D134" s="974"/>
      <c r="E134" s="978"/>
      <c r="F134" s="974"/>
      <c r="G134" s="358"/>
      <c r="H134" s="359"/>
      <c r="I134" s="358"/>
      <c r="J134" s="359"/>
      <c r="K134" s="358"/>
      <c r="L134" s="359"/>
      <c r="M134" s="358"/>
      <c r="N134" s="359"/>
      <c r="O134" s="358"/>
      <c r="P134" s="359"/>
    </row>
    <row r="135" spans="1:16" ht="20.100000000000001" customHeight="1" x14ac:dyDescent="0.25">
      <c r="A135" s="976"/>
      <c r="B135" s="978"/>
      <c r="C135" s="974"/>
      <c r="D135" s="974"/>
      <c r="E135" s="978"/>
      <c r="F135" s="974"/>
      <c r="G135" s="358"/>
      <c r="H135" s="359"/>
      <c r="I135" s="358"/>
      <c r="J135" s="359"/>
      <c r="K135" s="358"/>
      <c r="L135" s="359"/>
      <c r="M135" s="358"/>
      <c r="N135" s="359"/>
      <c r="O135" s="358"/>
      <c r="P135" s="359"/>
    </row>
    <row r="136" spans="1:16" ht="20.100000000000001" customHeight="1" x14ac:dyDescent="0.25">
      <c r="A136" s="976"/>
      <c r="B136" s="978"/>
      <c r="C136" s="974"/>
      <c r="D136" s="974"/>
      <c r="E136" s="978"/>
      <c r="F136" s="974"/>
      <c r="G136" s="360"/>
      <c r="H136" s="361"/>
      <c r="I136" s="360"/>
      <c r="J136" s="361"/>
      <c r="K136" s="360"/>
      <c r="L136" s="361"/>
      <c r="M136" s="360"/>
      <c r="N136" s="361"/>
      <c r="O136" s="360"/>
      <c r="P136" s="361"/>
    </row>
    <row r="137" spans="1:16" ht="20.100000000000001" customHeight="1" x14ac:dyDescent="0.25">
      <c r="A137" s="976"/>
      <c r="B137" s="978"/>
      <c r="C137" s="974"/>
      <c r="D137" s="974"/>
      <c r="E137" s="978"/>
      <c r="F137" s="974"/>
      <c r="G137" s="362"/>
      <c r="H137" s="363"/>
      <c r="I137" s="362"/>
      <c r="J137" s="363"/>
      <c r="K137" s="362"/>
      <c r="L137" s="363"/>
      <c r="M137" s="362"/>
      <c r="N137" s="363"/>
      <c r="O137" s="362"/>
      <c r="P137" s="363"/>
    </row>
    <row r="138" spans="1:16" ht="20.100000000000001" customHeight="1" x14ac:dyDescent="0.25">
      <c r="A138" s="976"/>
      <c r="B138" s="979"/>
      <c r="C138" s="975"/>
      <c r="D138" s="975"/>
      <c r="E138" s="979"/>
      <c r="F138" s="975"/>
      <c r="G138" s="450" t="s">
        <v>86</v>
      </c>
      <c r="H138" s="364">
        <f>SUM(H132:H137)</f>
        <v>0</v>
      </c>
      <c r="I138" s="450" t="s">
        <v>86</v>
      </c>
      <c r="J138" s="364">
        <f>SUM(J132:J137)</f>
        <v>0</v>
      </c>
      <c r="K138" s="450" t="s">
        <v>86</v>
      </c>
      <c r="L138" s="364">
        <f>SUM(L132:L137)</f>
        <v>0</v>
      </c>
      <c r="M138" s="450" t="s">
        <v>86</v>
      </c>
      <c r="N138" s="364">
        <f>SUM(N132:N137)</f>
        <v>0</v>
      </c>
      <c r="O138" s="450" t="s">
        <v>86</v>
      </c>
      <c r="P138" s="364">
        <f>SUM(P132:P137)</f>
        <v>0</v>
      </c>
    </row>
    <row r="139" spans="1:16" ht="20.100000000000001" customHeight="1" x14ac:dyDescent="0.25">
      <c r="A139" s="976">
        <v>20</v>
      </c>
      <c r="B139" s="977">
        <f>H145</f>
        <v>0</v>
      </c>
      <c r="C139" s="973">
        <f>J145</f>
        <v>0</v>
      </c>
      <c r="D139" s="973">
        <f>L145</f>
        <v>0</v>
      </c>
      <c r="E139" s="977">
        <f>N145</f>
        <v>0</v>
      </c>
      <c r="F139" s="973">
        <f>P145</f>
        <v>0</v>
      </c>
      <c r="G139" s="358"/>
      <c r="H139" s="359"/>
      <c r="I139" s="358"/>
      <c r="J139" s="359"/>
      <c r="K139" s="358"/>
      <c r="L139" s="359"/>
      <c r="M139" s="358"/>
      <c r="N139" s="359"/>
      <c r="O139" s="358"/>
      <c r="P139" s="359"/>
    </row>
    <row r="140" spans="1:16" ht="20.100000000000001" customHeight="1" x14ac:dyDescent="0.25">
      <c r="A140" s="976"/>
      <c r="B140" s="978"/>
      <c r="C140" s="974"/>
      <c r="D140" s="974"/>
      <c r="E140" s="978"/>
      <c r="F140" s="974"/>
      <c r="G140" s="358"/>
      <c r="H140" s="359"/>
      <c r="I140" s="358"/>
      <c r="J140" s="359"/>
      <c r="K140" s="358"/>
      <c r="L140" s="359"/>
      <c r="M140" s="358"/>
      <c r="N140" s="359"/>
      <c r="O140" s="358"/>
      <c r="P140" s="359"/>
    </row>
    <row r="141" spans="1:16" ht="20.100000000000001" customHeight="1" x14ac:dyDescent="0.25">
      <c r="A141" s="976"/>
      <c r="B141" s="978"/>
      <c r="C141" s="974"/>
      <c r="D141" s="974"/>
      <c r="E141" s="978"/>
      <c r="F141" s="974"/>
      <c r="G141" s="358"/>
      <c r="H141" s="359"/>
      <c r="I141" s="358"/>
      <c r="J141" s="359"/>
      <c r="K141" s="358"/>
      <c r="L141" s="359"/>
      <c r="M141" s="358"/>
      <c r="N141" s="359"/>
      <c r="O141" s="358"/>
      <c r="P141" s="359"/>
    </row>
    <row r="142" spans="1:16" ht="20.100000000000001" customHeight="1" x14ac:dyDescent="0.25">
      <c r="A142" s="976"/>
      <c r="B142" s="978"/>
      <c r="C142" s="974"/>
      <c r="D142" s="974"/>
      <c r="E142" s="978"/>
      <c r="F142" s="974"/>
      <c r="G142" s="358"/>
      <c r="H142" s="359"/>
      <c r="I142" s="358"/>
      <c r="J142" s="359"/>
      <c r="K142" s="358"/>
      <c r="L142" s="359"/>
      <c r="M142" s="358"/>
      <c r="N142" s="359"/>
      <c r="O142" s="358"/>
      <c r="P142" s="359"/>
    </row>
    <row r="143" spans="1:16" ht="20.100000000000001" customHeight="1" x14ac:dyDescent="0.25">
      <c r="A143" s="976"/>
      <c r="B143" s="978"/>
      <c r="C143" s="974"/>
      <c r="D143" s="974"/>
      <c r="E143" s="978"/>
      <c r="F143" s="974"/>
      <c r="G143" s="360"/>
      <c r="H143" s="361"/>
      <c r="I143" s="360"/>
      <c r="J143" s="361"/>
      <c r="K143" s="360"/>
      <c r="L143" s="361"/>
      <c r="M143" s="360"/>
      <c r="N143" s="361"/>
      <c r="O143" s="360"/>
      <c r="P143" s="361"/>
    </row>
    <row r="144" spans="1:16" ht="20.100000000000001" customHeight="1" x14ac:dyDescent="0.25">
      <c r="A144" s="976"/>
      <c r="B144" s="978"/>
      <c r="C144" s="974"/>
      <c r="D144" s="974"/>
      <c r="E144" s="978"/>
      <c r="F144" s="974"/>
      <c r="G144" s="362"/>
      <c r="H144" s="363"/>
      <c r="I144" s="362"/>
      <c r="J144" s="363"/>
      <c r="K144" s="362"/>
      <c r="L144" s="363"/>
      <c r="M144" s="362"/>
      <c r="N144" s="363"/>
      <c r="O144" s="362"/>
      <c r="P144" s="363"/>
    </row>
    <row r="145" spans="1:16" ht="20.100000000000001" customHeight="1" x14ac:dyDescent="0.25">
      <c r="A145" s="976"/>
      <c r="B145" s="979"/>
      <c r="C145" s="975"/>
      <c r="D145" s="975"/>
      <c r="E145" s="979"/>
      <c r="F145" s="975"/>
      <c r="G145" s="450" t="s">
        <v>86</v>
      </c>
      <c r="H145" s="364">
        <f>SUM(H139:H144)</f>
        <v>0</v>
      </c>
      <c r="I145" s="450" t="s">
        <v>86</v>
      </c>
      <c r="J145" s="364">
        <f>SUM(J139:J144)</f>
        <v>0</v>
      </c>
      <c r="K145" s="450" t="s">
        <v>86</v>
      </c>
      <c r="L145" s="364">
        <f>SUM(L139:L144)</f>
        <v>0</v>
      </c>
      <c r="M145" s="450" t="s">
        <v>86</v>
      </c>
      <c r="N145" s="364">
        <f>SUM(N139:N144)</f>
        <v>0</v>
      </c>
      <c r="O145" s="450" t="s">
        <v>86</v>
      </c>
      <c r="P145" s="364">
        <f>SUM(P139:P144)</f>
        <v>0</v>
      </c>
    </row>
    <row r="146" spans="1:16" ht="20.100000000000001" customHeight="1" x14ac:dyDescent="0.25">
      <c r="A146" s="976">
        <v>21</v>
      </c>
      <c r="B146" s="977">
        <f>H152</f>
        <v>0</v>
      </c>
      <c r="C146" s="973">
        <f>J152</f>
        <v>0</v>
      </c>
      <c r="D146" s="973">
        <f>L152</f>
        <v>0</v>
      </c>
      <c r="E146" s="977">
        <f>N152</f>
        <v>0</v>
      </c>
      <c r="F146" s="973">
        <f>P152</f>
        <v>0</v>
      </c>
      <c r="G146" s="358"/>
      <c r="H146" s="359"/>
      <c r="I146" s="358"/>
      <c r="J146" s="359"/>
      <c r="K146" s="358"/>
      <c r="L146" s="359"/>
      <c r="M146" s="358"/>
      <c r="N146" s="359"/>
      <c r="O146" s="358"/>
      <c r="P146" s="359"/>
    </row>
    <row r="147" spans="1:16" ht="20.100000000000001" customHeight="1" x14ac:dyDescent="0.25">
      <c r="A147" s="976"/>
      <c r="B147" s="978"/>
      <c r="C147" s="974"/>
      <c r="D147" s="974"/>
      <c r="E147" s="978"/>
      <c r="F147" s="974"/>
      <c r="G147" s="358"/>
      <c r="H147" s="359"/>
      <c r="I147" s="358"/>
      <c r="J147" s="359"/>
      <c r="K147" s="358"/>
      <c r="L147" s="359"/>
      <c r="M147" s="358"/>
      <c r="N147" s="359"/>
      <c r="O147" s="358"/>
      <c r="P147" s="359"/>
    </row>
    <row r="148" spans="1:16" ht="20.100000000000001" customHeight="1" x14ac:dyDescent="0.25">
      <c r="A148" s="976"/>
      <c r="B148" s="978"/>
      <c r="C148" s="974"/>
      <c r="D148" s="974"/>
      <c r="E148" s="978"/>
      <c r="F148" s="974"/>
      <c r="G148" s="358"/>
      <c r="H148" s="359"/>
      <c r="I148" s="358"/>
      <c r="J148" s="359"/>
      <c r="K148" s="358"/>
      <c r="L148" s="359"/>
      <c r="M148" s="358"/>
      <c r="N148" s="359"/>
      <c r="O148" s="358"/>
      <c r="P148" s="359"/>
    </row>
    <row r="149" spans="1:16" ht="20.100000000000001" customHeight="1" x14ac:dyDescent="0.25">
      <c r="A149" s="976"/>
      <c r="B149" s="978"/>
      <c r="C149" s="974"/>
      <c r="D149" s="974"/>
      <c r="E149" s="978"/>
      <c r="F149" s="974"/>
      <c r="G149" s="358"/>
      <c r="H149" s="359"/>
      <c r="I149" s="358"/>
      <c r="J149" s="359"/>
      <c r="K149" s="358"/>
      <c r="L149" s="359"/>
      <c r="M149" s="358"/>
      <c r="N149" s="359"/>
      <c r="O149" s="358"/>
      <c r="P149" s="359"/>
    </row>
    <row r="150" spans="1:16" ht="20.100000000000001" customHeight="1" x14ac:dyDescent="0.25">
      <c r="A150" s="976"/>
      <c r="B150" s="978"/>
      <c r="C150" s="974"/>
      <c r="D150" s="974"/>
      <c r="E150" s="978"/>
      <c r="F150" s="974"/>
      <c r="G150" s="360"/>
      <c r="H150" s="361"/>
      <c r="I150" s="360"/>
      <c r="J150" s="361"/>
      <c r="K150" s="360"/>
      <c r="L150" s="361"/>
      <c r="M150" s="360"/>
      <c r="N150" s="361"/>
      <c r="O150" s="360"/>
      <c r="P150" s="361"/>
    </row>
    <row r="151" spans="1:16" ht="20.100000000000001" customHeight="1" x14ac:dyDescent="0.25">
      <c r="A151" s="976"/>
      <c r="B151" s="978"/>
      <c r="C151" s="974"/>
      <c r="D151" s="974"/>
      <c r="E151" s="978"/>
      <c r="F151" s="974"/>
      <c r="G151" s="362"/>
      <c r="H151" s="363"/>
      <c r="I151" s="362"/>
      <c r="J151" s="363"/>
      <c r="K151" s="362"/>
      <c r="L151" s="363"/>
      <c r="M151" s="362"/>
      <c r="N151" s="363"/>
      <c r="O151" s="362"/>
      <c r="P151" s="363"/>
    </row>
    <row r="152" spans="1:16" ht="20.100000000000001" customHeight="1" x14ac:dyDescent="0.25">
      <c r="A152" s="976"/>
      <c r="B152" s="979"/>
      <c r="C152" s="975"/>
      <c r="D152" s="975"/>
      <c r="E152" s="979"/>
      <c r="F152" s="975"/>
      <c r="G152" s="450" t="s">
        <v>86</v>
      </c>
      <c r="H152" s="364">
        <f>SUM(H146:H151)</f>
        <v>0</v>
      </c>
      <c r="I152" s="450" t="s">
        <v>86</v>
      </c>
      <c r="J152" s="364">
        <f>SUM(J146:J151)</f>
        <v>0</v>
      </c>
      <c r="K152" s="450" t="s">
        <v>86</v>
      </c>
      <c r="L152" s="364">
        <f>SUM(L146:L151)</f>
        <v>0</v>
      </c>
      <c r="M152" s="450" t="s">
        <v>86</v>
      </c>
      <c r="N152" s="364">
        <f>SUM(N146:N151)</f>
        <v>0</v>
      </c>
      <c r="O152" s="450" t="s">
        <v>86</v>
      </c>
      <c r="P152" s="364">
        <f>SUM(P146:P151)</f>
        <v>0</v>
      </c>
    </row>
    <row r="153" spans="1:16" ht="20.100000000000001" customHeight="1" x14ac:dyDescent="0.25">
      <c r="A153" s="976">
        <v>22</v>
      </c>
      <c r="B153" s="977">
        <f>H159</f>
        <v>0</v>
      </c>
      <c r="C153" s="973">
        <f>J159</f>
        <v>0</v>
      </c>
      <c r="D153" s="973">
        <f>L159</f>
        <v>0</v>
      </c>
      <c r="E153" s="977">
        <f>N159</f>
        <v>0</v>
      </c>
      <c r="F153" s="973">
        <f>P159</f>
        <v>0</v>
      </c>
      <c r="G153" s="358"/>
      <c r="H153" s="359"/>
      <c r="I153" s="358"/>
      <c r="J153" s="359"/>
      <c r="K153" s="358"/>
      <c r="L153" s="359"/>
      <c r="M153" s="358"/>
      <c r="N153" s="359"/>
      <c r="O153" s="358"/>
      <c r="P153" s="359"/>
    </row>
    <row r="154" spans="1:16" ht="20.100000000000001" customHeight="1" x14ac:dyDescent="0.25">
      <c r="A154" s="976"/>
      <c r="B154" s="978"/>
      <c r="C154" s="974"/>
      <c r="D154" s="974"/>
      <c r="E154" s="978"/>
      <c r="F154" s="974"/>
      <c r="G154" s="358"/>
      <c r="H154" s="359"/>
      <c r="I154" s="358"/>
      <c r="J154" s="359"/>
      <c r="K154" s="358"/>
      <c r="L154" s="359"/>
      <c r="M154" s="358"/>
      <c r="N154" s="359"/>
      <c r="O154" s="358"/>
      <c r="P154" s="359"/>
    </row>
    <row r="155" spans="1:16" ht="20.100000000000001" customHeight="1" x14ac:dyDescent="0.25">
      <c r="A155" s="976"/>
      <c r="B155" s="978"/>
      <c r="C155" s="974"/>
      <c r="D155" s="974"/>
      <c r="E155" s="978"/>
      <c r="F155" s="974"/>
      <c r="G155" s="358"/>
      <c r="H155" s="359"/>
      <c r="I155" s="358"/>
      <c r="J155" s="359"/>
      <c r="K155" s="358"/>
      <c r="L155" s="359"/>
      <c r="M155" s="358"/>
      <c r="N155" s="359"/>
      <c r="O155" s="358"/>
      <c r="P155" s="359"/>
    </row>
    <row r="156" spans="1:16" ht="20.100000000000001" customHeight="1" x14ac:dyDescent="0.25">
      <c r="A156" s="976"/>
      <c r="B156" s="978"/>
      <c r="C156" s="974"/>
      <c r="D156" s="974"/>
      <c r="E156" s="978"/>
      <c r="F156" s="974"/>
      <c r="G156" s="358"/>
      <c r="H156" s="359"/>
      <c r="I156" s="358"/>
      <c r="J156" s="359"/>
      <c r="K156" s="358"/>
      <c r="L156" s="359"/>
      <c r="M156" s="358"/>
      <c r="N156" s="359"/>
      <c r="O156" s="358"/>
      <c r="P156" s="359"/>
    </row>
    <row r="157" spans="1:16" ht="20.100000000000001" customHeight="1" x14ac:dyDescent="0.25">
      <c r="A157" s="976"/>
      <c r="B157" s="978"/>
      <c r="C157" s="974"/>
      <c r="D157" s="974"/>
      <c r="E157" s="978"/>
      <c r="F157" s="974"/>
      <c r="G157" s="360"/>
      <c r="H157" s="361"/>
      <c r="I157" s="360"/>
      <c r="J157" s="361"/>
      <c r="K157" s="360"/>
      <c r="L157" s="361"/>
      <c r="M157" s="360"/>
      <c r="N157" s="361"/>
      <c r="O157" s="360"/>
      <c r="P157" s="361"/>
    </row>
    <row r="158" spans="1:16" ht="20.100000000000001" customHeight="1" x14ac:dyDescent="0.25">
      <c r="A158" s="976"/>
      <c r="B158" s="978"/>
      <c r="C158" s="974"/>
      <c r="D158" s="974"/>
      <c r="E158" s="978"/>
      <c r="F158" s="974"/>
      <c r="G158" s="362"/>
      <c r="H158" s="363"/>
      <c r="I158" s="362"/>
      <c r="J158" s="363"/>
      <c r="K158" s="362"/>
      <c r="L158" s="363"/>
      <c r="M158" s="362"/>
      <c r="N158" s="363"/>
      <c r="O158" s="362"/>
      <c r="P158" s="363"/>
    </row>
    <row r="159" spans="1:16" ht="20.100000000000001" customHeight="1" x14ac:dyDescent="0.25">
      <c r="A159" s="976"/>
      <c r="B159" s="979"/>
      <c r="C159" s="975"/>
      <c r="D159" s="975"/>
      <c r="E159" s="979"/>
      <c r="F159" s="975"/>
      <c r="G159" s="450" t="s">
        <v>86</v>
      </c>
      <c r="H159" s="364">
        <f>SUM(H153:H158)</f>
        <v>0</v>
      </c>
      <c r="I159" s="450" t="s">
        <v>86</v>
      </c>
      <c r="J159" s="364">
        <f>SUM(J153:J158)</f>
        <v>0</v>
      </c>
      <c r="K159" s="450" t="s">
        <v>86</v>
      </c>
      <c r="L159" s="364">
        <f>SUM(L153:L158)</f>
        <v>0</v>
      </c>
      <c r="M159" s="450" t="s">
        <v>86</v>
      </c>
      <c r="N159" s="364">
        <f>SUM(N153:N158)</f>
        <v>0</v>
      </c>
      <c r="O159" s="450" t="s">
        <v>86</v>
      </c>
      <c r="P159" s="364">
        <f>SUM(P153:P158)</f>
        <v>0</v>
      </c>
    </row>
    <row r="160" spans="1:16" ht="20.100000000000001" customHeight="1" x14ac:dyDescent="0.25">
      <c r="A160" s="976">
        <v>23</v>
      </c>
      <c r="B160" s="977">
        <f>H166</f>
        <v>0</v>
      </c>
      <c r="C160" s="973">
        <f>J166</f>
        <v>0</v>
      </c>
      <c r="D160" s="973">
        <f>L166</f>
        <v>0</v>
      </c>
      <c r="E160" s="977">
        <f>N166</f>
        <v>0</v>
      </c>
      <c r="F160" s="973">
        <f>P166</f>
        <v>0</v>
      </c>
      <c r="G160" s="358"/>
      <c r="H160" s="359"/>
      <c r="I160" s="358"/>
      <c r="J160" s="359"/>
      <c r="K160" s="358"/>
      <c r="L160" s="359"/>
      <c r="M160" s="358"/>
      <c r="N160" s="359"/>
      <c r="O160" s="358"/>
      <c r="P160" s="359"/>
    </row>
    <row r="161" spans="1:16" ht="20.100000000000001" customHeight="1" x14ac:dyDescent="0.25">
      <c r="A161" s="976"/>
      <c r="B161" s="978"/>
      <c r="C161" s="974"/>
      <c r="D161" s="974"/>
      <c r="E161" s="978"/>
      <c r="F161" s="974"/>
      <c r="G161" s="358"/>
      <c r="H161" s="359"/>
      <c r="I161" s="358"/>
      <c r="J161" s="359"/>
      <c r="K161" s="358"/>
      <c r="L161" s="359"/>
      <c r="M161" s="358"/>
      <c r="N161" s="359"/>
      <c r="O161" s="358"/>
      <c r="P161" s="359"/>
    </row>
    <row r="162" spans="1:16" ht="20.100000000000001" customHeight="1" x14ac:dyDescent="0.25">
      <c r="A162" s="976"/>
      <c r="B162" s="978"/>
      <c r="C162" s="974"/>
      <c r="D162" s="974"/>
      <c r="E162" s="978"/>
      <c r="F162" s="974"/>
      <c r="G162" s="358"/>
      <c r="H162" s="359"/>
      <c r="I162" s="358"/>
      <c r="J162" s="359"/>
      <c r="K162" s="358"/>
      <c r="L162" s="359"/>
      <c r="M162" s="358"/>
      <c r="N162" s="359"/>
      <c r="O162" s="358"/>
      <c r="P162" s="359"/>
    </row>
    <row r="163" spans="1:16" ht="20.100000000000001" customHeight="1" x14ac:dyDescent="0.25">
      <c r="A163" s="976"/>
      <c r="B163" s="978"/>
      <c r="C163" s="974"/>
      <c r="D163" s="974"/>
      <c r="E163" s="978"/>
      <c r="F163" s="974"/>
      <c r="G163" s="358"/>
      <c r="H163" s="359"/>
      <c r="I163" s="358"/>
      <c r="J163" s="359"/>
      <c r="K163" s="358"/>
      <c r="L163" s="359"/>
      <c r="M163" s="358"/>
      <c r="N163" s="359"/>
      <c r="O163" s="358"/>
      <c r="P163" s="359"/>
    </row>
    <row r="164" spans="1:16" ht="20.100000000000001" customHeight="1" x14ac:dyDescent="0.25">
      <c r="A164" s="976"/>
      <c r="B164" s="978"/>
      <c r="C164" s="974"/>
      <c r="D164" s="974"/>
      <c r="E164" s="978"/>
      <c r="F164" s="974"/>
      <c r="G164" s="360"/>
      <c r="H164" s="361"/>
      <c r="I164" s="360"/>
      <c r="J164" s="361"/>
      <c r="K164" s="360"/>
      <c r="L164" s="361"/>
      <c r="M164" s="360"/>
      <c r="N164" s="361"/>
      <c r="O164" s="360"/>
      <c r="P164" s="361"/>
    </row>
    <row r="165" spans="1:16" ht="20.100000000000001" customHeight="1" x14ac:dyDescent="0.25">
      <c r="A165" s="976"/>
      <c r="B165" s="978"/>
      <c r="C165" s="974"/>
      <c r="D165" s="974"/>
      <c r="E165" s="978"/>
      <c r="F165" s="974"/>
      <c r="G165" s="362"/>
      <c r="H165" s="363"/>
      <c r="I165" s="362"/>
      <c r="J165" s="363"/>
      <c r="K165" s="362"/>
      <c r="L165" s="363"/>
      <c r="M165" s="362"/>
      <c r="N165" s="363"/>
      <c r="O165" s="362"/>
      <c r="P165" s="363"/>
    </row>
    <row r="166" spans="1:16" ht="20.100000000000001" customHeight="1" x14ac:dyDescent="0.25">
      <c r="A166" s="976"/>
      <c r="B166" s="979"/>
      <c r="C166" s="975"/>
      <c r="D166" s="975"/>
      <c r="E166" s="979"/>
      <c r="F166" s="975"/>
      <c r="G166" s="450" t="s">
        <v>86</v>
      </c>
      <c r="H166" s="364">
        <f>SUM(H160:H165)</f>
        <v>0</v>
      </c>
      <c r="I166" s="450" t="s">
        <v>86</v>
      </c>
      <c r="J166" s="364">
        <f>SUM(J160:J165)</f>
        <v>0</v>
      </c>
      <c r="K166" s="450" t="s">
        <v>86</v>
      </c>
      <c r="L166" s="364">
        <f>SUM(L160:L165)</f>
        <v>0</v>
      </c>
      <c r="M166" s="450" t="s">
        <v>86</v>
      </c>
      <c r="N166" s="364">
        <f>SUM(N160:N165)</f>
        <v>0</v>
      </c>
      <c r="O166" s="450" t="s">
        <v>86</v>
      </c>
      <c r="P166" s="364">
        <f>SUM(P160:P165)</f>
        <v>0</v>
      </c>
    </row>
    <row r="167" spans="1:16" ht="20.100000000000001" customHeight="1" x14ac:dyDescent="0.25">
      <c r="A167" s="976">
        <v>24</v>
      </c>
      <c r="B167" s="977">
        <f>H173</f>
        <v>0</v>
      </c>
      <c r="C167" s="973">
        <f>J173</f>
        <v>0</v>
      </c>
      <c r="D167" s="973">
        <f>L173</f>
        <v>0</v>
      </c>
      <c r="E167" s="977">
        <f>N173</f>
        <v>0</v>
      </c>
      <c r="F167" s="973">
        <f>P173</f>
        <v>0</v>
      </c>
      <c r="G167" s="358"/>
      <c r="H167" s="359"/>
      <c r="I167" s="358"/>
      <c r="J167" s="359"/>
      <c r="K167" s="358"/>
      <c r="L167" s="359"/>
      <c r="M167" s="358"/>
      <c r="N167" s="359"/>
      <c r="O167" s="358"/>
      <c r="P167" s="359"/>
    </row>
    <row r="168" spans="1:16" ht="20.100000000000001" customHeight="1" x14ac:dyDescent="0.25">
      <c r="A168" s="976"/>
      <c r="B168" s="978"/>
      <c r="C168" s="974"/>
      <c r="D168" s="974"/>
      <c r="E168" s="978"/>
      <c r="F168" s="974"/>
      <c r="G168" s="358"/>
      <c r="H168" s="359"/>
      <c r="I168" s="358"/>
      <c r="J168" s="359"/>
      <c r="K168" s="358"/>
      <c r="L168" s="359"/>
      <c r="M168" s="358"/>
      <c r="N168" s="359"/>
      <c r="O168" s="358"/>
      <c r="P168" s="359"/>
    </row>
    <row r="169" spans="1:16" ht="20.100000000000001" customHeight="1" x14ac:dyDescent="0.25">
      <c r="A169" s="976"/>
      <c r="B169" s="978"/>
      <c r="C169" s="974"/>
      <c r="D169" s="974"/>
      <c r="E169" s="978"/>
      <c r="F169" s="974"/>
      <c r="G169" s="358"/>
      <c r="H169" s="359"/>
      <c r="I169" s="358"/>
      <c r="J169" s="359"/>
      <c r="K169" s="358"/>
      <c r="L169" s="359"/>
      <c r="M169" s="358"/>
      <c r="N169" s="359"/>
      <c r="O169" s="358"/>
      <c r="P169" s="359"/>
    </row>
    <row r="170" spans="1:16" ht="20.100000000000001" customHeight="1" x14ac:dyDescent="0.25">
      <c r="A170" s="976"/>
      <c r="B170" s="978"/>
      <c r="C170" s="974"/>
      <c r="D170" s="974"/>
      <c r="E170" s="978"/>
      <c r="F170" s="974"/>
      <c r="G170" s="358"/>
      <c r="H170" s="359"/>
      <c r="I170" s="358"/>
      <c r="J170" s="359"/>
      <c r="K170" s="358"/>
      <c r="L170" s="359"/>
      <c r="M170" s="358"/>
      <c r="N170" s="359"/>
      <c r="O170" s="358"/>
      <c r="P170" s="359"/>
    </row>
    <row r="171" spans="1:16" ht="20.100000000000001" customHeight="1" x14ac:dyDescent="0.25">
      <c r="A171" s="976"/>
      <c r="B171" s="978"/>
      <c r="C171" s="974"/>
      <c r="D171" s="974"/>
      <c r="E171" s="978"/>
      <c r="F171" s="974"/>
      <c r="G171" s="360"/>
      <c r="H171" s="361"/>
      <c r="I171" s="360"/>
      <c r="J171" s="361"/>
      <c r="K171" s="360"/>
      <c r="L171" s="361"/>
      <c r="M171" s="360"/>
      <c r="N171" s="361"/>
      <c r="O171" s="360"/>
      <c r="P171" s="361"/>
    </row>
    <row r="172" spans="1:16" ht="20.100000000000001" customHeight="1" x14ac:dyDescent="0.25">
      <c r="A172" s="976"/>
      <c r="B172" s="978"/>
      <c r="C172" s="974"/>
      <c r="D172" s="974"/>
      <c r="E172" s="978"/>
      <c r="F172" s="974"/>
      <c r="G172" s="362"/>
      <c r="H172" s="363"/>
      <c r="I172" s="362"/>
      <c r="J172" s="363"/>
      <c r="K172" s="362"/>
      <c r="L172" s="363"/>
      <c r="M172" s="362"/>
      <c r="N172" s="363"/>
      <c r="O172" s="362"/>
      <c r="P172" s="363"/>
    </row>
    <row r="173" spans="1:16" ht="20.100000000000001" customHeight="1" x14ac:dyDescent="0.25">
      <c r="A173" s="976"/>
      <c r="B173" s="979"/>
      <c r="C173" s="975"/>
      <c r="D173" s="975"/>
      <c r="E173" s="979"/>
      <c r="F173" s="975"/>
      <c r="G173" s="450" t="s">
        <v>86</v>
      </c>
      <c r="H173" s="364">
        <f>SUM(H167:H172)</f>
        <v>0</v>
      </c>
      <c r="I173" s="450" t="s">
        <v>86</v>
      </c>
      <c r="J173" s="364">
        <f>SUM(J167:J172)</f>
        <v>0</v>
      </c>
      <c r="K173" s="450" t="s">
        <v>86</v>
      </c>
      <c r="L173" s="364">
        <f>SUM(L167:L172)</f>
        <v>0</v>
      </c>
      <c r="M173" s="450" t="s">
        <v>86</v>
      </c>
      <c r="N173" s="364">
        <f>SUM(N167:N172)</f>
        <v>0</v>
      </c>
      <c r="O173" s="450" t="s">
        <v>86</v>
      </c>
      <c r="P173" s="364">
        <f>SUM(P167:P172)</f>
        <v>0</v>
      </c>
    </row>
    <row r="174" spans="1:16" ht="20.100000000000001" customHeight="1" x14ac:dyDescent="0.25">
      <c r="A174" s="976">
        <v>25</v>
      </c>
      <c r="B174" s="977">
        <f>H180</f>
        <v>0</v>
      </c>
      <c r="C174" s="973">
        <f>J180</f>
        <v>0</v>
      </c>
      <c r="D174" s="973">
        <f>L180</f>
        <v>0</v>
      </c>
      <c r="E174" s="977">
        <f>N180</f>
        <v>0</v>
      </c>
      <c r="F174" s="973">
        <f>P180</f>
        <v>0</v>
      </c>
      <c r="G174" s="358"/>
      <c r="H174" s="359"/>
      <c r="I174" s="358"/>
      <c r="J174" s="359"/>
      <c r="K174" s="358"/>
      <c r="L174" s="359"/>
      <c r="M174" s="358"/>
      <c r="N174" s="359"/>
      <c r="O174" s="358"/>
      <c r="P174" s="359"/>
    </row>
    <row r="175" spans="1:16" ht="20.100000000000001" customHeight="1" x14ac:dyDescent="0.25">
      <c r="A175" s="976"/>
      <c r="B175" s="978"/>
      <c r="C175" s="974"/>
      <c r="D175" s="974"/>
      <c r="E175" s="978"/>
      <c r="F175" s="974"/>
      <c r="G175" s="358"/>
      <c r="H175" s="359"/>
      <c r="I175" s="358"/>
      <c r="J175" s="359"/>
      <c r="K175" s="358"/>
      <c r="L175" s="359"/>
      <c r="M175" s="358"/>
      <c r="N175" s="359"/>
      <c r="O175" s="358"/>
      <c r="P175" s="359"/>
    </row>
    <row r="176" spans="1:16" ht="20.100000000000001" customHeight="1" x14ac:dyDescent="0.25">
      <c r="A176" s="976"/>
      <c r="B176" s="978"/>
      <c r="C176" s="974"/>
      <c r="D176" s="974"/>
      <c r="E176" s="978"/>
      <c r="F176" s="974"/>
      <c r="G176" s="358"/>
      <c r="H176" s="359"/>
      <c r="I176" s="358"/>
      <c r="J176" s="359"/>
      <c r="K176" s="358"/>
      <c r="L176" s="359"/>
      <c r="M176" s="358"/>
      <c r="N176" s="359"/>
      <c r="O176" s="358"/>
      <c r="P176" s="359"/>
    </row>
    <row r="177" spans="1:16" ht="20.100000000000001" customHeight="1" x14ac:dyDescent="0.25">
      <c r="A177" s="976"/>
      <c r="B177" s="978"/>
      <c r="C177" s="974"/>
      <c r="D177" s="974"/>
      <c r="E177" s="978"/>
      <c r="F177" s="974"/>
      <c r="G177" s="358"/>
      <c r="H177" s="359"/>
      <c r="I177" s="358"/>
      <c r="J177" s="359"/>
      <c r="K177" s="358"/>
      <c r="L177" s="359"/>
      <c r="M177" s="358"/>
      <c r="N177" s="359"/>
      <c r="O177" s="358"/>
      <c r="P177" s="359"/>
    </row>
    <row r="178" spans="1:16" ht="20.100000000000001" customHeight="1" x14ac:dyDescent="0.25">
      <c r="A178" s="976"/>
      <c r="B178" s="978"/>
      <c r="C178" s="974"/>
      <c r="D178" s="974"/>
      <c r="E178" s="978"/>
      <c r="F178" s="974"/>
      <c r="G178" s="360"/>
      <c r="H178" s="361"/>
      <c r="I178" s="360"/>
      <c r="J178" s="361"/>
      <c r="K178" s="360"/>
      <c r="L178" s="361"/>
      <c r="M178" s="360"/>
      <c r="N178" s="361"/>
      <c r="O178" s="360"/>
      <c r="P178" s="361"/>
    </row>
    <row r="179" spans="1:16" ht="20.100000000000001" customHeight="1" x14ac:dyDescent="0.25">
      <c r="A179" s="976"/>
      <c r="B179" s="978"/>
      <c r="C179" s="974"/>
      <c r="D179" s="974"/>
      <c r="E179" s="978"/>
      <c r="F179" s="974"/>
      <c r="G179" s="362"/>
      <c r="H179" s="363"/>
      <c r="I179" s="362"/>
      <c r="J179" s="363"/>
      <c r="K179" s="362"/>
      <c r="L179" s="363"/>
      <c r="M179" s="362"/>
      <c r="N179" s="363"/>
      <c r="O179" s="362"/>
      <c r="P179" s="363"/>
    </row>
    <row r="180" spans="1:16" ht="20.100000000000001" customHeight="1" x14ac:dyDescent="0.25">
      <c r="A180" s="976"/>
      <c r="B180" s="979"/>
      <c r="C180" s="975"/>
      <c r="D180" s="975"/>
      <c r="E180" s="979"/>
      <c r="F180" s="975"/>
      <c r="G180" s="450" t="s">
        <v>86</v>
      </c>
      <c r="H180" s="364">
        <f>SUM(H174:H179)</f>
        <v>0</v>
      </c>
      <c r="I180" s="450" t="s">
        <v>86</v>
      </c>
      <c r="J180" s="364">
        <f>SUM(J174:J179)</f>
        <v>0</v>
      </c>
      <c r="K180" s="450" t="s">
        <v>86</v>
      </c>
      <c r="L180" s="364">
        <f>SUM(L174:L179)</f>
        <v>0</v>
      </c>
      <c r="M180" s="450" t="s">
        <v>86</v>
      </c>
      <c r="N180" s="364">
        <f>SUM(N174:N179)</f>
        <v>0</v>
      </c>
      <c r="O180" s="450" t="s">
        <v>86</v>
      </c>
      <c r="P180" s="364">
        <f>SUM(P174:P179)</f>
        <v>0</v>
      </c>
    </row>
    <row r="181" spans="1:16" ht="20.100000000000001" customHeight="1" x14ac:dyDescent="0.25">
      <c r="A181" s="976">
        <v>26</v>
      </c>
      <c r="B181" s="977">
        <f>H187</f>
        <v>0</v>
      </c>
      <c r="C181" s="973">
        <f>J187</f>
        <v>0</v>
      </c>
      <c r="D181" s="973">
        <f>L187</f>
        <v>0</v>
      </c>
      <c r="E181" s="977">
        <f>N187</f>
        <v>0</v>
      </c>
      <c r="F181" s="973">
        <f>P187</f>
        <v>0</v>
      </c>
      <c r="G181" s="358"/>
      <c r="H181" s="359"/>
      <c r="I181" s="358"/>
      <c r="J181" s="359"/>
      <c r="K181" s="358"/>
      <c r="L181" s="359"/>
      <c r="M181" s="358"/>
      <c r="N181" s="359"/>
      <c r="O181" s="358"/>
      <c r="P181" s="359"/>
    </row>
    <row r="182" spans="1:16" ht="20.100000000000001" customHeight="1" x14ac:dyDescent="0.25">
      <c r="A182" s="976"/>
      <c r="B182" s="978"/>
      <c r="C182" s="974"/>
      <c r="D182" s="974"/>
      <c r="E182" s="978"/>
      <c r="F182" s="974"/>
      <c r="G182" s="358"/>
      <c r="H182" s="359"/>
      <c r="I182" s="358"/>
      <c r="J182" s="359"/>
      <c r="K182" s="358"/>
      <c r="L182" s="359"/>
      <c r="M182" s="358"/>
      <c r="N182" s="359"/>
      <c r="O182" s="358"/>
      <c r="P182" s="359"/>
    </row>
    <row r="183" spans="1:16" ht="20.100000000000001" customHeight="1" x14ac:dyDescent="0.25">
      <c r="A183" s="976"/>
      <c r="B183" s="978"/>
      <c r="C183" s="974"/>
      <c r="D183" s="974"/>
      <c r="E183" s="978"/>
      <c r="F183" s="974"/>
      <c r="G183" s="358"/>
      <c r="H183" s="359"/>
      <c r="I183" s="358"/>
      <c r="J183" s="359"/>
      <c r="K183" s="358"/>
      <c r="L183" s="359"/>
      <c r="M183" s="358"/>
      <c r="N183" s="359"/>
      <c r="O183" s="358"/>
      <c r="P183" s="359"/>
    </row>
    <row r="184" spans="1:16" ht="20.100000000000001" customHeight="1" x14ac:dyDescent="0.25">
      <c r="A184" s="976"/>
      <c r="B184" s="978"/>
      <c r="C184" s="974"/>
      <c r="D184" s="974"/>
      <c r="E184" s="978"/>
      <c r="F184" s="974"/>
      <c r="G184" s="358"/>
      <c r="H184" s="359"/>
      <c r="I184" s="358"/>
      <c r="J184" s="359"/>
      <c r="K184" s="358"/>
      <c r="L184" s="359"/>
      <c r="M184" s="358"/>
      <c r="N184" s="359"/>
      <c r="O184" s="358"/>
      <c r="P184" s="359"/>
    </row>
    <row r="185" spans="1:16" ht="20.100000000000001" customHeight="1" x14ac:dyDescent="0.25">
      <c r="A185" s="976"/>
      <c r="B185" s="978"/>
      <c r="C185" s="974"/>
      <c r="D185" s="974"/>
      <c r="E185" s="978"/>
      <c r="F185" s="974"/>
      <c r="G185" s="360"/>
      <c r="H185" s="361"/>
      <c r="I185" s="360"/>
      <c r="J185" s="361"/>
      <c r="K185" s="360"/>
      <c r="L185" s="361"/>
      <c r="M185" s="360"/>
      <c r="N185" s="361"/>
      <c r="O185" s="360"/>
      <c r="P185" s="361"/>
    </row>
    <row r="186" spans="1:16" ht="20.100000000000001" customHeight="1" x14ac:dyDescent="0.25">
      <c r="A186" s="976"/>
      <c r="B186" s="978"/>
      <c r="C186" s="974"/>
      <c r="D186" s="974"/>
      <c r="E186" s="978"/>
      <c r="F186" s="974"/>
      <c r="G186" s="362"/>
      <c r="H186" s="363"/>
      <c r="I186" s="362"/>
      <c r="J186" s="363"/>
      <c r="K186" s="362"/>
      <c r="L186" s="363"/>
      <c r="M186" s="362"/>
      <c r="N186" s="363"/>
      <c r="O186" s="362"/>
      <c r="P186" s="363"/>
    </row>
    <row r="187" spans="1:16" ht="20.100000000000001" customHeight="1" x14ac:dyDescent="0.25">
      <c r="A187" s="976"/>
      <c r="B187" s="979"/>
      <c r="C187" s="975"/>
      <c r="D187" s="975"/>
      <c r="E187" s="979"/>
      <c r="F187" s="975"/>
      <c r="G187" s="450" t="s">
        <v>86</v>
      </c>
      <c r="H187" s="364">
        <f>SUM(H181:H186)</f>
        <v>0</v>
      </c>
      <c r="I187" s="450" t="s">
        <v>86</v>
      </c>
      <c r="J187" s="364">
        <f>SUM(J181:J186)</f>
        <v>0</v>
      </c>
      <c r="K187" s="450" t="s">
        <v>86</v>
      </c>
      <c r="L187" s="364">
        <f>SUM(L181:L186)</f>
        <v>0</v>
      </c>
      <c r="M187" s="450" t="s">
        <v>86</v>
      </c>
      <c r="N187" s="364">
        <f>SUM(N181:N186)</f>
        <v>0</v>
      </c>
      <c r="O187" s="450" t="s">
        <v>86</v>
      </c>
      <c r="P187" s="364">
        <f>SUM(P181:P186)</f>
        <v>0</v>
      </c>
    </row>
    <row r="188" spans="1:16" ht="20.100000000000001" customHeight="1" x14ac:dyDescent="0.25">
      <c r="A188" s="976">
        <v>27</v>
      </c>
      <c r="B188" s="977">
        <f>H194</f>
        <v>0</v>
      </c>
      <c r="C188" s="973">
        <f>J194</f>
        <v>0</v>
      </c>
      <c r="D188" s="973">
        <f>L194</f>
        <v>0</v>
      </c>
      <c r="E188" s="977">
        <f>N194</f>
        <v>0</v>
      </c>
      <c r="F188" s="973">
        <f>P194</f>
        <v>0</v>
      </c>
      <c r="G188" s="358"/>
      <c r="H188" s="359"/>
      <c r="I188" s="358"/>
      <c r="J188" s="359"/>
      <c r="K188" s="358"/>
      <c r="L188" s="359"/>
      <c r="M188" s="358"/>
      <c r="N188" s="359"/>
      <c r="O188" s="358"/>
      <c r="P188" s="359"/>
    </row>
    <row r="189" spans="1:16" ht="20.100000000000001" customHeight="1" x14ac:dyDescent="0.25">
      <c r="A189" s="976"/>
      <c r="B189" s="978"/>
      <c r="C189" s="974"/>
      <c r="D189" s="974"/>
      <c r="E189" s="978"/>
      <c r="F189" s="974"/>
      <c r="G189" s="358"/>
      <c r="H189" s="359"/>
      <c r="I189" s="358"/>
      <c r="J189" s="359"/>
      <c r="K189" s="358"/>
      <c r="L189" s="359"/>
      <c r="M189" s="358"/>
      <c r="N189" s="359"/>
      <c r="O189" s="358"/>
      <c r="P189" s="359"/>
    </row>
    <row r="190" spans="1:16" ht="20.100000000000001" customHeight="1" x14ac:dyDescent="0.25">
      <c r="A190" s="976"/>
      <c r="B190" s="978"/>
      <c r="C190" s="974"/>
      <c r="D190" s="974"/>
      <c r="E190" s="978"/>
      <c r="F190" s="974"/>
      <c r="G190" s="358"/>
      <c r="H190" s="359"/>
      <c r="I190" s="358"/>
      <c r="J190" s="359"/>
      <c r="K190" s="358"/>
      <c r="L190" s="359"/>
      <c r="M190" s="358"/>
      <c r="N190" s="359"/>
      <c r="O190" s="358"/>
      <c r="P190" s="359"/>
    </row>
    <row r="191" spans="1:16" ht="20.100000000000001" customHeight="1" x14ac:dyDescent="0.25">
      <c r="A191" s="976"/>
      <c r="B191" s="978"/>
      <c r="C191" s="974"/>
      <c r="D191" s="974"/>
      <c r="E191" s="978"/>
      <c r="F191" s="974"/>
      <c r="G191" s="358"/>
      <c r="H191" s="359"/>
      <c r="I191" s="358"/>
      <c r="J191" s="359"/>
      <c r="K191" s="358"/>
      <c r="L191" s="359"/>
      <c r="M191" s="358"/>
      <c r="N191" s="359"/>
      <c r="O191" s="358"/>
      <c r="P191" s="359"/>
    </row>
    <row r="192" spans="1:16" ht="20.100000000000001" customHeight="1" x14ac:dyDescent="0.25">
      <c r="A192" s="976"/>
      <c r="B192" s="978"/>
      <c r="C192" s="974"/>
      <c r="D192" s="974"/>
      <c r="E192" s="978"/>
      <c r="F192" s="974"/>
      <c r="G192" s="360"/>
      <c r="H192" s="361"/>
      <c r="I192" s="360"/>
      <c r="J192" s="361"/>
      <c r="K192" s="360"/>
      <c r="L192" s="361"/>
      <c r="M192" s="360"/>
      <c r="N192" s="361"/>
      <c r="O192" s="360"/>
      <c r="P192" s="361"/>
    </row>
    <row r="193" spans="1:16" ht="20.100000000000001" customHeight="1" x14ac:dyDescent="0.25">
      <c r="A193" s="976"/>
      <c r="B193" s="978"/>
      <c r="C193" s="974"/>
      <c r="D193" s="974"/>
      <c r="E193" s="978"/>
      <c r="F193" s="974"/>
      <c r="G193" s="362"/>
      <c r="H193" s="363"/>
      <c r="I193" s="362"/>
      <c r="J193" s="363"/>
      <c r="K193" s="362"/>
      <c r="L193" s="363"/>
      <c r="M193" s="362"/>
      <c r="N193" s="363"/>
      <c r="O193" s="362"/>
      <c r="P193" s="363"/>
    </row>
    <row r="194" spans="1:16" ht="20.100000000000001" customHeight="1" x14ac:dyDescent="0.25">
      <c r="A194" s="976"/>
      <c r="B194" s="979"/>
      <c r="C194" s="975"/>
      <c r="D194" s="975"/>
      <c r="E194" s="979"/>
      <c r="F194" s="975"/>
      <c r="G194" s="450" t="s">
        <v>86</v>
      </c>
      <c r="H194" s="364">
        <f>SUM(H188:H193)</f>
        <v>0</v>
      </c>
      <c r="I194" s="450" t="s">
        <v>86</v>
      </c>
      <c r="J194" s="364">
        <f>SUM(J188:J193)</f>
        <v>0</v>
      </c>
      <c r="K194" s="450" t="s">
        <v>86</v>
      </c>
      <c r="L194" s="364">
        <f>SUM(L188:L193)</f>
        <v>0</v>
      </c>
      <c r="M194" s="450" t="s">
        <v>86</v>
      </c>
      <c r="N194" s="364">
        <f>SUM(N188:N193)</f>
        <v>0</v>
      </c>
      <c r="O194" s="450" t="s">
        <v>86</v>
      </c>
      <c r="P194" s="364">
        <f>SUM(P188:P193)</f>
        <v>0</v>
      </c>
    </row>
    <row r="195" spans="1:16" ht="20.100000000000001" customHeight="1" x14ac:dyDescent="0.25">
      <c r="A195" s="976">
        <v>28</v>
      </c>
      <c r="B195" s="977">
        <f>H201</f>
        <v>0</v>
      </c>
      <c r="C195" s="973">
        <f>J201</f>
        <v>0</v>
      </c>
      <c r="D195" s="973">
        <f>L201</f>
        <v>0</v>
      </c>
      <c r="E195" s="977">
        <f>N201</f>
        <v>0</v>
      </c>
      <c r="F195" s="973">
        <f>P201</f>
        <v>0</v>
      </c>
      <c r="G195" s="358"/>
      <c r="H195" s="359"/>
      <c r="I195" s="358"/>
      <c r="J195" s="359"/>
      <c r="K195" s="358"/>
      <c r="L195" s="359"/>
      <c r="M195" s="358"/>
      <c r="N195" s="359"/>
      <c r="O195" s="358"/>
      <c r="P195" s="359"/>
    </row>
    <row r="196" spans="1:16" ht="20.100000000000001" customHeight="1" x14ac:dyDescent="0.25">
      <c r="A196" s="976"/>
      <c r="B196" s="978"/>
      <c r="C196" s="974"/>
      <c r="D196" s="974"/>
      <c r="E196" s="978"/>
      <c r="F196" s="974"/>
      <c r="G196" s="358"/>
      <c r="H196" s="359"/>
      <c r="I196" s="358"/>
      <c r="J196" s="359"/>
      <c r="K196" s="358"/>
      <c r="L196" s="359"/>
      <c r="M196" s="358"/>
      <c r="N196" s="359"/>
      <c r="O196" s="358"/>
      <c r="P196" s="359"/>
    </row>
    <row r="197" spans="1:16" ht="20.100000000000001" customHeight="1" x14ac:dyDescent="0.25">
      <c r="A197" s="976"/>
      <c r="B197" s="978"/>
      <c r="C197" s="974"/>
      <c r="D197" s="974"/>
      <c r="E197" s="978"/>
      <c r="F197" s="974"/>
      <c r="G197" s="358"/>
      <c r="H197" s="359"/>
      <c r="I197" s="358"/>
      <c r="J197" s="359"/>
      <c r="K197" s="358"/>
      <c r="L197" s="359"/>
      <c r="M197" s="358"/>
      <c r="N197" s="359"/>
      <c r="O197" s="358"/>
      <c r="P197" s="359"/>
    </row>
    <row r="198" spans="1:16" ht="20.100000000000001" customHeight="1" x14ac:dyDescent="0.25">
      <c r="A198" s="976"/>
      <c r="B198" s="978"/>
      <c r="C198" s="974"/>
      <c r="D198" s="974"/>
      <c r="E198" s="978"/>
      <c r="F198" s="974"/>
      <c r="G198" s="358"/>
      <c r="H198" s="359"/>
      <c r="I198" s="358"/>
      <c r="J198" s="359"/>
      <c r="K198" s="358"/>
      <c r="L198" s="359"/>
      <c r="M198" s="358"/>
      <c r="N198" s="359"/>
      <c r="O198" s="358"/>
      <c r="P198" s="359"/>
    </row>
    <row r="199" spans="1:16" ht="20.100000000000001" customHeight="1" x14ac:dyDescent="0.25">
      <c r="A199" s="976"/>
      <c r="B199" s="978"/>
      <c r="C199" s="974"/>
      <c r="D199" s="974"/>
      <c r="E199" s="978"/>
      <c r="F199" s="974"/>
      <c r="G199" s="360"/>
      <c r="H199" s="361"/>
      <c r="I199" s="360"/>
      <c r="J199" s="361"/>
      <c r="K199" s="360"/>
      <c r="L199" s="361"/>
      <c r="M199" s="360"/>
      <c r="N199" s="361"/>
      <c r="O199" s="360"/>
      <c r="P199" s="361"/>
    </row>
    <row r="200" spans="1:16" ht="20.100000000000001" customHeight="1" x14ac:dyDescent="0.25">
      <c r="A200" s="976"/>
      <c r="B200" s="978"/>
      <c r="C200" s="974"/>
      <c r="D200" s="974"/>
      <c r="E200" s="978"/>
      <c r="F200" s="974"/>
      <c r="G200" s="362"/>
      <c r="H200" s="363"/>
      <c r="I200" s="362"/>
      <c r="J200" s="363"/>
      <c r="K200" s="362"/>
      <c r="L200" s="363"/>
      <c r="M200" s="362"/>
      <c r="N200" s="363"/>
      <c r="O200" s="362"/>
      <c r="P200" s="363"/>
    </row>
    <row r="201" spans="1:16" ht="20.100000000000001" customHeight="1" x14ac:dyDescent="0.25">
      <c r="A201" s="976"/>
      <c r="B201" s="979"/>
      <c r="C201" s="975"/>
      <c r="D201" s="975"/>
      <c r="E201" s="979"/>
      <c r="F201" s="975"/>
      <c r="G201" s="450" t="s">
        <v>86</v>
      </c>
      <c r="H201" s="364">
        <f>SUM(H195:H200)</f>
        <v>0</v>
      </c>
      <c r="I201" s="450" t="s">
        <v>86</v>
      </c>
      <c r="J201" s="364">
        <f>SUM(J195:J200)</f>
        <v>0</v>
      </c>
      <c r="K201" s="450" t="s">
        <v>86</v>
      </c>
      <c r="L201" s="364">
        <f>SUM(L195:L200)</f>
        <v>0</v>
      </c>
      <c r="M201" s="450" t="s">
        <v>86</v>
      </c>
      <c r="N201" s="364">
        <f>SUM(N195:N200)</f>
        <v>0</v>
      </c>
      <c r="O201" s="450" t="s">
        <v>86</v>
      </c>
      <c r="P201" s="364">
        <f>SUM(P195:P200)</f>
        <v>0</v>
      </c>
    </row>
    <row r="202" spans="1:16" ht="20.100000000000001" customHeight="1" x14ac:dyDescent="0.25">
      <c r="A202" s="976">
        <v>29</v>
      </c>
      <c r="B202" s="977">
        <f>H208</f>
        <v>0</v>
      </c>
      <c r="C202" s="973">
        <f>J208</f>
        <v>0</v>
      </c>
      <c r="D202" s="973">
        <f>L208</f>
        <v>0</v>
      </c>
      <c r="E202" s="977">
        <f>N208</f>
        <v>0</v>
      </c>
      <c r="F202" s="973">
        <f>P208</f>
        <v>0</v>
      </c>
      <c r="G202" s="358"/>
      <c r="H202" s="359"/>
      <c r="I202" s="358"/>
      <c r="J202" s="359"/>
      <c r="K202" s="358"/>
      <c r="L202" s="359"/>
      <c r="M202" s="358"/>
      <c r="N202" s="359"/>
      <c r="O202" s="358"/>
      <c r="P202" s="359"/>
    </row>
    <row r="203" spans="1:16" ht="20.100000000000001" customHeight="1" x14ac:dyDescent="0.25">
      <c r="A203" s="976"/>
      <c r="B203" s="978"/>
      <c r="C203" s="974"/>
      <c r="D203" s="974"/>
      <c r="E203" s="978"/>
      <c r="F203" s="974"/>
      <c r="G203" s="358"/>
      <c r="H203" s="359"/>
      <c r="I203" s="358"/>
      <c r="J203" s="359"/>
      <c r="K203" s="358"/>
      <c r="L203" s="359"/>
      <c r="M203" s="358"/>
      <c r="N203" s="359"/>
      <c r="O203" s="358"/>
      <c r="P203" s="359"/>
    </row>
    <row r="204" spans="1:16" ht="20.100000000000001" customHeight="1" x14ac:dyDescent="0.25">
      <c r="A204" s="976"/>
      <c r="B204" s="978"/>
      <c r="C204" s="974"/>
      <c r="D204" s="974"/>
      <c r="E204" s="978"/>
      <c r="F204" s="974"/>
      <c r="G204" s="358"/>
      <c r="H204" s="359"/>
      <c r="I204" s="358"/>
      <c r="J204" s="359"/>
      <c r="K204" s="358"/>
      <c r="L204" s="359"/>
      <c r="M204" s="358"/>
      <c r="N204" s="359"/>
      <c r="O204" s="358"/>
      <c r="P204" s="359"/>
    </row>
    <row r="205" spans="1:16" ht="20.100000000000001" customHeight="1" x14ac:dyDescent="0.25">
      <c r="A205" s="976"/>
      <c r="B205" s="978"/>
      <c r="C205" s="974"/>
      <c r="D205" s="974"/>
      <c r="E205" s="978"/>
      <c r="F205" s="974"/>
      <c r="G205" s="358"/>
      <c r="H205" s="359"/>
      <c r="I205" s="358"/>
      <c r="J205" s="359"/>
      <c r="K205" s="358"/>
      <c r="L205" s="359"/>
      <c r="M205" s="358"/>
      <c r="N205" s="359"/>
      <c r="O205" s="358"/>
      <c r="P205" s="359"/>
    </row>
    <row r="206" spans="1:16" ht="20.100000000000001" customHeight="1" x14ac:dyDescent="0.25">
      <c r="A206" s="976"/>
      <c r="B206" s="978"/>
      <c r="C206" s="974"/>
      <c r="D206" s="974"/>
      <c r="E206" s="978"/>
      <c r="F206" s="974"/>
      <c r="G206" s="360"/>
      <c r="H206" s="361"/>
      <c r="I206" s="360"/>
      <c r="J206" s="361"/>
      <c r="K206" s="360"/>
      <c r="L206" s="361"/>
      <c r="M206" s="360"/>
      <c r="N206" s="361"/>
      <c r="O206" s="360"/>
      <c r="P206" s="361"/>
    </row>
    <row r="207" spans="1:16" ht="20.100000000000001" customHeight="1" x14ac:dyDescent="0.25">
      <c r="A207" s="976"/>
      <c r="B207" s="978"/>
      <c r="C207" s="974"/>
      <c r="D207" s="974"/>
      <c r="E207" s="978"/>
      <c r="F207" s="974"/>
      <c r="G207" s="362"/>
      <c r="H207" s="363"/>
      <c r="I207" s="362"/>
      <c r="J207" s="363"/>
      <c r="K207" s="362"/>
      <c r="L207" s="363"/>
      <c r="M207" s="362"/>
      <c r="N207" s="363"/>
      <c r="O207" s="362"/>
      <c r="P207" s="363"/>
    </row>
    <row r="208" spans="1:16" ht="20.100000000000001" customHeight="1" x14ac:dyDescent="0.25">
      <c r="A208" s="976"/>
      <c r="B208" s="979"/>
      <c r="C208" s="975"/>
      <c r="D208" s="975"/>
      <c r="E208" s="979"/>
      <c r="F208" s="975"/>
      <c r="G208" s="450" t="s">
        <v>86</v>
      </c>
      <c r="H208" s="364">
        <f>SUM(H202:H207)</f>
        <v>0</v>
      </c>
      <c r="I208" s="450" t="s">
        <v>86</v>
      </c>
      <c r="J208" s="364">
        <f>SUM(J202:J207)</f>
        <v>0</v>
      </c>
      <c r="K208" s="450" t="s">
        <v>86</v>
      </c>
      <c r="L208" s="364">
        <f>SUM(L202:L207)</f>
        <v>0</v>
      </c>
      <c r="M208" s="450" t="s">
        <v>86</v>
      </c>
      <c r="N208" s="364">
        <f>SUM(N202:N207)</f>
        <v>0</v>
      </c>
      <c r="O208" s="450" t="s">
        <v>86</v>
      </c>
      <c r="P208" s="364">
        <f>SUM(P202:P207)</f>
        <v>0</v>
      </c>
    </row>
    <row r="209" spans="1:16" ht="20.100000000000001" customHeight="1" x14ac:dyDescent="0.25">
      <c r="A209" s="976">
        <v>30</v>
      </c>
      <c r="B209" s="977">
        <f>H215</f>
        <v>0</v>
      </c>
      <c r="C209" s="973">
        <f>J215</f>
        <v>0</v>
      </c>
      <c r="D209" s="973">
        <f>L215</f>
        <v>0</v>
      </c>
      <c r="E209" s="977">
        <f>N215</f>
        <v>0</v>
      </c>
      <c r="F209" s="973">
        <f>P215</f>
        <v>0</v>
      </c>
      <c r="G209" s="358"/>
      <c r="H209" s="359"/>
      <c r="I209" s="358"/>
      <c r="J209" s="359"/>
      <c r="K209" s="358"/>
      <c r="L209" s="359"/>
      <c r="M209" s="358"/>
      <c r="N209" s="359"/>
      <c r="O209" s="358"/>
      <c r="P209" s="359"/>
    </row>
    <row r="210" spans="1:16" ht="20.100000000000001" customHeight="1" x14ac:dyDescent="0.25">
      <c r="A210" s="976"/>
      <c r="B210" s="978"/>
      <c r="C210" s="974"/>
      <c r="D210" s="974"/>
      <c r="E210" s="978"/>
      <c r="F210" s="974"/>
      <c r="G210" s="358"/>
      <c r="H210" s="359"/>
      <c r="I210" s="358"/>
      <c r="J210" s="359"/>
      <c r="K210" s="358"/>
      <c r="L210" s="359"/>
      <c r="M210" s="358"/>
      <c r="N210" s="359"/>
      <c r="O210" s="358"/>
      <c r="P210" s="359"/>
    </row>
    <row r="211" spans="1:16" ht="20.100000000000001" customHeight="1" x14ac:dyDescent="0.25">
      <c r="A211" s="976"/>
      <c r="B211" s="978"/>
      <c r="C211" s="974"/>
      <c r="D211" s="974"/>
      <c r="E211" s="978"/>
      <c r="F211" s="974"/>
      <c r="G211" s="358"/>
      <c r="H211" s="359"/>
      <c r="I211" s="358"/>
      <c r="J211" s="359"/>
      <c r="K211" s="358"/>
      <c r="L211" s="359"/>
      <c r="M211" s="358"/>
      <c r="N211" s="359"/>
      <c r="O211" s="358"/>
      <c r="P211" s="359"/>
    </row>
    <row r="212" spans="1:16" ht="20.100000000000001" customHeight="1" x14ac:dyDescent="0.25">
      <c r="A212" s="976"/>
      <c r="B212" s="978"/>
      <c r="C212" s="974"/>
      <c r="D212" s="974"/>
      <c r="E212" s="978"/>
      <c r="F212" s="974"/>
      <c r="G212" s="358"/>
      <c r="H212" s="359"/>
      <c r="I212" s="358"/>
      <c r="J212" s="359"/>
      <c r="K212" s="358"/>
      <c r="L212" s="359"/>
      <c r="M212" s="358"/>
      <c r="N212" s="359"/>
      <c r="O212" s="358"/>
      <c r="P212" s="359"/>
    </row>
    <row r="213" spans="1:16" ht="20.100000000000001" customHeight="1" x14ac:dyDescent="0.25">
      <c r="A213" s="976"/>
      <c r="B213" s="978"/>
      <c r="C213" s="974"/>
      <c r="D213" s="974"/>
      <c r="E213" s="978"/>
      <c r="F213" s="974"/>
      <c r="G213" s="360"/>
      <c r="H213" s="361"/>
      <c r="I213" s="360"/>
      <c r="J213" s="361"/>
      <c r="K213" s="360"/>
      <c r="L213" s="361"/>
      <c r="M213" s="360"/>
      <c r="N213" s="361"/>
      <c r="O213" s="360"/>
      <c r="P213" s="361"/>
    </row>
    <row r="214" spans="1:16" ht="20.100000000000001" customHeight="1" x14ac:dyDescent="0.25">
      <c r="A214" s="976"/>
      <c r="B214" s="978"/>
      <c r="C214" s="974"/>
      <c r="D214" s="974"/>
      <c r="E214" s="978"/>
      <c r="F214" s="974"/>
      <c r="G214" s="362"/>
      <c r="H214" s="363"/>
      <c r="I214" s="362"/>
      <c r="J214" s="363"/>
      <c r="K214" s="362"/>
      <c r="L214" s="363"/>
      <c r="M214" s="362"/>
      <c r="N214" s="363"/>
      <c r="O214" s="362"/>
      <c r="P214" s="363"/>
    </row>
    <row r="215" spans="1:16" ht="20.100000000000001" customHeight="1" x14ac:dyDescent="0.25">
      <c r="A215" s="976"/>
      <c r="B215" s="979"/>
      <c r="C215" s="975"/>
      <c r="D215" s="975"/>
      <c r="E215" s="979"/>
      <c r="F215" s="975"/>
      <c r="G215" s="450" t="s">
        <v>86</v>
      </c>
      <c r="H215" s="364">
        <f>SUM(H209:H214)</f>
        <v>0</v>
      </c>
      <c r="I215" s="450" t="s">
        <v>86</v>
      </c>
      <c r="J215" s="364">
        <f>SUM(J209:J214)</f>
        <v>0</v>
      </c>
      <c r="K215" s="450" t="s">
        <v>86</v>
      </c>
      <c r="L215" s="364">
        <f>SUM(L209:L214)</f>
        <v>0</v>
      </c>
      <c r="M215" s="450" t="s">
        <v>86</v>
      </c>
      <c r="N215" s="364">
        <f>SUM(N209:N214)</f>
        <v>0</v>
      </c>
      <c r="O215" s="450" t="s">
        <v>86</v>
      </c>
      <c r="P215" s="364">
        <f>SUM(P209:P214)</f>
        <v>0</v>
      </c>
    </row>
    <row r="216" spans="1:16" ht="20.100000000000001" customHeight="1" x14ac:dyDescent="0.25">
      <c r="A216" s="976">
        <v>31</v>
      </c>
      <c r="B216" s="978">
        <f>H222</f>
        <v>0</v>
      </c>
      <c r="C216" s="974">
        <f>J222</f>
        <v>0</v>
      </c>
      <c r="D216" s="974">
        <f>L222</f>
        <v>0</v>
      </c>
      <c r="E216" s="978">
        <f>N222</f>
        <v>0</v>
      </c>
      <c r="F216" s="974">
        <f>P222</f>
        <v>0</v>
      </c>
      <c r="G216" s="358"/>
      <c r="H216" s="359"/>
      <c r="I216" s="358"/>
      <c r="J216" s="359"/>
      <c r="K216" s="358"/>
      <c r="L216" s="359"/>
      <c r="M216" s="358"/>
      <c r="N216" s="359"/>
      <c r="O216" s="358"/>
      <c r="P216" s="359"/>
    </row>
    <row r="217" spans="1:16" ht="20.100000000000001" customHeight="1" x14ac:dyDescent="0.25">
      <c r="A217" s="976"/>
      <c r="B217" s="978"/>
      <c r="C217" s="974"/>
      <c r="D217" s="974"/>
      <c r="E217" s="978"/>
      <c r="F217" s="974"/>
      <c r="G217" s="358"/>
      <c r="H217" s="359"/>
      <c r="I217" s="358"/>
      <c r="J217" s="359"/>
      <c r="K217" s="358"/>
      <c r="L217" s="359"/>
      <c r="M217" s="358"/>
      <c r="N217" s="359"/>
      <c r="O217" s="358"/>
      <c r="P217" s="359"/>
    </row>
    <row r="218" spans="1:16" ht="20.100000000000001" customHeight="1" x14ac:dyDescent="0.25">
      <c r="A218" s="976"/>
      <c r="B218" s="978"/>
      <c r="C218" s="974"/>
      <c r="D218" s="974"/>
      <c r="E218" s="978"/>
      <c r="F218" s="974"/>
      <c r="G218" s="358"/>
      <c r="H218" s="359"/>
      <c r="I218" s="358"/>
      <c r="J218" s="359"/>
      <c r="K218" s="358"/>
      <c r="L218" s="359"/>
      <c r="M218" s="358"/>
      <c r="N218" s="359"/>
      <c r="O218" s="358"/>
      <c r="P218" s="359"/>
    </row>
    <row r="219" spans="1:16" ht="20.100000000000001" customHeight="1" x14ac:dyDescent="0.25">
      <c r="A219" s="976"/>
      <c r="B219" s="978"/>
      <c r="C219" s="974"/>
      <c r="D219" s="974"/>
      <c r="E219" s="978"/>
      <c r="F219" s="974"/>
      <c r="G219" s="358"/>
      <c r="H219" s="359"/>
      <c r="I219" s="358"/>
      <c r="J219" s="359"/>
      <c r="K219" s="358"/>
      <c r="L219" s="359"/>
      <c r="M219" s="358"/>
      <c r="N219" s="359"/>
      <c r="O219" s="358"/>
      <c r="P219" s="359"/>
    </row>
    <row r="220" spans="1:16" ht="20.100000000000001" customHeight="1" x14ac:dyDescent="0.25">
      <c r="A220" s="976"/>
      <c r="B220" s="978"/>
      <c r="C220" s="974"/>
      <c r="D220" s="974"/>
      <c r="E220" s="978"/>
      <c r="F220" s="974"/>
      <c r="G220" s="360"/>
      <c r="H220" s="361"/>
      <c r="I220" s="360"/>
      <c r="J220" s="361"/>
      <c r="K220" s="360"/>
      <c r="L220" s="361"/>
      <c r="M220" s="360"/>
      <c r="N220" s="361"/>
      <c r="O220" s="360"/>
      <c r="P220" s="361"/>
    </row>
    <row r="221" spans="1:16" ht="20.100000000000001" customHeight="1" x14ac:dyDescent="0.25">
      <c r="A221" s="976"/>
      <c r="B221" s="978"/>
      <c r="C221" s="974"/>
      <c r="D221" s="974"/>
      <c r="E221" s="978"/>
      <c r="F221" s="974"/>
      <c r="G221" s="362"/>
      <c r="H221" s="363"/>
      <c r="I221" s="362"/>
      <c r="J221" s="363"/>
      <c r="K221" s="362"/>
      <c r="L221" s="363"/>
      <c r="M221" s="362"/>
      <c r="N221" s="363"/>
      <c r="O221" s="362"/>
      <c r="P221" s="363"/>
    </row>
    <row r="222" spans="1:16" ht="20.100000000000001" customHeight="1" thickBot="1" x14ac:dyDescent="0.3">
      <c r="A222" s="976"/>
      <c r="B222" s="979"/>
      <c r="C222" s="975"/>
      <c r="D222" s="975"/>
      <c r="E222" s="979"/>
      <c r="F222" s="975"/>
      <c r="G222" s="450" t="s">
        <v>86</v>
      </c>
      <c r="H222" s="364">
        <f>SUM(H216:H221)</f>
        <v>0</v>
      </c>
      <c r="I222" s="450" t="s">
        <v>86</v>
      </c>
      <c r="J222" s="364">
        <f>SUM(J216:J221)</f>
        <v>0</v>
      </c>
      <c r="K222" s="450" t="s">
        <v>86</v>
      </c>
      <c r="L222" s="364">
        <f>SUM(L216:L221)</f>
        <v>0</v>
      </c>
      <c r="M222" s="450" t="s">
        <v>86</v>
      </c>
      <c r="N222" s="364">
        <f>SUM(N216:N221)</f>
        <v>0</v>
      </c>
      <c r="O222" s="450" t="s">
        <v>86</v>
      </c>
      <c r="P222" s="364">
        <f>SUM(P216:P221)</f>
        <v>0</v>
      </c>
    </row>
    <row r="223" spans="1:16" ht="27" customHeight="1" thickBot="1" x14ac:dyDescent="0.3">
      <c r="A223" s="28" t="s">
        <v>27</v>
      </c>
      <c r="B223" s="5">
        <f>SUM(B6:B222)</f>
        <v>0</v>
      </c>
      <c r="C223" s="5">
        <f>SUM(C6:C222)</f>
        <v>1034250</v>
      </c>
      <c r="D223" s="5">
        <f>SUM(D6:D222)</f>
        <v>7300</v>
      </c>
      <c r="E223" s="365">
        <f>SUM(E6:E222)</f>
        <v>342600</v>
      </c>
      <c r="F223" s="5">
        <f>SUM(F6:F222)</f>
        <v>0</v>
      </c>
      <c r="G223" s="451"/>
      <c r="H223" s="366">
        <f>SUM(H222,H215,H208,H201,H194,H187,H180,H173,H166,H159,H152,H145,H138,H131,H124,H117,H110,H103,H96,H89,H82,H75,H68,H61,H54,H47,H40,H33,H26,H19,H12)</f>
        <v>0</v>
      </c>
      <c r="I223" s="451"/>
      <c r="J223" s="366">
        <f>SUM(J222,J215,J208,J201,J194,J187,J180,J173,J166,J159,J152,J145,J138,J131,J124,J117,J110,J103,J96,J89,J82,J75,J68,J61,J54,J47,J40,J33,J26,J19,J12)</f>
        <v>1034250</v>
      </c>
      <c r="K223" s="451"/>
      <c r="L223" s="366"/>
      <c r="M223" s="451"/>
      <c r="N223" s="366">
        <f>SUM(N222,N215,N208,N201,N194,N187,N180,N173,N166,N159,N152,N145,N138,N131,N124,N117,N110,N103,N96,N89,N82,N75,N68,N61,N54,N47,N40,N33,N26,N19,N12)</f>
        <v>342600</v>
      </c>
      <c r="O223" s="451"/>
      <c r="P223" s="367">
        <f>SUM(P222,P215,P208,P201,P194,P187,P180,P173,P166,P159,P152,P145,P138,P131,P124,P117,P110,P103,P96,P89,P82,P75,P68,P61,P54,P47,P40,P33,P26,P19,P12)</f>
        <v>0</v>
      </c>
    </row>
  </sheetData>
  <protectedRanges>
    <protectedRange sqref="G6:P11 G160:P165 G167:P172 G174:P179 G181:P186 G195:P200 G202:P207 G209:P214 G216:P221 G188:P193 G13:P18 G20:P25 G27:P32 G34:P39 G41:P46 G55:P60 G62:P67 G69:P74 G76:P81 G83:P88 G90:P95 G97:P102 G104:P109 G111:P116 G118:P123 G125:P130 G132:P137 G139:P144 G146:P151 G153:P158 G48:P53" name="입력"/>
  </protectedRanges>
  <mergeCells count="198">
    <mergeCell ref="D146:D152"/>
    <mergeCell ref="F146:F152"/>
    <mergeCell ref="D153:D159"/>
    <mergeCell ref="F153:F159"/>
    <mergeCell ref="D160:D166"/>
    <mergeCell ref="F160:F166"/>
    <mergeCell ref="D216:D222"/>
    <mergeCell ref="F216:F222"/>
    <mergeCell ref="D181:D187"/>
    <mergeCell ref="F181:F187"/>
    <mergeCell ref="D188:D194"/>
    <mergeCell ref="F188:F194"/>
    <mergeCell ref="D195:D201"/>
    <mergeCell ref="F195:F201"/>
    <mergeCell ref="D202:D208"/>
    <mergeCell ref="F202:F208"/>
    <mergeCell ref="D209:D215"/>
    <mergeCell ref="F209:F215"/>
    <mergeCell ref="D167:D173"/>
    <mergeCell ref="F167:F173"/>
    <mergeCell ref="D174:D180"/>
    <mergeCell ref="F174:F180"/>
    <mergeCell ref="D118:D124"/>
    <mergeCell ref="F118:F124"/>
    <mergeCell ref="D125:D131"/>
    <mergeCell ref="F125:F131"/>
    <mergeCell ref="E118:E124"/>
    <mergeCell ref="E125:E131"/>
    <mergeCell ref="D132:D138"/>
    <mergeCell ref="F132:F138"/>
    <mergeCell ref="D139:D145"/>
    <mergeCell ref="F139:F145"/>
    <mergeCell ref="F83:F89"/>
    <mergeCell ref="D90:D96"/>
    <mergeCell ref="F90:F96"/>
    <mergeCell ref="D97:D103"/>
    <mergeCell ref="F97:F103"/>
    <mergeCell ref="D104:D110"/>
    <mergeCell ref="F104:F110"/>
    <mergeCell ref="D111:D117"/>
    <mergeCell ref="F111:F117"/>
    <mergeCell ref="E111:E117"/>
    <mergeCell ref="F41:F47"/>
    <mergeCell ref="D48:D54"/>
    <mergeCell ref="F48:F54"/>
    <mergeCell ref="D55:D61"/>
    <mergeCell ref="F55:F61"/>
    <mergeCell ref="F62:F68"/>
    <mergeCell ref="D69:D75"/>
    <mergeCell ref="F69:F75"/>
    <mergeCell ref="D76:D82"/>
    <mergeCell ref="F76:F82"/>
    <mergeCell ref="K4:L4"/>
    <mergeCell ref="O4:P4"/>
    <mergeCell ref="D4:D5"/>
    <mergeCell ref="D6:D12"/>
    <mergeCell ref="F4:F5"/>
    <mergeCell ref="F6:F12"/>
    <mergeCell ref="D13:D19"/>
    <mergeCell ref="F13:F19"/>
    <mergeCell ref="D20:D26"/>
    <mergeCell ref="F20:F26"/>
    <mergeCell ref="A4:A5"/>
    <mergeCell ref="B4:B5"/>
    <mergeCell ref="G4:H4"/>
    <mergeCell ref="I4:J4"/>
    <mergeCell ref="A6:A12"/>
    <mergeCell ref="B6:B12"/>
    <mergeCell ref="A34:A40"/>
    <mergeCell ref="B34:B40"/>
    <mergeCell ref="A27:A33"/>
    <mergeCell ref="B27:B33"/>
    <mergeCell ref="A13:A19"/>
    <mergeCell ref="B13:B19"/>
    <mergeCell ref="A20:A26"/>
    <mergeCell ref="B20:B26"/>
    <mergeCell ref="D27:D33"/>
    <mergeCell ref="F27:F33"/>
    <mergeCell ref="D34:D40"/>
    <mergeCell ref="F34:F40"/>
    <mergeCell ref="A62:A68"/>
    <mergeCell ref="B62:B68"/>
    <mergeCell ref="A55:A61"/>
    <mergeCell ref="B55:B61"/>
    <mergeCell ref="A48:A54"/>
    <mergeCell ref="B48:B54"/>
    <mergeCell ref="A41:A47"/>
    <mergeCell ref="B41:B47"/>
    <mergeCell ref="E48:E54"/>
    <mergeCell ref="E55:E61"/>
    <mergeCell ref="E62:E68"/>
    <mergeCell ref="D62:D68"/>
    <mergeCell ref="D41:D47"/>
    <mergeCell ref="E41:E47"/>
    <mergeCell ref="A90:A96"/>
    <mergeCell ref="B90:B96"/>
    <mergeCell ref="A83:A89"/>
    <mergeCell ref="B83:B89"/>
    <mergeCell ref="A76:A82"/>
    <mergeCell ref="B76:B82"/>
    <mergeCell ref="A69:A75"/>
    <mergeCell ref="B69:B75"/>
    <mergeCell ref="E83:E89"/>
    <mergeCell ref="E69:E75"/>
    <mergeCell ref="E76:E82"/>
    <mergeCell ref="D83:D89"/>
    <mergeCell ref="A111:A117"/>
    <mergeCell ref="B111:B117"/>
    <mergeCell ref="A104:A110"/>
    <mergeCell ref="B104:B110"/>
    <mergeCell ref="A97:A103"/>
    <mergeCell ref="B97:B103"/>
    <mergeCell ref="C111:C117"/>
    <mergeCell ref="A125:A131"/>
    <mergeCell ref="B125:B131"/>
    <mergeCell ref="C125:C131"/>
    <mergeCell ref="C132:C138"/>
    <mergeCell ref="A118:A124"/>
    <mergeCell ref="B118:B124"/>
    <mergeCell ref="C118:C124"/>
    <mergeCell ref="A139:A145"/>
    <mergeCell ref="B139:B145"/>
    <mergeCell ref="C139:C145"/>
    <mergeCell ref="C146:C152"/>
    <mergeCell ref="A132:A138"/>
    <mergeCell ref="B132:B138"/>
    <mergeCell ref="A153:A159"/>
    <mergeCell ref="B153:B159"/>
    <mergeCell ref="C153:C159"/>
    <mergeCell ref="C160:C166"/>
    <mergeCell ref="A146:A152"/>
    <mergeCell ref="B146:B152"/>
    <mergeCell ref="A167:A173"/>
    <mergeCell ref="B167:B173"/>
    <mergeCell ref="C167:C173"/>
    <mergeCell ref="C209:C215"/>
    <mergeCell ref="C216:C222"/>
    <mergeCell ref="C195:C201"/>
    <mergeCell ref="C202:C208"/>
    <mergeCell ref="A209:A215"/>
    <mergeCell ref="A216:A222"/>
    <mergeCell ref="B216:B222"/>
    <mergeCell ref="E216:E222"/>
    <mergeCell ref="B209:B215"/>
    <mergeCell ref="A202:A208"/>
    <mergeCell ref="B202:B208"/>
    <mergeCell ref="A195:A201"/>
    <mergeCell ref="B195:B201"/>
    <mergeCell ref="E202:E208"/>
    <mergeCell ref="E209:E215"/>
    <mergeCell ref="A188:A194"/>
    <mergeCell ref="B188:B194"/>
    <mergeCell ref="A181:A187"/>
    <mergeCell ref="B181:B187"/>
    <mergeCell ref="I1:M1"/>
    <mergeCell ref="E174:E180"/>
    <mergeCell ref="E181:E187"/>
    <mergeCell ref="E188:E194"/>
    <mergeCell ref="E195:E201"/>
    <mergeCell ref="E132:E138"/>
    <mergeCell ref="E139:E145"/>
    <mergeCell ref="E146:E152"/>
    <mergeCell ref="E153:E159"/>
    <mergeCell ref="E160:E166"/>
    <mergeCell ref="E167:E173"/>
    <mergeCell ref="E90:E96"/>
    <mergeCell ref="E97:E103"/>
    <mergeCell ref="E104:E110"/>
    <mergeCell ref="E4:E5"/>
    <mergeCell ref="E6:E12"/>
    <mergeCell ref="E13:E19"/>
    <mergeCell ref="E20:E26"/>
    <mergeCell ref="E27:E33"/>
    <mergeCell ref="E34:E40"/>
    <mergeCell ref="C181:C187"/>
    <mergeCell ref="C188:C194"/>
    <mergeCell ref="A174:A180"/>
    <mergeCell ref="B174:B180"/>
    <mergeCell ref="M4:N4"/>
    <mergeCell ref="C4:C5"/>
    <mergeCell ref="C6:C12"/>
    <mergeCell ref="C13:C19"/>
    <mergeCell ref="C20:C26"/>
    <mergeCell ref="C27:C33"/>
    <mergeCell ref="C34:C40"/>
    <mergeCell ref="C41:C47"/>
    <mergeCell ref="C48:C54"/>
    <mergeCell ref="C55:C61"/>
    <mergeCell ref="C62:C68"/>
    <mergeCell ref="C69:C75"/>
    <mergeCell ref="C76:C82"/>
    <mergeCell ref="C83:C89"/>
    <mergeCell ref="C90:C96"/>
    <mergeCell ref="C97:C103"/>
    <mergeCell ref="C104:C110"/>
    <mergeCell ref="C174:C180"/>
    <mergeCell ref="A160:A166"/>
    <mergeCell ref="B160:B166"/>
  </mergeCells>
  <phoneticPr fontId="46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0000"/>
  </sheetPr>
  <dimension ref="A1:S37"/>
  <sheetViews>
    <sheetView zoomScale="70" zoomScaleNormal="70" zoomScaleSheetLayoutView="75" workbookViewId="0">
      <pane xSplit="2" ySplit="5" topLeftCell="C6" activePane="bottomRight" state="frozen"/>
      <selection activeCell="AE30" sqref="AE30:AG31"/>
      <selection pane="topRight" activeCell="AE30" sqref="AE30:AG31"/>
      <selection pane="bottomLeft" activeCell="AE30" sqref="AE30:AG31"/>
      <selection pane="bottomRight" activeCell="F13" sqref="F13"/>
    </sheetView>
  </sheetViews>
  <sheetFormatPr defaultColWidth="9.140625" defaultRowHeight="13.5" x14ac:dyDescent="0.25"/>
  <cols>
    <col min="1" max="1" width="11" customWidth="1"/>
    <col min="2" max="2" width="17.42578125" customWidth="1"/>
    <col min="3" max="9" width="10.7109375" customWidth="1"/>
    <col min="10" max="10" width="2.42578125" customWidth="1"/>
    <col min="11" max="12" width="30.7109375" style="1" customWidth="1"/>
    <col min="13" max="13" width="15.7109375" style="1" customWidth="1"/>
    <col min="14" max="15" width="30.7109375" customWidth="1"/>
    <col min="16" max="16" width="15.7109375" customWidth="1"/>
    <col min="17" max="18" width="30.7109375" customWidth="1"/>
    <col min="19" max="19" width="15.7109375" customWidth="1"/>
  </cols>
  <sheetData>
    <row r="1" spans="1:19" ht="31.5" x14ac:dyDescent="0.25">
      <c r="A1" s="20" t="s">
        <v>9</v>
      </c>
      <c r="D1" s="114" t="s">
        <v>133</v>
      </c>
    </row>
    <row r="3" spans="1:19" ht="30" customHeight="1" thickBot="1" x14ac:dyDescent="0.3">
      <c r="A3" s="1000" t="str">
        <f>'0.기초및고정비'!C4&amp;'0.기초및고정비'!D4</f>
        <v>2026년4월</v>
      </c>
      <c r="B3" s="1000"/>
      <c r="D3" s="24" t="s">
        <v>52</v>
      </c>
      <c r="K3" s="134" t="s">
        <v>58</v>
      </c>
      <c r="N3" s="24" t="s">
        <v>59</v>
      </c>
      <c r="Q3" s="24" t="s">
        <v>49</v>
      </c>
    </row>
    <row r="4" spans="1:19" ht="33" customHeight="1" x14ac:dyDescent="0.25">
      <c r="A4" s="1001" t="s">
        <v>26</v>
      </c>
      <c r="B4" s="997" t="s">
        <v>61</v>
      </c>
      <c r="C4" s="998"/>
      <c r="D4" s="998"/>
      <c r="E4" s="998"/>
      <c r="F4" s="998"/>
      <c r="G4" s="998"/>
      <c r="H4" s="998"/>
      <c r="I4" s="999"/>
      <c r="J4" s="54"/>
      <c r="K4" s="1005" t="s">
        <v>4</v>
      </c>
      <c r="L4" s="1003"/>
      <c r="M4" s="1003"/>
      <c r="N4" s="1003" t="s">
        <v>13</v>
      </c>
      <c r="O4" s="1003"/>
      <c r="P4" s="1003"/>
      <c r="Q4" s="1003" t="s">
        <v>2</v>
      </c>
      <c r="R4" s="1003"/>
      <c r="S4" s="1004"/>
    </row>
    <row r="5" spans="1:19" ht="25.5" customHeight="1" x14ac:dyDescent="0.25">
      <c r="A5" s="1002"/>
      <c r="B5" s="60" t="s">
        <v>87</v>
      </c>
      <c r="C5" s="61" t="s">
        <v>42</v>
      </c>
      <c r="D5" s="62" t="s">
        <v>31</v>
      </c>
      <c r="E5" s="62" t="s">
        <v>20</v>
      </c>
      <c r="F5" s="62" t="s">
        <v>44</v>
      </c>
      <c r="G5" s="62" t="s">
        <v>33</v>
      </c>
      <c r="H5" s="62" t="s">
        <v>47</v>
      </c>
      <c r="I5" s="63" t="s">
        <v>37</v>
      </c>
      <c r="K5" s="57" t="s">
        <v>74</v>
      </c>
      <c r="L5" s="58" t="s">
        <v>104</v>
      </c>
      <c r="M5" s="55" t="s">
        <v>73</v>
      </c>
      <c r="N5" s="59" t="s">
        <v>74</v>
      </c>
      <c r="O5" s="58" t="s">
        <v>104</v>
      </c>
      <c r="P5" s="55" t="s">
        <v>73</v>
      </c>
      <c r="Q5" s="59" t="s">
        <v>74</v>
      </c>
      <c r="R5" s="58" t="s">
        <v>104</v>
      </c>
      <c r="S5" s="56" t="s">
        <v>73</v>
      </c>
    </row>
    <row r="6" spans="1:19" ht="24.95" customHeight="1" x14ac:dyDescent="0.25">
      <c r="A6" s="25">
        <v>1</v>
      </c>
      <c r="B6" s="49">
        <f t="shared" ref="B6:B36" si="0">C6*100000+D6*50000+E6*10000+F6*5000+G6*1000+H6*500+I6*100</f>
        <v>0</v>
      </c>
      <c r="C6" s="29"/>
      <c r="D6" s="33"/>
      <c r="E6" s="33"/>
      <c r="F6" s="33"/>
      <c r="G6" s="33"/>
      <c r="H6" s="30"/>
      <c r="I6" s="31"/>
      <c r="K6" s="446"/>
      <c r="L6" s="447"/>
      <c r="M6" s="73"/>
      <c r="N6" s="440"/>
      <c r="O6" s="442"/>
      <c r="P6" s="498"/>
      <c r="Q6" s="440"/>
      <c r="R6" s="442"/>
      <c r="S6" s="441"/>
    </row>
    <row r="7" spans="1:19" ht="24.95" customHeight="1" x14ac:dyDescent="0.25">
      <c r="A7" s="26">
        <v>2</v>
      </c>
      <c r="B7" s="49">
        <f t="shared" si="0"/>
        <v>0</v>
      </c>
      <c r="C7" s="32"/>
      <c r="D7" s="33"/>
      <c r="E7" s="33"/>
      <c r="F7" s="33"/>
      <c r="G7" s="33"/>
      <c r="H7" s="33"/>
      <c r="I7" s="34"/>
      <c r="K7" s="435"/>
      <c r="L7" s="436"/>
      <c r="M7" s="437"/>
      <c r="N7" s="432"/>
      <c r="O7" s="433"/>
      <c r="P7" s="439"/>
      <c r="Q7" s="432"/>
      <c r="R7" s="64"/>
      <c r="S7" s="67"/>
    </row>
    <row r="8" spans="1:19" ht="24.95" customHeight="1" x14ac:dyDescent="0.25">
      <c r="A8" s="26">
        <v>3</v>
      </c>
      <c r="B8" s="49">
        <f>C8*100000+D8*50000+E8*10000+F8*5000+G8*1000+H8*500+I8*100</f>
        <v>0</v>
      </c>
      <c r="C8" s="32"/>
      <c r="D8" s="33"/>
      <c r="E8" s="33"/>
      <c r="F8" s="33"/>
      <c r="G8" s="33"/>
      <c r="H8" s="33"/>
      <c r="I8" s="34"/>
      <c r="K8" s="435"/>
      <c r="L8" s="74"/>
      <c r="M8" s="75"/>
      <c r="N8" s="432"/>
      <c r="O8" s="64"/>
      <c r="P8" s="439"/>
      <c r="Q8" s="432"/>
      <c r="R8" s="64"/>
      <c r="S8" s="438"/>
    </row>
    <row r="9" spans="1:19" ht="24.95" customHeight="1" x14ac:dyDescent="0.25">
      <c r="A9" s="26">
        <v>4</v>
      </c>
      <c r="B9" s="49">
        <f>C9*100000+D9*50000+E9*10000+F9*5000+G9*1000+H9*500+I9*100</f>
        <v>0</v>
      </c>
      <c r="C9" s="32"/>
      <c r="D9" s="33"/>
      <c r="E9" s="33"/>
      <c r="F9" s="33"/>
      <c r="G9" s="33"/>
      <c r="H9" s="33"/>
      <c r="I9" s="34"/>
      <c r="K9" s="435"/>
      <c r="L9" s="436"/>
      <c r="M9" s="437"/>
      <c r="N9" s="66"/>
      <c r="O9" s="64"/>
      <c r="P9" s="65"/>
      <c r="Q9" s="434"/>
      <c r="R9" s="74"/>
      <c r="S9" s="76"/>
    </row>
    <row r="10" spans="1:19" ht="24.95" customHeight="1" x14ac:dyDescent="0.25">
      <c r="A10" s="26">
        <v>5</v>
      </c>
      <c r="B10" s="49">
        <f t="shared" si="0"/>
        <v>0</v>
      </c>
      <c r="C10" s="32"/>
      <c r="D10" s="33"/>
      <c r="E10" s="33"/>
      <c r="F10" s="33"/>
      <c r="G10" s="33"/>
      <c r="H10" s="33"/>
      <c r="I10" s="34"/>
      <c r="K10" s="435"/>
      <c r="L10" s="436"/>
      <c r="M10" s="437"/>
      <c r="N10" s="66"/>
      <c r="O10" s="64"/>
      <c r="P10" s="65"/>
      <c r="Q10" s="432"/>
      <c r="R10" s="64"/>
      <c r="S10" s="67"/>
    </row>
    <row r="11" spans="1:19" ht="24.95" customHeight="1" x14ac:dyDescent="0.25">
      <c r="A11" s="26">
        <v>6</v>
      </c>
      <c r="B11" s="49">
        <f t="shared" si="0"/>
        <v>0</v>
      </c>
      <c r="C11" s="32"/>
      <c r="D11" s="33"/>
      <c r="E11" s="33"/>
      <c r="F11" s="33"/>
      <c r="G11" s="33"/>
      <c r="H11" s="33"/>
      <c r="I11" s="34"/>
      <c r="K11" s="435"/>
      <c r="L11" s="436"/>
      <c r="M11" s="437"/>
      <c r="N11" s="66"/>
      <c r="O11" s="64"/>
      <c r="P11" s="65"/>
      <c r="Q11" s="432"/>
      <c r="R11" s="64"/>
      <c r="S11" s="67"/>
    </row>
    <row r="12" spans="1:19" ht="24.95" customHeight="1" x14ac:dyDescent="0.25">
      <c r="A12" s="26">
        <v>7</v>
      </c>
      <c r="B12" s="49">
        <f t="shared" si="0"/>
        <v>0</v>
      </c>
      <c r="C12" s="32"/>
      <c r="D12" s="33"/>
      <c r="E12" s="33"/>
      <c r="F12" s="33"/>
      <c r="G12" s="33"/>
      <c r="H12" s="33"/>
      <c r="I12" s="34"/>
      <c r="K12" s="435"/>
      <c r="L12" s="436"/>
      <c r="M12" s="437"/>
      <c r="N12" s="66"/>
      <c r="O12" s="64"/>
      <c r="P12" s="65"/>
      <c r="Q12" s="432"/>
      <c r="R12" s="64"/>
      <c r="S12" s="438"/>
    </row>
    <row r="13" spans="1:19" ht="24.95" customHeight="1" x14ac:dyDescent="0.25">
      <c r="A13" s="26">
        <v>8</v>
      </c>
      <c r="B13" s="49">
        <f t="shared" si="0"/>
        <v>0</v>
      </c>
      <c r="C13" s="32"/>
      <c r="D13" s="33"/>
      <c r="E13" s="33"/>
      <c r="F13" s="33"/>
      <c r="G13" s="33"/>
      <c r="H13" s="33"/>
      <c r="I13" s="34"/>
      <c r="K13" s="435"/>
      <c r="L13" s="436"/>
      <c r="M13" s="437"/>
      <c r="N13" s="66"/>
      <c r="O13" s="64"/>
      <c r="P13" s="65"/>
      <c r="Q13" s="432"/>
      <c r="R13" s="433"/>
      <c r="S13" s="438"/>
    </row>
    <row r="14" spans="1:19" ht="24.95" customHeight="1" x14ac:dyDescent="0.25">
      <c r="A14" s="26">
        <v>9</v>
      </c>
      <c r="B14" s="49">
        <f t="shared" si="0"/>
        <v>0</v>
      </c>
      <c r="C14" s="32"/>
      <c r="D14" s="33"/>
      <c r="E14" s="33"/>
      <c r="F14" s="33"/>
      <c r="G14" s="33"/>
      <c r="H14" s="33"/>
      <c r="I14" s="34"/>
      <c r="K14" s="435"/>
      <c r="L14" s="436"/>
      <c r="M14" s="437"/>
      <c r="N14" s="66"/>
      <c r="O14" s="64"/>
      <c r="P14" s="65"/>
      <c r="Q14" s="432"/>
      <c r="R14" s="64"/>
      <c r="S14" s="438"/>
    </row>
    <row r="15" spans="1:19" ht="24.95" customHeight="1" x14ac:dyDescent="0.25">
      <c r="A15" s="26">
        <v>10</v>
      </c>
      <c r="B15" s="49">
        <f t="shared" si="0"/>
        <v>0</v>
      </c>
      <c r="C15" s="32"/>
      <c r="D15" s="33"/>
      <c r="E15" s="33"/>
      <c r="F15" s="33"/>
      <c r="G15" s="33"/>
      <c r="H15" s="33"/>
      <c r="I15" s="34"/>
      <c r="K15" s="435"/>
      <c r="L15" s="448"/>
      <c r="M15" s="437"/>
      <c r="N15" s="66"/>
      <c r="O15" s="64"/>
      <c r="P15" s="65"/>
      <c r="Q15" s="432"/>
      <c r="R15" s="433"/>
      <c r="S15" s="438"/>
    </row>
    <row r="16" spans="1:19" ht="24.95" customHeight="1" x14ac:dyDescent="0.25">
      <c r="A16" s="26">
        <v>11</v>
      </c>
      <c r="B16" s="49">
        <f>C16*100000+D16*50000+E16*10000+F16*5000+G16*1000+H16*500+I16*100</f>
        <v>0</v>
      </c>
      <c r="C16" s="32"/>
      <c r="D16" s="33"/>
      <c r="E16" s="33"/>
      <c r="F16" s="33"/>
      <c r="G16" s="33"/>
      <c r="H16" s="33"/>
      <c r="I16" s="34"/>
      <c r="K16" s="435"/>
      <c r="L16" s="436"/>
      <c r="M16" s="437"/>
      <c r="N16" s="66"/>
      <c r="O16" s="64"/>
      <c r="P16" s="65"/>
      <c r="Q16" s="432"/>
      <c r="R16" s="433"/>
      <c r="S16" s="67"/>
    </row>
    <row r="17" spans="1:19" ht="24.95" customHeight="1" x14ac:dyDescent="0.25">
      <c r="A17" s="26">
        <v>12</v>
      </c>
      <c r="B17" s="49">
        <f t="shared" si="0"/>
        <v>0</v>
      </c>
      <c r="C17" s="32"/>
      <c r="D17" s="33"/>
      <c r="E17" s="33"/>
      <c r="F17" s="33"/>
      <c r="G17" s="33"/>
      <c r="H17" s="33"/>
      <c r="I17" s="34"/>
      <c r="K17" s="435"/>
      <c r="L17" s="436"/>
      <c r="M17" s="437"/>
      <c r="N17" s="66"/>
      <c r="O17" s="64"/>
      <c r="P17" s="65"/>
      <c r="Q17" s="432"/>
      <c r="R17" s="64"/>
      <c r="S17" s="67"/>
    </row>
    <row r="18" spans="1:19" ht="24.95" customHeight="1" x14ac:dyDescent="0.25">
      <c r="A18" s="26">
        <v>13</v>
      </c>
      <c r="B18" s="49">
        <f t="shared" si="0"/>
        <v>0</v>
      </c>
      <c r="C18" s="32"/>
      <c r="D18" s="33"/>
      <c r="E18" s="33"/>
      <c r="F18" s="33"/>
      <c r="G18" s="33"/>
      <c r="H18" s="33"/>
      <c r="I18" s="34"/>
      <c r="K18" s="435"/>
      <c r="L18" s="436"/>
      <c r="M18" s="437"/>
      <c r="N18" s="432"/>
      <c r="O18" s="64"/>
      <c r="P18" s="439"/>
      <c r="Q18" s="432"/>
      <c r="R18" s="64"/>
      <c r="S18" s="438"/>
    </row>
    <row r="19" spans="1:19" ht="24.95" customHeight="1" x14ac:dyDescent="0.25">
      <c r="A19" s="26">
        <v>14</v>
      </c>
      <c r="B19" s="49">
        <f t="shared" si="0"/>
        <v>0</v>
      </c>
      <c r="C19" s="32"/>
      <c r="D19" s="33"/>
      <c r="E19" s="33"/>
      <c r="F19" s="33"/>
      <c r="G19" s="33"/>
      <c r="H19" s="33"/>
      <c r="I19" s="34"/>
      <c r="K19" s="435"/>
      <c r="L19" s="436"/>
      <c r="M19" s="437"/>
      <c r="N19" s="432"/>
      <c r="O19" s="433"/>
      <c r="P19" s="65"/>
      <c r="Q19" s="432"/>
      <c r="R19" s="433"/>
      <c r="S19" s="438"/>
    </row>
    <row r="20" spans="1:19" ht="24.95" customHeight="1" x14ac:dyDescent="0.25">
      <c r="A20" s="26">
        <v>15</v>
      </c>
      <c r="B20" s="49">
        <f t="shared" si="0"/>
        <v>0</v>
      </c>
      <c r="C20" s="32"/>
      <c r="D20" s="33"/>
      <c r="E20" s="33"/>
      <c r="F20" s="33"/>
      <c r="G20" s="33"/>
      <c r="H20" s="33"/>
      <c r="I20" s="34"/>
      <c r="K20" s="435"/>
      <c r="L20" s="436"/>
      <c r="M20" s="437"/>
      <c r="N20" s="66"/>
      <c r="O20" s="64"/>
      <c r="P20" s="65"/>
      <c r="Q20" s="432"/>
      <c r="R20" s="433"/>
      <c r="S20" s="438"/>
    </row>
    <row r="21" spans="1:19" ht="24.95" customHeight="1" x14ac:dyDescent="0.25">
      <c r="A21" s="26">
        <v>16</v>
      </c>
      <c r="B21" s="49">
        <f t="shared" si="0"/>
        <v>0</v>
      </c>
      <c r="C21" s="32"/>
      <c r="D21" s="33"/>
      <c r="E21" s="33"/>
      <c r="F21" s="33"/>
      <c r="G21" s="33"/>
      <c r="H21" s="33"/>
      <c r="I21" s="34"/>
      <c r="K21" s="435"/>
      <c r="L21" s="436"/>
      <c r="M21" s="437"/>
      <c r="N21" s="66"/>
      <c r="O21" s="64"/>
      <c r="P21" s="65"/>
      <c r="Q21" s="432"/>
      <c r="R21" s="433"/>
      <c r="S21" s="438"/>
    </row>
    <row r="22" spans="1:19" ht="24.95" customHeight="1" x14ac:dyDescent="0.25">
      <c r="A22" s="26">
        <v>17</v>
      </c>
      <c r="B22" s="49">
        <f t="shared" si="0"/>
        <v>0</v>
      </c>
      <c r="C22" s="32"/>
      <c r="D22" s="33"/>
      <c r="E22" s="33"/>
      <c r="F22" s="33"/>
      <c r="G22" s="33"/>
      <c r="H22" s="33"/>
      <c r="I22" s="34"/>
      <c r="K22" s="435"/>
      <c r="L22" s="436"/>
      <c r="M22" s="437"/>
      <c r="N22" s="66"/>
      <c r="O22" s="64"/>
      <c r="P22" s="65"/>
      <c r="Q22" s="66"/>
      <c r="R22" s="64"/>
      <c r="S22" s="67"/>
    </row>
    <row r="23" spans="1:19" ht="24.95" customHeight="1" x14ac:dyDescent="0.25">
      <c r="A23" s="26">
        <v>18</v>
      </c>
      <c r="B23" s="49">
        <f t="shared" si="0"/>
        <v>0</v>
      </c>
      <c r="C23" s="32"/>
      <c r="D23" s="33"/>
      <c r="E23" s="33"/>
      <c r="F23" s="33"/>
      <c r="G23" s="33"/>
      <c r="H23" s="33"/>
      <c r="I23" s="34"/>
      <c r="K23" s="435"/>
      <c r="L23" s="436"/>
      <c r="M23" s="437"/>
      <c r="N23" s="66"/>
      <c r="O23" s="433"/>
      <c r="P23" s="439"/>
      <c r="Q23" s="432"/>
      <c r="R23" s="64"/>
      <c r="S23" s="438"/>
    </row>
    <row r="24" spans="1:19" ht="24.95" customHeight="1" x14ac:dyDescent="0.25">
      <c r="A24" s="26">
        <v>19</v>
      </c>
      <c r="B24" s="49">
        <f t="shared" si="0"/>
        <v>0</v>
      </c>
      <c r="C24" s="32"/>
      <c r="D24" s="33"/>
      <c r="E24" s="33"/>
      <c r="F24" s="33"/>
      <c r="G24" s="33"/>
      <c r="H24" s="33"/>
      <c r="I24" s="34"/>
      <c r="K24" s="435"/>
      <c r="L24" s="436"/>
      <c r="M24" s="437"/>
      <c r="N24" s="66"/>
      <c r="O24" s="64"/>
      <c r="P24" s="65"/>
      <c r="Q24" s="432"/>
      <c r="R24" s="64"/>
      <c r="S24" s="67"/>
    </row>
    <row r="25" spans="1:19" ht="24.95" customHeight="1" x14ac:dyDescent="0.25">
      <c r="A25" s="26">
        <v>20</v>
      </c>
      <c r="B25" s="49">
        <f t="shared" si="0"/>
        <v>0</v>
      </c>
      <c r="C25" s="32"/>
      <c r="D25" s="33"/>
      <c r="E25" s="33"/>
      <c r="F25" s="33"/>
      <c r="G25" s="33"/>
      <c r="H25" s="33"/>
      <c r="I25" s="34"/>
      <c r="K25" s="435"/>
      <c r="L25" s="436"/>
      <c r="M25" s="437"/>
      <c r="N25" s="66"/>
      <c r="O25" s="64"/>
      <c r="P25" s="65"/>
      <c r="Q25" s="432"/>
      <c r="R25" s="64"/>
      <c r="S25" s="67"/>
    </row>
    <row r="26" spans="1:19" ht="24.95" customHeight="1" x14ac:dyDescent="0.25">
      <c r="A26" s="26">
        <v>21</v>
      </c>
      <c r="B26" s="49">
        <f t="shared" si="0"/>
        <v>0</v>
      </c>
      <c r="C26" s="32"/>
      <c r="D26" s="33"/>
      <c r="E26" s="33"/>
      <c r="F26" s="33"/>
      <c r="G26" s="33"/>
      <c r="H26" s="33"/>
      <c r="I26" s="34"/>
      <c r="K26" s="435"/>
      <c r="L26" s="436"/>
      <c r="M26" s="437"/>
      <c r="N26" s="66"/>
      <c r="O26" s="64"/>
      <c r="P26" s="65"/>
      <c r="Q26" s="432"/>
      <c r="R26" s="64"/>
      <c r="S26" s="438"/>
    </row>
    <row r="27" spans="1:19" ht="24.95" customHeight="1" x14ac:dyDescent="0.25">
      <c r="A27" s="26">
        <v>22</v>
      </c>
      <c r="B27" s="49">
        <f t="shared" si="0"/>
        <v>0</v>
      </c>
      <c r="C27" s="32"/>
      <c r="D27" s="81"/>
      <c r="E27" s="81"/>
      <c r="F27" s="81"/>
      <c r="G27" s="81"/>
      <c r="H27" s="33"/>
      <c r="I27" s="34"/>
      <c r="K27" s="435"/>
      <c r="L27" s="436"/>
      <c r="M27" s="437"/>
      <c r="N27" s="66"/>
      <c r="O27" s="64"/>
      <c r="P27" s="65"/>
      <c r="Q27" s="432"/>
      <c r="R27" s="64"/>
      <c r="S27" s="438"/>
    </row>
    <row r="28" spans="1:19" ht="24.95" customHeight="1" x14ac:dyDescent="0.25">
      <c r="A28" s="26">
        <v>23</v>
      </c>
      <c r="B28" s="49">
        <f t="shared" si="0"/>
        <v>0</v>
      </c>
      <c r="C28" s="32"/>
      <c r="D28" s="33"/>
      <c r="E28" s="33"/>
      <c r="F28" s="33"/>
      <c r="G28" s="33"/>
      <c r="H28" s="33"/>
      <c r="I28" s="34"/>
      <c r="K28" s="435"/>
      <c r="L28" s="436"/>
      <c r="M28" s="437"/>
      <c r="N28" s="66"/>
      <c r="O28" s="64"/>
      <c r="P28" s="65"/>
      <c r="Q28" s="432"/>
      <c r="R28" s="64"/>
      <c r="S28" s="438"/>
    </row>
    <row r="29" spans="1:19" ht="24.95" customHeight="1" x14ac:dyDescent="0.25">
      <c r="A29" s="26">
        <v>24</v>
      </c>
      <c r="B29" s="49">
        <f t="shared" si="0"/>
        <v>0</v>
      </c>
      <c r="C29" s="32"/>
      <c r="D29" s="33"/>
      <c r="E29" s="33"/>
      <c r="F29" s="33"/>
      <c r="G29" s="33"/>
      <c r="H29" s="33"/>
      <c r="I29" s="34"/>
      <c r="K29" s="435"/>
      <c r="L29" s="436"/>
      <c r="M29" s="437"/>
      <c r="N29" s="66"/>
      <c r="O29" s="64"/>
      <c r="P29" s="65"/>
      <c r="Q29" s="432"/>
      <c r="R29" s="64"/>
      <c r="S29" s="438"/>
    </row>
    <row r="30" spans="1:19" ht="24.95" customHeight="1" x14ac:dyDescent="0.25">
      <c r="A30" s="26">
        <v>25</v>
      </c>
      <c r="B30" s="49">
        <f t="shared" si="0"/>
        <v>0</v>
      </c>
      <c r="C30" s="32"/>
      <c r="D30" s="33"/>
      <c r="E30" s="33"/>
      <c r="F30" s="33"/>
      <c r="G30" s="33"/>
      <c r="H30" s="33"/>
      <c r="I30" s="34"/>
      <c r="K30" s="435"/>
      <c r="L30" s="436"/>
      <c r="M30" s="437"/>
      <c r="N30" s="66"/>
      <c r="O30" s="64"/>
      <c r="P30" s="65"/>
      <c r="Q30" s="432"/>
      <c r="R30" s="433"/>
      <c r="S30" s="438"/>
    </row>
    <row r="31" spans="1:19" ht="24.95" customHeight="1" x14ac:dyDescent="0.25">
      <c r="A31" s="26">
        <v>26</v>
      </c>
      <c r="B31" s="49">
        <f t="shared" si="0"/>
        <v>0</v>
      </c>
      <c r="C31" s="32"/>
      <c r="D31" s="33"/>
      <c r="E31" s="33"/>
      <c r="F31" s="33"/>
      <c r="G31" s="33"/>
      <c r="H31" s="33"/>
      <c r="I31" s="34"/>
      <c r="K31" s="435"/>
      <c r="L31" s="436"/>
      <c r="M31" s="437"/>
      <c r="N31" s="66"/>
      <c r="O31" s="64"/>
      <c r="P31" s="65"/>
      <c r="Q31" s="432"/>
      <c r="R31" s="64"/>
      <c r="S31" s="67"/>
    </row>
    <row r="32" spans="1:19" ht="24.95" customHeight="1" x14ac:dyDescent="0.25">
      <c r="A32" s="26">
        <v>27</v>
      </c>
      <c r="B32" s="49">
        <f t="shared" si="0"/>
        <v>0</v>
      </c>
      <c r="C32" s="32"/>
      <c r="D32" s="33"/>
      <c r="E32" s="33"/>
      <c r="F32" s="33"/>
      <c r="G32" s="33"/>
      <c r="H32" s="33"/>
      <c r="I32" s="34"/>
      <c r="K32" s="435"/>
      <c r="L32" s="436"/>
      <c r="M32" s="437"/>
      <c r="N32" s="66"/>
      <c r="O32" s="64"/>
      <c r="P32" s="65"/>
      <c r="Q32" s="432"/>
      <c r="R32" s="64"/>
      <c r="S32" s="67"/>
    </row>
    <row r="33" spans="1:19" ht="24.95" customHeight="1" x14ac:dyDescent="0.25">
      <c r="A33" s="26">
        <v>28</v>
      </c>
      <c r="B33" s="49">
        <f t="shared" si="0"/>
        <v>0</v>
      </c>
      <c r="C33" s="32"/>
      <c r="D33" s="33"/>
      <c r="E33" s="33"/>
      <c r="F33" s="33"/>
      <c r="G33" s="33"/>
      <c r="H33" s="33"/>
      <c r="I33" s="34"/>
      <c r="K33" s="435"/>
      <c r="L33" s="436"/>
      <c r="M33" s="437"/>
      <c r="N33" s="66"/>
      <c r="O33" s="64"/>
      <c r="P33" s="65"/>
      <c r="Q33" s="432"/>
      <c r="R33" s="64"/>
      <c r="S33" s="67"/>
    </row>
    <row r="34" spans="1:19" ht="24.95" customHeight="1" x14ac:dyDescent="0.25">
      <c r="A34" s="26">
        <v>29</v>
      </c>
      <c r="B34" s="49">
        <f t="shared" si="0"/>
        <v>0</v>
      </c>
      <c r="C34" s="32"/>
      <c r="D34" s="33"/>
      <c r="E34" s="33"/>
      <c r="F34" s="33"/>
      <c r="G34" s="33"/>
      <c r="H34" s="33"/>
      <c r="I34" s="34"/>
      <c r="K34" s="435"/>
      <c r="L34" s="436"/>
      <c r="M34" s="437"/>
      <c r="N34" s="66"/>
      <c r="O34" s="64"/>
      <c r="P34" s="65"/>
      <c r="Q34" s="432"/>
      <c r="R34" s="433"/>
      <c r="S34" s="67"/>
    </row>
    <row r="35" spans="1:19" ht="24.95" customHeight="1" x14ac:dyDescent="0.25">
      <c r="A35" s="26">
        <v>30</v>
      </c>
      <c r="B35" s="49">
        <f t="shared" si="0"/>
        <v>0</v>
      </c>
      <c r="C35" s="32"/>
      <c r="D35" s="33"/>
      <c r="E35" s="33"/>
      <c r="F35" s="33"/>
      <c r="G35" s="33"/>
      <c r="H35" s="33"/>
      <c r="I35" s="34"/>
      <c r="K35" s="435"/>
      <c r="L35" s="436"/>
      <c r="M35" s="437"/>
      <c r="N35" s="66"/>
      <c r="O35" s="64"/>
      <c r="P35" s="65"/>
      <c r="Q35" s="432"/>
      <c r="R35" s="64"/>
      <c r="S35" s="438"/>
    </row>
    <row r="36" spans="1:19" ht="24.95" customHeight="1" x14ac:dyDescent="0.25">
      <c r="A36" s="27">
        <v>31</v>
      </c>
      <c r="B36" s="50">
        <f t="shared" si="0"/>
        <v>0</v>
      </c>
      <c r="C36" s="35"/>
      <c r="D36" s="36"/>
      <c r="E36" s="36"/>
      <c r="F36" s="36"/>
      <c r="G36" s="36"/>
      <c r="H36" s="36"/>
      <c r="I36" s="37"/>
      <c r="K36" s="443"/>
      <c r="L36" s="444"/>
      <c r="M36" s="445"/>
      <c r="N36" s="70"/>
      <c r="O36" s="68"/>
      <c r="P36" s="69"/>
      <c r="Q36" s="521"/>
      <c r="R36" s="68"/>
      <c r="S36" s="71"/>
    </row>
    <row r="37" spans="1:19" s="3" customFormat="1" ht="24.95" customHeight="1" x14ac:dyDescent="0.25">
      <c r="A37" s="28" t="s">
        <v>27</v>
      </c>
      <c r="B37" s="51"/>
      <c r="C37" s="38">
        <f>SUM(C6:C36)</f>
        <v>0</v>
      </c>
      <c r="D37" s="39"/>
      <c r="E37" s="39"/>
      <c r="F37" s="39"/>
      <c r="G37" s="39"/>
      <c r="H37" s="39"/>
      <c r="I37" s="40">
        <f>SUM(I6:I36)</f>
        <v>0</v>
      </c>
      <c r="K37" s="72"/>
      <c r="L37" s="72"/>
      <c r="M37" s="72"/>
    </row>
  </sheetData>
  <sheetProtection sheet="1" objects="1" scenarios="1"/>
  <protectedRanges>
    <protectedRange sqref="C6:S36" name="입력"/>
  </protectedRanges>
  <mergeCells count="6">
    <mergeCell ref="B4:I4"/>
    <mergeCell ref="A3:B3"/>
    <mergeCell ref="A4:A5"/>
    <mergeCell ref="N4:P4"/>
    <mergeCell ref="Q4:S4"/>
    <mergeCell ref="K4:M4"/>
  </mergeCells>
  <phoneticPr fontId="46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B20D-57DD-48B9-823B-2946BB8E4641}">
  <sheetPr codeName="Sheet14">
    <tabColor rgb="FFFFFF00"/>
  </sheetPr>
  <dimension ref="A1:AZ122"/>
  <sheetViews>
    <sheetView zoomScale="70" zoomScaleNormal="70" workbookViewId="0">
      <pane xSplit="2" ySplit="7" topLeftCell="AK8" activePane="bottomRight" state="frozen"/>
      <selection activeCell="K57" sqref="K57:Q70"/>
      <selection pane="topRight" activeCell="K57" sqref="K57:Q70"/>
      <selection pane="bottomLeft" activeCell="K57" sqref="K57:Q70"/>
      <selection pane="bottomRight" activeCell="K57" sqref="K57:Q70"/>
    </sheetView>
  </sheetViews>
  <sheetFormatPr defaultColWidth="9.140625" defaultRowHeight="16.5" x14ac:dyDescent="0.25"/>
  <cols>
    <col min="1" max="1" width="21.7109375" style="399" customWidth="1"/>
    <col min="2" max="2" width="15.85546875" style="399" customWidth="1"/>
    <col min="3" max="3" width="1.28515625" style="399" customWidth="1"/>
    <col min="4" max="4" width="8.7109375" style="399" customWidth="1"/>
    <col min="5" max="5" width="9.85546875" style="399" customWidth="1"/>
    <col min="6" max="6" width="8.7109375" style="399" customWidth="1"/>
    <col min="7" max="9" width="9.140625" style="399"/>
    <col min="10" max="10" width="14.42578125" style="399" customWidth="1"/>
    <col min="11" max="11" width="8.7109375" style="399" customWidth="1"/>
    <col min="12" max="12" width="9.85546875" style="399" customWidth="1"/>
    <col min="13" max="13" width="8.7109375" style="399" customWidth="1"/>
    <col min="14" max="15" width="9.140625" style="399"/>
    <col min="16" max="16" width="10.85546875" style="399" bestFit="1" customWidth="1"/>
    <col min="17" max="17" width="14.42578125" style="399" customWidth="1"/>
    <col min="18" max="18" width="8.7109375" style="399" customWidth="1"/>
    <col min="19" max="19" width="9.85546875" style="399" customWidth="1"/>
    <col min="20" max="20" width="8.7109375" style="399" customWidth="1"/>
    <col min="21" max="23" width="9.140625" style="399"/>
    <col min="24" max="24" width="14.42578125" style="399" customWidth="1"/>
    <col min="25" max="25" width="8.7109375" style="399" customWidth="1"/>
    <col min="26" max="26" width="9.85546875" style="399" customWidth="1"/>
    <col min="27" max="27" width="8.7109375" style="399" customWidth="1"/>
    <col min="28" max="30" width="9.140625" style="399"/>
    <col min="31" max="31" width="14.42578125" style="399" customWidth="1"/>
    <col min="32" max="32" width="8.7109375" style="399" customWidth="1"/>
    <col min="33" max="33" width="9.85546875" style="399" customWidth="1"/>
    <col min="34" max="34" width="8.7109375" style="399" customWidth="1"/>
    <col min="35" max="37" width="9.140625" style="399"/>
    <col min="38" max="38" width="14.42578125" style="399" customWidth="1"/>
    <col min="39" max="39" width="8.7109375" style="399" customWidth="1"/>
    <col min="40" max="40" width="9.85546875" style="399" customWidth="1"/>
    <col min="41" max="41" width="8.7109375" style="399" customWidth="1"/>
    <col min="42" max="44" width="9.140625" style="399"/>
    <col min="45" max="45" width="14.42578125" style="399" customWidth="1"/>
    <col min="46" max="46" width="8.7109375" style="399" customWidth="1"/>
    <col min="47" max="47" width="9.85546875" style="399" customWidth="1"/>
    <col min="48" max="48" width="8.7109375" style="399" customWidth="1"/>
    <col min="49" max="51" width="9.140625" style="399"/>
    <col min="52" max="52" width="14.42578125" style="399" customWidth="1"/>
    <col min="53" max="16384" width="9.140625" style="399"/>
  </cols>
  <sheetData>
    <row r="1" spans="1:52" ht="26.25" x14ac:dyDescent="0.25">
      <c r="A1" s="395" t="s">
        <v>243</v>
      </c>
      <c r="B1" s="396" t="s">
        <v>242</v>
      </c>
      <c r="C1" s="397"/>
      <c r="D1" s="397"/>
      <c r="E1" s="398"/>
      <c r="F1" s="398"/>
      <c r="G1" s="398"/>
      <c r="H1" s="397"/>
      <c r="I1" s="397"/>
      <c r="J1" s="397"/>
      <c r="K1" s="397"/>
      <c r="L1" s="398"/>
      <c r="M1" s="398"/>
      <c r="N1" s="398"/>
      <c r="O1" s="397"/>
      <c r="P1" s="397"/>
      <c r="Q1" s="397"/>
      <c r="R1" s="397"/>
      <c r="S1" s="398"/>
      <c r="T1" s="398"/>
      <c r="U1" s="398"/>
      <c r="V1" s="397"/>
      <c r="W1" s="397"/>
      <c r="X1" s="397"/>
      <c r="Y1" s="397"/>
      <c r="Z1" s="398"/>
      <c r="AA1" s="398"/>
      <c r="AB1" s="398"/>
      <c r="AC1" s="397"/>
      <c r="AD1" s="397"/>
      <c r="AE1" s="397"/>
      <c r="AF1" s="397"/>
      <c r="AG1" s="398"/>
      <c r="AH1" s="398"/>
      <c r="AI1" s="398"/>
      <c r="AJ1" s="397"/>
      <c r="AK1" s="397"/>
      <c r="AL1" s="397"/>
      <c r="AM1" s="397"/>
      <c r="AN1" s="398"/>
      <c r="AO1" s="398"/>
      <c r="AP1" s="398"/>
      <c r="AQ1" s="397"/>
      <c r="AR1" s="397"/>
      <c r="AS1" s="397"/>
      <c r="AT1" s="397"/>
      <c r="AU1" s="398"/>
      <c r="AV1" s="398"/>
      <c r="AW1" s="398"/>
      <c r="AX1" s="397"/>
      <c r="AY1" s="397"/>
      <c r="AZ1" s="397"/>
    </row>
    <row r="2" spans="1:52" ht="5.25" customHeight="1" x14ac:dyDescent="0.25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397"/>
      <c r="AG2" s="397"/>
      <c r="AH2" s="397"/>
      <c r="AI2" s="397"/>
      <c r="AJ2" s="397"/>
      <c r="AK2" s="397"/>
      <c r="AL2" s="397"/>
      <c r="AM2" s="397"/>
      <c r="AN2" s="397"/>
      <c r="AO2" s="397"/>
      <c r="AP2" s="397"/>
      <c r="AQ2" s="397"/>
      <c r="AR2" s="397"/>
      <c r="AS2" s="397"/>
      <c r="AT2" s="397"/>
      <c r="AU2" s="397"/>
      <c r="AV2" s="397"/>
      <c r="AW2" s="397"/>
      <c r="AX2" s="397"/>
      <c r="AY2" s="397"/>
      <c r="AZ2" s="397"/>
    </row>
    <row r="3" spans="1:52" ht="17.25" customHeight="1" x14ac:dyDescent="0.25">
      <c r="A3" s="1010" t="str">
        <f>'0.기초및고정비'!C4&amp;'0.기초및고정비'!D4&amp;A1</f>
        <v>2026년4월월초</v>
      </c>
      <c r="B3" s="1010"/>
      <c r="C3" s="397"/>
      <c r="D3" s="397"/>
      <c r="E3" s="397"/>
      <c r="F3" s="400"/>
      <c r="G3" s="400"/>
      <c r="H3" s="397"/>
      <c r="I3" s="397"/>
      <c r="J3" s="397"/>
      <c r="K3" s="397"/>
      <c r="L3" s="397"/>
      <c r="M3" s="400"/>
      <c r="N3" s="400"/>
      <c r="O3" s="397"/>
      <c r="P3" s="397"/>
      <c r="Q3" s="397"/>
      <c r="R3" s="397"/>
      <c r="S3" s="397"/>
      <c r="T3" s="400"/>
      <c r="U3" s="400"/>
      <c r="V3" s="397"/>
      <c r="W3" s="397"/>
      <c r="X3" s="397"/>
      <c r="Y3" s="397"/>
      <c r="Z3" s="397"/>
      <c r="AA3" s="400"/>
      <c r="AB3" s="400"/>
      <c r="AC3" s="397"/>
      <c r="AD3" s="397"/>
      <c r="AE3" s="397"/>
      <c r="AF3" s="397"/>
      <c r="AG3" s="397"/>
      <c r="AH3" s="400"/>
      <c r="AI3" s="400"/>
      <c r="AJ3" s="397"/>
      <c r="AK3" s="397"/>
      <c r="AL3" s="397"/>
      <c r="AM3" s="397"/>
      <c r="AN3" s="397"/>
      <c r="AO3" s="400"/>
      <c r="AP3" s="400"/>
      <c r="AQ3" s="397"/>
      <c r="AR3" s="397"/>
      <c r="AS3" s="397"/>
      <c r="AT3" s="397"/>
      <c r="AU3" s="397"/>
      <c r="AV3" s="400"/>
      <c r="AW3" s="400"/>
      <c r="AX3" s="397"/>
      <c r="AY3" s="397"/>
      <c r="AZ3" s="397"/>
    </row>
    <row r="4" spans="1:52" ht="17.25" customHeight="1" x14ac:dyDescent="0.25">
      <c r="A4" s="1010"/>
      <c r="B4" s="1010"/>
      <c r="C4" s="397"/>
      <c r="D4" s="397"/>
      <c r="E4" s="397"/>
      <c r="F4" s="400"/>
      <c r="G4" s="400"/>
      <c r="H4" s="397"/>
      <c r="I4" s="397"/>
      <c r="J4" s="397"/>
      <c r="K4" s="397"/>
      <c r="L4" s="397"/>
      <c r="M4" s="400"/>
      <c r="N4" s="400"/>
      <c r="O4" s="397"/>
      <c r="P4" s="397"/>
      <c r="Q4" s="397"/>
      <c r="R4" s="397"/>
      <c r="S4" s="397"/>
      <c r="T4" s="400"/>
      <c r="U4" s="400"/>
      <c r="V4" s="397"/>
      <c r="W4" s="397"/>
      <c r="X4" s="397"/>
      <c r="Y4" s="397"/>
      <c r="Z4" s="397"/>
      <c r="AA4" s="400"/>
      <c r="AB4" s="400"/>
      <c r="AC4" s="397"/>
      <c r="AD4" s="397"/>
      <c r="AE4" s="397"/>
      <c r="AF4" s="397"/>
      <c r="AG4" s="397"/>
      <c r="AH4" s="400"/>
      <c r="AI4" s="400"/>
      <c r="AJ4" s="397"/>
      <c r="AK4" s="397"/>
      <c r="AL4" s="397"/>
      <c r="AM4" s="397"/>
      <c r="AN4" s="397"/>
      <c r="AO4" s="400"/>
      <c r="AP4" s="400"/>
      <c r="AQ4" s="397"/>
      <c r="AR4" s="397"/>
      <c r="AS4" s="397"/>
      <c r="AT4" s="397"/>
      <c r="AU4" s="397"/>
      <c r="AV4" s="400"/>
      <c r="AW4" s="400"/>
      <c r="AX4" s="397"/>
      <c r="AY4" s="397"/>
      <c r="AZ4" s="397"/>
    </row>
    <row r="5" spans="1:52" ht="6" customHeight="1" thickBot="1" x14ac:dyDescent="0.3">
      <c r="A5" s="397"/>
      <c r="B5" s="397"/>
      <c r="C5" s="397"/>
      <c r="D5" s="401"/>
      <c r="E5" s="401"/>
      <c r="F5" s="401"/>
      <c r="G5" s="401"/>
      <c r="H5" s="397"/>
      <c r="I5" s="397"/>
      <c r="J5" s="397"/>
      <c r="K5" s="401"/>
      <c r="L5" s="401"/>
      <c r="M5" s="401"/>
      <c r="N5" s="401"/>
      <c r="O5" s="397"/>
      <c r="P5" s="397"/>
      <c r="Q5" s="397"/>
      <c r="R5" s="401"/>
      <c r="S5" s="401"/>
      <c r="T5" s="401"/>
      <c r="U5" s="401"/>
      <c r="V5" s="397"/>
      <c r="W5" s="397"/>
      <c r="X5" s="397"/>
      <c r="Y5" s="401"/>
      <c r="Z5" s="401"/>
      <c r="AA5" s="401"/>
      <c r="AB5" s="401"/>
      <c r="AC5" s="397"/>
      <c r="AD5" s="397"/>
      <c r="AE5" s="397"/>
      <c r="AF5" s="401"/>
      <c r="AG5" s="401"/>
      <c r="AH5" s="401"/>
      <c r="AI5" s="401"/>
      <c r="AJ5" s="397"/>
      <c r="AK5" s="397"/>
      <c r="AL5" s="397"/>
      <c r="AM5" s="401"/>
      <c r="AN5" s="401"/>
      <c r="AO5" s="401"/>
      <c r="AP5" s="401"/>
      <c r="AQ5" s="397"/>
      <c r="AR5" s="397"/>
      <c r="AS5" s="397"/>
      <c r="AT5" s="401"/>
      <c r="AU5" s="401"/>
      <c r="AV5" s="401"/>
      <c r="AW5" s="401"/>
      <c r="AX5" s="397"/>
      <c r="AY5" s="397"/>
      <c r="AZ5" s="397"/>
    </row>
    <row r="6" spans="1:52" ht="21" customHeight="1" x14ac:dyDescent="0.25">
      <c r="A6" s="1011" t="s">
        <v>207</v>
      </c>
      <c r="B6" s="1013" t="s">
        <v>208</v>
      </c>
      <c r="C6" s="397"/>
      <c r="D6" s="402" t="s">
        <v>209</v>
      </c>
      <c r="E6" s="403" t="s">
        <v>248</v>
      </c>
      <c r="F6" s="402" t="s">
        <v>210</v>
      </c>
      <c r="G6" s="1006" t="s">
        <v>249</v>
      </c>
      <c r="H6" s="1006"/>
      <c r="I6" s="404"/>
      <c r="J6" s="405">
        <f>SUM(J8:J117)</f>
        <v>0</v>
      </c>
      <c r="K6" s="406" t="s">
        <v>209</v>
      </c>
      <c r="L6" s="403" t="s">
        <v>250</v>
      </c>
      <c r="M6" s="402" t="s">
        <v>210</v>
      </c>
      <c r="N6" s="1006" t="s">
        <v>252</v>
      </c>
      <c r="O6" s="1006"/>
      <c r="P6" s="404"/>
      <c r="Q6" s="405">
        <f>SUM(Q8:Q117)</f>
        <v>0</v>
      </c>
      <c r="R6" s="406" t="s">
        <v>209</v>
      </c>
      <c r="S6" s="403" t="s">
        <v>251</v>
      </c>
      <c r="T6" s="402" t="s">
        <v>210</v>
      </c>
      <c r="U6" s="1006" t="s">
        <v>211</v>
      </c>
      <c r="V6" s="1006"/>
      <c r="W6" s="404"/>
      <c r="X6" s="405">
        <f>SUM(X8:X117)</f>
        <v>0</v>
      </c>
      <c r="Y6" s="406" t="s">
        <v>209</v>
      </c>
      <c r="Z6" s="403">
        <f>'4.데일리단가원재료'!H1</f>
        <v>0</v>
      </c>
      <c r="AA6" s="402" t="s">
        <v>210</v>
      </c>
      <c r="AB6" s="1006">
        <f>'4.데일리단가원재료'!L1</f>
        <v>0</v>
      </c>
      <c r="AC6" s="1006"/>
      <c r="AD6" s="404"/>
      <c r="AE6" s="405">
        <f>SUM(AE8:AE117)</f>
        <v>0</v>
      </c>
      <c r="AF6" s="406" t="s">
        <v>209</v>
      </c>
      <c r="AG6" s="403">
        <f>'4.데일리단가원재료2'!H1</f>
        <v>0</v>
      </c>
      <c r="AH6" s="402" t="s">
        <v>210</v>
      </c>
      <c r="AI6" s="1006">
        <f>'4.데일리단가원재료2'!L1</f>
        <v>0</v>
      </c>
      <c r="AJ6" s="1006"/>
      <c r="AK6" s="404"/>
      <c r="AL6" s="405">
        <f>SUM(AL8:AL117)</f>
        <v>0</v>
      </c>
      <c r="AM6" s="406" t="s">
        <v>209</v>
      </c>
      <c r="AN6" s="403" t="s">
        <v>212</v>
      </c>
      <c r="AO6" s="402" t="s">
        <v>210</v>
      </c>
      <c r="AP6" s="1006" t="s">
        <v>213</v>
      </c>
      <c r="AQ6" s="1006"/>
      <c r="AR6" s="404"/>
      <c r="AS6" s="405">
        <f>SUM(AS8:AS117)</f>
        <v>0</v>
      </c>
      <c r="AT6" s="406" t="s">
        <v>209</v>
      </c>
      <c r="AU6" s="403" t="s">
        <v>214</v>
      </c>
      <c r="AV6" s="402" t="s">
        <v>210</v>
      </c>
      <c r="AW6" s="1006" t="s">
        <v>215</v>
      </c>
      <c r="AX6" s="1006"/>
      <c r="AY6" s="404"/>
      <c r="AZ6" s="407">
        <f>SUM(AZ8:AZ117)</f>
        <v>0</v>
      </c>
    </row>
    <row r="7" spans="1:52" ht="17.25" customHeight="1" thickBot="1" x14ac:dyDescent="0.3">
      <c r="A7" s="1012"/>
      <c r="B7" s="1014"/>
      <c r="C7" s="397"/>
      <c r="D7" s="1007" t="s">
        <v>216</v>
      </c>
      <c r="E7" s="1008"/>
      <c r="F7" s="1009"/>
      <c r="G7" s="409" t="s">
        <v>217</v>
      </c>
      <c r="H7" s="408" t="s">
        <v>218</v>
      </c>
      <c r="I7" s="410" t="s">
        <v>219</v>
      </c>
      <c r="J7" s="411" t="s">
        <v>178</v>
      </c>
      <c r="K7" s="1007" t="s">
        <v>216</v>
      </c>
      <c r="L7" s="1008"/>
      <c r="M7" s="1008"/>
      <c r="N7" s="409" t="s">
        <v>217</v>
      </c>
      <c r="O7" s="408" t="s">
        <v>218</v>
      </c>
      <c r="P7" s="410" t="s">
        <v>219</v>
      </c>
      <c r="Q7" s="411" t="s">
        <v>178</v>
      </c>
      <c r="R7" s="1007" t="s">
        <v>216</v>
      </c>
      <c r="S7" s="1008"/>
      <c r="T7" s="1008"/>
      <c r="U7" s="409" t="s">
        <v>217</v>
      </c>
      <c r="V7" s="408" t="s">
        <v>218</v>
      </c>
      <c r="W7" s="410" t="s">
        <v>219</v>
      </c>
      <c r="X7" s="411" t="s">
        <v>178</v>
      </c>
      <c r="Y7" s="1007" t="s">
        <v>216</v>
      </c>
      <c r="Z7" s="1008"/>
      <c r="AA7" s="1008"/>
      <c r="AB7" s="409" t="s">
        <v>217</v>
      </c>
      <c r="AC7" s="408" t="s">
        <v>218</v>
      </c>
      <c r="AD7" s="410" t="s">
        <v>219</v>
      </c>
      <c r="AE7" s="411" t="s">
        <v>178</v>
      </c>
      <c r="AF7" s="1007" t="s">
        <v>216</v>
      </c>
      <c r="AG7" s="1008"/>
      <c r="AH7" s="1008"/>
      <c r="AI7" s="409" t="s">
        <v>217</v>
      </c>
      <c r="AJ7" s="408" t="s">
        <v>218</v>
      </c>
      <c r="AK7" s="410" t="s">
        <v>219</v>
      </c>
      <c r="AL7" s="411" t="s">
        <v>178</v>
      </c>
      <c r="AM7" s="1007" t="s">
        <v>216</v>
      </c>
      <c r="AN7" s="1008"/>
      <c r="AO7" s="1008"/>
      <c r="AP7" s="409" t="s">
        <v>217</v>
      </c>
      <c r="AQ7" s="408" t="s">
        <v>218</v>
      </c>
      <c r="AR7" s="410" t="s">
        <v>219</v>
      </c>
      <c r="AS7" s="411" t="s">
        <v>178</v>
      </c>
      <c r="AT7" s="1007" t="s">
        <v>216</v>
      </c>
      <c r="AU7" s="1008"/>
      <c r="AV7" s="1008"/>
      <c r="AW7" s="409" t="s">
        <v>217</v>
      </c>
      <c r="AX7" s="408" t="s">
        <v>218</v>
      </c>
      <c r="AY7" s="410" t="s">
        <v>219</v>
      </c>
      <c r="AZ7" s="412" t="s">
        <v>178</v>
      </c>
    </row>
    <row r="8" spans="1:52" ht="16.5" customHeight="1" x14ac:dyDescent="0.25">
      <c r="A8" s="1023" t="s">
        <v>245</v>
      </c>
      <c r="B8" s="1025">
        <f>J6</f>
        <v>0</v>
      </c>
      <c r="C8" s="397"/>
      <c r="D8" s="1017"/>
      <c r="E8" s="1027"/>
      <c r="F8" s="1028"/>
      <c r="G8" s="413"/>
      <c r="H8" s="414"/>
      <c r="I8" s="415"/>
      <c r="J8" s="416">
        <f>H8*I8</f>
        <v>0</v>
      </c>
      <c r="K8" s="1015" t="s">
        <v>376</v>
      </c>
      <c r="L8" s="1016"/>
      <c r="M8" s="1017"/>
      <c r="N8" s="413" t="s">
        <v>292</v>
      </c>
      <c r="O8" s="414"/>
      <c r="P8" s="415"/>
      <c r="Q8" s="416">
        <f t="shared" ref="Q8:Q65" si="0">O8*P8</f>
        <v>0</v>
      </c>
      <c r="R8" s="1015"/>
      <c r="S8" s="1016"/>
      <c r="T8" s="1017"/>
      <c r="U8" s="413"/>
      <c r="V8" s="414"/>
      <c r="W8" s="415"/>
      <c r="X8" s="416">
        <f>V8*W8</f>
        <v>0</v>
      </c>
      <c r="Y8" s="1015"/>
      <c r="Z8" s="1016"/>
      <c r="AA8" s="1017"/>
      <c r="AB8" s="413"/>
      <c r="AC8" s="414"/>
      <c r="AD8" s="415"/>
      <c r="AE8" s="416">
        <f>AC8*AD8</f>
        <v>0</v>
      </c>
      <c r="AF8" s="1015"/>
      <c r="AG8" s="1016"/>
      <c r="AH8" s="1017"/>
      <c r="AI8" s="413"/>
      <c r="AJ8" s="414"/>
      <c r="AK8" s="415"/>
      <c r="AL8" s="416">
        <f>AJ8*AK8</f>
        <v>0</v>
      </c>
      <c r="AM8" s="1015" t="s">
        <v>260</v>
      </c>
      <c r="AN8" s="1016"/>
      <c r="AO8" s="1017"/>
      <c r="AP8" s="413" t="s">
        <v>261</v>
      </c>
      <c r="AQ8" s="414"/>
      <c r="AR8" s="415">
        <v>43700</v>
      </c>
      <c r="AS8" s="416">
        <f>AQ8*AR8</f>
        <v>0</v>
      </c>
      <c r="AT8" s="1015" t="s">
        <v>286</v>
      </c>
      <c r="AU8" s="1016"/>
      <c r="AV8" s="1017"/>
      <c r="AW8" s="413" t="s">
        <v>261</v>
      </c>
      <c r="AX8" s="414"/>
      <c r="AY8" s="415">
        <v>20000</v>
      </c>
      <c r="AZ8" s="417">
        <f>AX8*AY8</f>
        <v>0</v>
      </c>
    </row>
    <row r="9" spans="1:52" ht="16.5" customHeight="1" x14ac:dyDescent="0.25">
      <c r="A9" s="1024"/>
      <c r="B9" s="1026"/>
      <c r="C9" s="397"/>
      <c r="D9" s="1018"/>
      <c r="E9" s="1019"/>
      <c r="F9" s="1020"/>
      <c r="G9" s="418"/>
      <c r="H9" s="419"/>
      <c r="I9" s="420"/>
      <c r="J9" s="416">
        <f t="shared" ref="J9:J72" si="1">H9*I9</f>
        <v>0</v>
      </c>
      <c r="K9" s="1021" t="s">
        <v>377</v>
      </c>
      <c r="L9" s="1022"/>
      <c r="M9" s="1018"/>
      <c r="N9" s="418" t="s">
        <v>292</v>
      </c>
      <c r="O9" s="419"/>
      <c r="P9" s="420"/>
      <c r="Q9" s="416">
        <f t="shared" si="0"/>
        <v>0</v>
      </c>
      <c r="R9" s="1021"/>
      <c r="S9" s="1022"/>
      <c r="T9" s="1018"/>
      <c r="U9" s="418"/>
      <c r="V9" s="419"/>
      <c r="W9" s="420"/>
      <c r="X9" s="416">
        <f t="shared" ref="X9:X56" si="2">V9*W9</f>
        <v>0</v>
      </c>
      <c r="Y9" s="1021"/>
      <c r="Z9" s="1022"/>
      <c r="AA9" s="1018"/>
      <c r="AB9" s="418"/>
      <c r="AC9" s="419"/>
      <c r="AD9" s="420"/>
      <c r="AE9" s="416">
        <f t="shared" ref="AE9:AE56" si="3">AC9*AD9</f>
        <v>0</v>
      </c>
      <c r="AF9" s="1021"/>
      <c r="AG9" s="1022"/>
      <c r="AH9" s="1018"/>
      <c r="AI9" s="418"/>
      <c r="AJ9" s="419"/>
      <c r="AK9" s="420"/>
      <c r="AL9" s="416">
        <f t="shared" ref="AL9:AL56" si="4">AJ9*AK9</f>
        <v>0</v>
      </c>
      <c r="AM9" s="1021" t="s">
        <v>262</v>
      </c>
      <c r="AN9" s="1022"/>
      <c r="AO9" s="1018"/>
      <c r="AP9" s="418" t="s">
        <v>261</v>
      </c>
      <c r="AQ9" s="419"/>
      <c r="AR9" s="420">
        <v>43700</v>
      </c>
      <c r="AS9" s="416">
        <f t="shared" ref="AS9:AS56" si="5">AQ9*AR9</f>
        <v>0</v>
      </c>
      <c r="AT9" s="1021" t="s">
        <v>287</v>
      </c>
      <c r="AU9" s="1022"/>
      <c r="AV9" s="1018"/>
      <c r="AW9" s="418" t="s">
        <v>288</v>
      </c>
      <c r="AX9" s="419"/>
      <c r="AY9" s="420">
        <v>20000</v>
      </c>
      <c r="AZ9" s="417">
        <f t="shared" ref="AZ9:AZ56" si="6">AX9*AY9</f>
        <v>0</v>
      </c>
    </row>
    <row r="10" spans="1:52" ht="16.5" customHeight="1" x14ac:dyDescent="0.25">
      <c r="A10" s="1024" t="s">
        <v>246</v>
      </c>
      <c r="B10" s="1029">
        <f>Q6</f>
        <v>0</v>
      </c>
      <c r="C10" s="397"/>
      <c r="D10" s="1018"/>
      <c r="E10" s="1019"/>
      <c r="F10" s="1020"/>
      <c r="G10" s="418"/>
      <c r="H10" s="419"/>
      <c r="I10" s="420"/>
      <c r="J10" s="416">
        <f t="shared" si="1"/>
        <v>0</v>
      </c>
      <c r="K10" s="1021" t="s">
        <v>378</v>
      </c>
      <c r="L10" s="1022"/>
      <c r="M10" s="1018"/>
      <c r="N10" s="418" t="s">
        <v>315</v>
      </c>
      <c r="O10" s="419"/>
      <c r="P10" s="420"/>
      <c r="Q10" s="416">
        <f t="shared" si="0"/>
        <v>0</v>
      </c>
      <c r="R10" s="1021"/>
      <c r="S10" s="1022"/>
      <c r="T10" s="1018"/>
      <c r="U10" s="418"/>
      <c r="V10" s="419"/>
      <c r="W10" s="420"/>
      <c r="X10" s="416">
        <f t="shared" si="2"/>
        <v>0</v>
      </c>
      <c r="Y10" s="1021"/>
      <c r="Z10" s="1022"/>
      <c r="AA10" s="1018"/>
      <c r="AB10" s="418"/>
      <c r="AC10" s="419"/>
      <c r="AD10" s="420"/>
      <c r="AE10" s="416">
        <f t="shared" si="3"/>
        <v>0</v>
      </c>
      <c r="AF10" s="1021"/>
      <c r="AG10" s="1022"/>
      <c r="AH10" s="1018"/>
      <c r="AI10" s="418"/>
      <c r="AJ10" s="419"/>
      <c r="AK10" s="420"/>
      <c r="AL10" s="416">
        <f t="shared" si="4"/>
        <v>0</v>
      </c>
      <c r="AM10" s="1021" t="s">
        <v>263</v>
      </c>
      <c r="AN10" s="1022"/>
      <c r="AO10" s="1018"/>
      <c r="AP10" s="418" t="s">
        <v>261</v>
      </c>
      <c r="AQ10" s="419"/>
      <c r="AR10" s="420">
        <v>43900</v>
      </c>
      <c r="AS10" s="416">
        <f t="shared" si="5"/>
        <v>0</v>
      </c>
      <c r="AT10" s="1021" t="s">
        <v>289</v>
      </c>
      <c r="AU10" s="1022"/>
      <c r="AV10" s="1018"/>
      <c r="AW10" s="418" t="s">
        <v>288</v>
      </c>
      <c r="AX10" s="419"/>
      <c r="AY10" s="420">
        <v>17000</v>
      </c>
      <c r="AZ10" s="417">
        <f t="shared" si="6"/>
        <v>0</v>
      </c>
    </row>
    <row r="11" spans="1:52" ht="16.5" customHeight="1" x14ac:dyDescent="0.25">
      <c r="A11" s="1024"/>
      <c r="B11" s="1026"/>
      <c r="C11" s="397"/>
      <c r="D11" s="1018"/>
      <c r="E11" s="1019"/>
      <c r="F11" s="1020"/>
      <c r="G11" s="418"/>
      <c r="H11" s="419"/>
      <c r="I11" s="420"/>
      <c r="J11" s="416">
        <f t="shared" si="1"/>
        <v>0</v>
      </c>
      <c r="K11" s="1018" t="s">
        <v>379</v>
      </c>
      <c r="L11" s="1019"/>
      <c r="M11" s="1019"/>
      <c r="N11" s="418" t="s">
        <v>315</v>
      </c>
      <c r="O11" s="419"/>
      <c r="P11" s="420"/>
      <c r="Q11" s="416">
        <f t="shared" si="0"/>
        <v>0</v>
      </c>
      <c r="R11" s="1018"/>
      <c r="S11" s="1019"/>
      <c r="T11" s="1019"/>
      <c r="U11" s="418"/>
      <c r="V11" s="419"/>
      <c r="W11" s="420"/>
      <c r="X11" s="416">
        <f t="shared" si="2"/>
        <v>0</v>
      </c>
      <c r="Y11" s="1018"/>
      <c r="Z11" s="1019"/>
      <c r="AA11" s="1019"/>
      <c r="AB11" s="418"/>
      <c r="AC11" s="419"/>
      <c r="AD11" s="420"/>
      <c r="AE11" s="416">
        <f t="shared" si="3"/>
        <v>0</v>
      </c>
      <c r="AF11" s="1018"/>
      <c r="AG11" s="1019"/>
      <c r="AH11" s="1019"/>
      <c r="AI11" s="418"/>
      <c r="AJ11" s="419"/>
      <c r="AK11" s="420"/>
      <c r="AL11" s="416">
        <f t="shared" si="4"/>
        <v>0</v>
      </c>
      <c r="AM11" s="1018" t="s">
        <v>264</v>
      </c>
      <c r="AN11" s="1019"/>
      <c r="AO11" s="1019"/>
      <c r="AP11" s="418" t="s">
        <v>261</v>
      </c>
      <c r="AQ11" s="419"/>
      <c r="AR11" s="420">
        <v>43900</v>
      </c>
      <c r="AS11" s="416">
        <f t="shared" si="5"/>
        <v>0</v>
      </c>
      <c r="AT11" s="1018" t="s">
        <v>290</v>
      </c>
      <c r="AU11" s="1019"/>
      <c r="AV11" s="1019"/>
      <c r="AW11" s="418" t="s">
        <v>288</v>
      </c>
      <c r="AX11" s="419"/>
      <c r="AY11" s="420">
        <v>16000</v>
      </c>
      <c r="AZ11" s="417">
        <f t="shared" si="6"/>
        <v>0</v>
      </c>
    </row>
    <row r="12" spans="1:52" ht="16.5" customHeight="1" x14ac:dyDescent="0.25">
      <c r="A12" s="1024" t="s">
        <v>247</v>
      </c>
      <c r="B12" s="1029">
        <f>X6</f>
        <v>0</v>
      </c>
      <c r="C12" s="397"/>
      <c r="D12" s="1018"/>
      <c r="E12" s="1019"/>
      <c r="F12" s="1020"/>
      <c r="G12" s="418"/>
      <c r="H12" s="419"/>
      <c r="I12" s="420"/>
      <c r="J12" s="416">
        <f t="shared" si="1"/>
        <v>0</v>
      </c>
      <c r="K12" s="1018" t="s">
        <v>380</v>
      </c>
      <c r="L12" s="1019"/>
      <c r="M12" s="1019"/>
      <c r="N12" s="418" t="s">
        <v>315</v>
      </c>
      <c r="O12" s="419"/>
      <c r="P12" s="420"/>
      <c r="Q12" s="416">
        <f t="shared" si="0"/>
        <v>0</v>
      </c>
      <c r="R12" s="1018"/>
      <c r="S12" s="1019"/>
      <c r="T12" s="1019"/>
      <c r="U12" s="418"/>
      <c r="V12" s="419"/>
      <c r="W12" s="420"/>
      <c r="X12" s="416">
        <f t="shared" si="2"/>
        <v>0</v>
      </c>
      <c r="Y12" s="1018"/>
      <c r="Z12" s="1019"/>
      <c r="AA12" s="1019"/>
      <c r="AB12" s="418"/>
      <c r="AC12" s="419"/>
      <c r="AD12" s="420"/>
      <c r="AE12" s="416">
        <f t="shared" si="3"/>
        <v>0</v>
      </c>
      <c r="AF12" s="1018"/>
      <c r="AG12" s="1019"/>
      <c r="AH12" s="1019"/>
      <c r="AI12" s="418"/>
      <c r="AJ12" s="419"/>
      <c r="AK12" s="420"/>
      <c r="AL12" s="416">
        <f t="shared" si="4"/>
        <v>0</v>
      </c>
      <c r="AM12" s="1018" t="s">
        <v>265</v>
      </c>
      <c r="AN12" s="1019"/>
      <c r="AO12" s="1019"/>
      <c r="AP12" s="418" t="s">
        <v>266</v>
      </c>
      <c r="AQ12" s="419"/>
      <c r="AR12" s="420">
        <v>57500</v>
      </c>
      <c r="AS12" s="416">
        <f t="shared" si="5"/>
        <v>0</v>
      </c>
      <c r="AT12" s="1018"/>
      <c r="AU12" s="1019"/>
      <c r="AV12" s="1019"/>
      <c r="AW12" s="418"/>
      <c r="AX12" s="419"/>
      <c r="AY12" s="420"/>
      <c r="AZ12" s="417">
        <f t="shared" si="6"/>
        <v>0</v>
      </c>
    </row>
    <row r="13" spans="1:52" ht="16.5" customHeight="1" x14ac:dyDescent="0.25">
      <c r="A13" s="1024"/>
      <c r="B13" s="1026"/>
      <c r="C13" s="397"/>
      <c r="D13" s="1018"/>
      <c r="E13" s="1019"/>
      <c r="F13" s="1020"/>
      <c r="G13" s="418"/>
      <c r="H13" s="419"/>
      <c r="I13" s="420"/>
      <c r="J13" s="416">
        <f t="shared" si="1"/>
        <v>0</v>
      </c>
      <c r="K13" s="1018" t="s">
        <v>381</v>
      </c>
      <c r="L13" s="1019"/>
      <c r="M13" s="1019"/>
      <c r="N13" s="418" t="s">
        <v>382</v>
      </c>
      <c r="O13" s="419"/>
      <c r="P13" s="420"/>
      <c r="Q13" s="416">
        <f t="shared" si="0"/>
        <v>0</v>
      </c>
      <c r="R13" s="1018"/>
      <c r="S13" s="1019"/>
      <c r="T13" s="1019"/>
      <c r="U13" s="418"/>
      <c r="V13" s="419"/>
      <c r="W13" s="420"/>
      <c r="X13" s="416">
        <f t="shared" si="2"/>
        <v>0</v>
      </c>
      <c r="Y13" s="1018"/>
      <c r="Z13" s="1019"/>
      <c r="AA13" s="1019"/>
      <c r="AB13" s="418"/>
      <c r="AC13" s="419"/>
      <c r="AD13" s="420"/>
      <c r="AE13" s="416">
        <f t="shared" si="3"/>
        <v>0</v>
      </c>
      <c r="AF13" s="1018"/>
      <c r="AG13" s="1019"/>
      <c r="AH13" s="1019"/>
      <c r="AI13" s="418"/>
      <c r="AJ13" s="419"/>
      <c r="AK13" s="420"/>
      <c r="AL13" s="416">
        <f t="shared" si="4"/>
        <v>0</v>
      </c>
      <c r="AM13" s="1018" t="s">
        <v>267</v>
      </c>
      <c r="AN13" s="1019"/>
      <c r="AO13" s="1019"/>
      <c r="AP13" s="418" t="s">
        <v>266</v>
      </c>
      <c r="AQ13" s="419"/>
      <c r="AR13" s="420">
        <v>77660</v>
      </c>
      <c r="AS13" s="416">
        <f t="shared" si="5"/>
        <v>0</v>
      </c>
      <c r="AT13" s="1018"/>
      <c r="AU13" s="1019"/>
      <c r="AV13" s="1019"/>
      <c r="AW13" s="418"/>
      <c r="AX13" s="419"/>
      <c r="AY13" s="420"/>
      <c r="AZ13" s="417">
        <f t="shared" si="6"/>
        <v>0</v>
      </c>
    </row>
    <row r="14" spans="1:52" ht="16.5" customHeight="1" x14ac:dyDescent="0.25">
      <c r="A14" s="1024">
        <f>AN2</f>
        <v>0</v>
      </c>
      <c r="B14" s="1029">
        <f>AE6</f>
        <v>0</v>
      </c>
      <c r="C14" s="397"/>
      <c r="D14" s="1018"/>
      <c r="E14" s="1019"/>
      <c r="F14" s="1020"/>
      <c r="G14" s="418"/>
      <c r="H14" s="419"/>
      <c r="I14" s="420"/>
      <c r="J14" s="416">
        <f t="shared" si="1"/>
        <v>0</v>
      </c>
      <c r="K14" s="1018" t="s">
        <v>383</v>
      </c>
      <c r="L14" s="1019"/>
      <c r="M14" s="1019"/>
      <c r="N14" s="418" t="s">
        <v>292</v>
      </c>
      <c r="O14" s="419"/>
      <c r="P14" s="420"/>
      <c r="Q14" s="416">
        <f t="shared" si="0"/>
        <v>0</v>
      </c>
      <c r="R14" s="1018"/>
      <c r="S14" s="1019"/>
      <c r="T14" s="1019"/>
      <c r="U14" s="418"/>
      <c r="V14" s="419"/>
      <c r="W14" s="420"/>
      <c r="X14" s="416">
        <f t="shared" si="2"/>
        <v>0</v>
      </c>
      <c r="Y14" s="1018"/>
      <c r="Z14" s="1019"/>
      <c r="AA14" s="1019"/>
      <c r="AB14" s="418"/>
      <c r="AC14" s="419"/>
      <c r="AD14" s="420"/>
      <c r="AE14" s="416">
        <f t="shared" si="3"/>
        <v>0</v>
      </c>
      <c r="AF14" s="1018"/>
      <c r="AG14" s="1019"/>
      <c r="AH14" s="1019"/>
      <c r="AI14" s="418"/>
      <c r="AJ14" s="419"/>
      <c r="AK14" s="420"/>
      <c r="AL14" s="416">
        <f t="shared" si="4"/>
        <v>0</v>
      </c>
      <c r="AM14" s="1018" t="s">
        <v>268</v>
      </c>
      <c r="AN14" s="1019"/>
      <c r="AO14" s="1019"/>
      <c r="AP14" s="418" t="s">
        <v>269</v>
      </c>
      <c r="AQ14" s="419"/>
      <c r="AR14" s="420">
        <v>29000</v>
      </c>
      <c r="AS14" s="416">
        <f t="shared" si="5"/>
        <v>0</v>
      </c>
      <c r="AT14" s="1018"/>
      <c r="AU14" s="1019"/>
      <c r="AV14" s="1019"/>
      <c r="AW14" s="418"/>
      <c r="AX14" s="419"/>
      <c r="AY14" s="420"/>
      <c r="AZ14" s="417">
        <f t="shared" si="6"/>
        <v>0</v>
      </c>
    </row>
    <row r="15" spans="1:52" ht="16.5" customHeight="1" x14ac:dyDescent="0.25">
      <c r="A15" s="1024"/>
      <c r="B15" s="1026"/>
      <c r="C15" s="397"/>
      <c r="D15" s="1018"/>
      <c r="E15" s="1019"/>
      <c r="F15" s="1020"/>
      <c r="G15" s="418"/>
      <c r="H15" s="419"/>
      <c r="I15" s="420"/>
      <c r="J15" s="416">
        <f t="shared" si="1"/>
        <v>0</v>
      </c>
      <c r="K15" s="1018" t="s">
        <v>384</v>
      </c>
      <c r="L15" s="1019"/>
      <c r="M15" s="1019"/>
      <c r="N15" s="418" t="s">
        <v>288</v>
      </c>
      <c r="O15" s="419"/>
      <c r="P15" s="420"/>
      <c r="Q15" s="416">
        <f t="shared" si="0"/>
        <v>0</v>
      </c>
      <c r="R15" s="1018"/>
      <c r="S15" s="1019"/>
      <c r="T15" s="1019"/>
      <c r="U15" s="418"/>
      <c r="V15" s="419"/>
      <c r="W15" s="420"/>
      <c r="X15" s="416">
        <f t="shared" si="2"/>
        <v>0</v>
      </c>
      <c r="Y15" s="1018"/>
      <c r="Z15" s="1019"/>
      <c r="AA15" s="1019"/>
      <c r="AB15" s="418"/>
      <c r="AC15" s="419"/>
      <c r="AD15" s="420"/>
      <c r="AE15" s="416">
        <f t="shared" si="3"/>
        <v>0</v>
      </c>
      <c r="AF15" s="1018"/>
      <c r="AG15" s="1019"/>
      <c r="AH15" s="1019"/>
      <c r="AI15" s="418"/>
      <c r="AJ15" s="419"/>
      <c r="AK15" s="420"/>
      <c r="AL15" s="416">
        <f t="shared" si="4"/>
        <v>0</v>
      </c>
      <c r="AM15" s="1018" t="s">
        <v>270</v>
      </c>
      <c r="AN15" s="1019"/>
      <c r="AO15" s="1019"/>
      <c r="AP15" s="418" t="s">
        <v>269</v>
      </c>
      <c r="AQ15" s="419"/>
      <c r="AR15" s="420">
        <v>29150</v>
      </c>
      <c r="AS15" s="416">
        <f t="shared" si="5"/>
        <v>0</v>
      </c>
      <c r="AT15" s="1018"/>
      <c r="AU15" s="1019"/>
      <c r="AV15" s="1019"/>
      <c r="AW15" s="418"/>
      <c r="AX15" s="419"/>
      <c r="AY15" s="420"/>
      <c r="AZ15" s="417">
        <f t="shared" si="6"/>
        <v>0</v>
      </c>
    </row>
    <row r="16" spans="1:52" ht="16.5" customHeight="1" x14ac:dyDescent="0.25">
      <c r="A16" s="1024">
        <f>AN4</f>
        <v>0</v>
      </c>
      <c r="B16" s="1029">
        <f>AL6</f>
        <v>0</v>
      </c>
      <c r="C16" s="397"/>
      <c r="D16" s="1018"/>
      <c r="E16" s="1019"/>
      <c r="F16" s="1020"/>
      <c r="G16" s="418"/>
      <c r="H16" s="419"/>
      <c r="I16" s="420"/>
      <c r="J16" s="416">
        <f t="shared" si="1"/>
        <v>0</v>
      </c>
      <c r="K16" s="1018" t="s">
        <v>385</v>
      </c>
      <c r="L16" s="1019" t="s">
        <v>386</v>
      </c>
      <c r="M16" s="1019"/>
      <c r="N16" s="418" t="s">
        <v>292</v>
      </c>
      <c r="O16" s="419"/>
      <c r="P16" s="420"/>
      <c r="Q16" s="416">
        <f t="shared" si="0"/>
        <v>0</v>
      </c>
      <c r="R16" s="1018"/>
      <c r="S16" s="1019"/>
      <c r="T16" s="1019"/>
      <c r="U16" s="418"/>
      <c r="V16" s="419"/>
      <c r="W16" s="420"/>
      <c r="X16" s="416">
        <f t="shared" si="2"/>
        <v>0</v>
      </c>
      <c r="Y16" s="1018"/>
      <c r="Z16" s="1019"/>
      <c r="AA16" s="1019"/>
      <c r="AB16" s="418"/>
      <c r="AC16" s="419"/>
      <c r="AD16" s="420"/>
      <c r="AE16" s="416">
        <f t="shared" si="3"/>
        <v>0</v>
      </c>
      <c r="AF16" s="1018"/>
      <c r="AG16" s="1019"/>
      <c r="AH16" s="1019"/>
      <c r="AI16" s="418"/>
      <c r="AJ16" s="419"/>
      <c r="AK16" s="420"/>
      <c r="AL16" s="416">
        <f t="shared" si="4"/>
        <v>0</v>
      </c>
      <c r="AM16" s="1018" t="s">
        <v>271</v>
      </c>
      <c r="AN16" s="1019"/>
      <c r="AO16" s="1019"/>
      <c r="AP16" s="418" t="s">
        <v>269</v>
      </c>
      <c r="AQ16" s="419"/>
      <c r="AR16" s="420">
        <v>40150</v>
      </c>
      <c r="AS16" s="416">
        <f t="shared" si="5"/>
        <v>0</v>
      </c>
      <c r="AT16" s="1018"/>
      <c r="AU16" s="1019"/>
      <c r="AV16" s="1019"/>
      <c r="AW16" s="418"/>
      <c r="AX16" s="419"/>
      <c r="AY16" s="420"/>
      <c r="AZ16" s="417">
        <f t="shared" si="6"/>
        <v>0</v>
      </c>
    </row>
    <row r="17" spans="1:52" ht="17.25" customHeight="1" x14ac:dyDescent="0.25">
      <c r="A17" s="1024"/>
      <c r="B17" s="1026"/>
      <c r="C17" s="397"/>
      <c r="D17" s="1018"/>
      <c r="E17" s="1019"/>
      <c r="F17" s="1020"/>
      <c r="G17" s="418"/>
      <c r="H17" s="419"/>
      <c r="I17" s="420"/>
      <c r="J17" s="416">
        <f t="shared" si="1"/>
        <v>0</v>
      </c>
      <c r="K17" s="1018" t="s">
        <v>387</v>
      </c>
      <c r="L17" s="1019"/>
      <c r="M17" s="1019"/>
      <c r="N17" s="418" t="s">
        <v>292</v>
      </c>
      <c r="O17" s="419"/>
      <c r="P17" s="420"/>
      <c r="Q17" s="416">
        <f t="shared" si="0"/>
        <v>0</v>
      </c>
      <c r="R17" s="1018"/>
      <c r="S17" s="1019"/>
      <c r="T17" s="1019"/>
      <c r="U17" s="418"/>
      <c r="V17" s="419"/>
      <c r="W17" s="420"/>
      <c r="X17" s="416">
        <f t="shared" si="2"/>
        <v>0</v>
      </c>
      <c r="Y17" s="1018"/>
      <c r="Z17" s="1019"/>
      <c r="AA17" s="1019"/>
      <c r="AB17" s="418"/>
      <c r="AC17" s="419"/>
      <c r="AD17" s="420"/>
      <c r="AE17" s="416">
        <f t="shared" si="3"/>
        <v>0</v>
      </c>
      <c r="AF17" s="1018"/>
      <c r="AG17" s="1019"/>
      <c r="AH17" s="1019"/>
      <c r="AI17" s="418"/>
      <c r="AJ17" s="419"/>
      <c r="AK17" s="420"/>
      <c r="AL17" s="416">
        <f t="shared" si="4"/>
        <v>0</v>
      </c>
      <c r="AM17" s="1018" t="s">
        <v>272</v>
      </c>
      <c r="AN17" s="1019"/>
      <c r="AO17" s="1019"/>
      <c r="AP17" s="418" t="s">
        <v>269</v>
      </c>
      <c r="AQ17" s="419"/>
      <c r="AR17" s="420">
        <v>23430</v>
      </c>
      <c r="AS17" s="416">
        <f t="shared" si="5"/>
        <v>0</v>
      </c>
      <c r="AT17" s="1018"/>
      <c r="AU17" s="1019"/>
      <c r="AV17" s="1019"/>
      <c r="AW17" s="418"/>
      <c r="AX17" s="419"/>
      <c r="AY17" s="420"/>
      <c r="AZ17" s="417">
        <f t="shared" si="6"/>
        <v>0</v>
      </c>
    </row>
    <row r="18" spans="1:52" ht="16.5" customHeight="1" x14ac:dyDescent="0.25">
      <c r="A18" s="1024" t="str">
        <f>AN6</f>
        <v>주류</v>
      </c>
      <c r="B18" s="1029">
        <f>AS6</f>
        <v>0</v>
      </c>
      <c r="C18" s="397"/>
      <c r="D18" s="1022"/>
      <c r="E18" s="1022"/>
      <c r="F18" s="1022"/>
      <c r="G18" s="418"/>
      <c r="H18" s="419"/>
      <c r="I18" s="420"/>
      <c r="J18" s="416">
        <f t="shared" si="1"/>
        <v>0</v>
      </c>
      <c r="K18" s="1018" t="s">
        <v>388</v>
      </c>
      <c r="L18" s="1019"/>
      <c r="M18" s="1019"/>
      <c r="N18" s="418" t="s">
        <v>292</v>
      </c>
      <c r="O18" s="419"/>
      <c r="P18" s="420"/>
      <c r="Q18" s="416">
        <f t="shared" si="0"/>
        <v>0</v>
      </c>
      <c r="R18" s="1018"/>
      <c r="S18" s="1019"/>
      <c r="T18" s="1019"/>
      <c r="U18" s="418"/>
      <c r="V18" s="419"/>
      <c r="W18" s="420"/>
      <c r="X18" s="416">
        <f t="shared" si="2"/>
        <v>0</v>
      </c>
      <c r="Y18" s="1018"/>
      <c r="Z18" s="1019"/>
      <c r="AA18" s="1019"/>
      <c r="AB18" s="418"/>
      <c r="AC18" s="419"/>
      <c r="AD18" s="420"/>
      <c r="AE18" s="416">
        <f t="shared" si="3"/>
        <v>0</v>
      </c>
      <c r="AF18" s="1018"/>
      <c r="AG18" s="1019"/>
      <c r="AH18" s="1019"/>
      <c r="AI18" s="418"/>
      <c r="AJ18" s="419"/>
      <c r="AK18" s="420"/>
      <c r="AL18" s="416">
        <f t="shared" si="4"/>
        <v>0</v>
      </c>
      <c r="AM18" s="1018" t="s">
        <v>273</v>
      </c>
      <c r="AN18" s="1019"/>
      <c r="AO18" s="1019"/>
      <c r="AP18" s="418" t="s">
        <v>269</v>
      </c>
      <c r="AQ18" s="419"/>
      <c r="AR18" s="420">
        <v>32450</v>
      </c>
      <c r="AS18" s="416">
        <f t="shared" si="5"/>
        <v>0</v>
      </c>
      <c r="AT18" s="1018"/>
      <c r="AU18" s="1019"/>
      <c r="AV18" s="1019"/>
      <c r="AW18" s="418"/>
      <c r="AX18" s="419"/>
      <c r="AY18" s="420"/>
      <c r="AZ18" s="417">
        <f t="shared" si="6"/>
        <v>0</v>
      </c>
    </row>
    <row r="19" spans="1:52" x14ac:dyDescent="0.25">
      <c r="A19" s="1024"/>
      <c r="B19" s="1026"/>
      <c r="C19" s="397"/>
      <c r="D19" s="1022"/>
      <c r="E19" s="1022"/>
      <c r="F19" s="1022"/>
      <c r="G19" s="418"/>
      <c r="H19" s="419"/>
      <c r="I19" s="420"/>
      <c r="J19" s="416">
        <f t="shared" si="1"/>
        <v>0</v>
      </c>
      <c r="K19" s="1018" t="s">
        <v>389</v>
      </c>
      <c r="L19" s="1019"/>
      <c r="M19" s="1019"/>
      <c r="N19" s="418" t="s">
        <v>292</v>
      </c>
      <c r="O19" s="419"/>
      <c r="P19" s="420"/>
      <c r="Q19" s="416">
        <f t="shared" si="0"/>
        <v>0</v>
      </c>
      <c r="R19" s="1018"/>
      <c r="S19" s="1019"/>
      <c r="T19" s="1019"/>
      <c r="U19" s="418"/>
      <c r="V19" s="419"/>
      <c r="W19" s="420"/>
      <c r="X19" s="416">
        <f t="shared" si="2"/>
        <v>0</v>
      </c>
      <c r="Y19" s="1018"/>
      <c r="Z19" s="1019"/>
      <c r="AA19" s="1019"/>
      <c r="AB19" s="418"/>
      <c r="AC19" s="419"/>
      <c r="AD19" s="420"/>
      <c r="AE19" s="416">
        <f t="shared" si="3"/>
        <v>0</v>
      </c>
      <c r="AF19" s="1018"/>
      <c r="AG19" s="1019"/>
      <c r="AH19" s="1019"/>
      <c r="AI19" s="418"/>
      <c r="AJ19" s="419"/>
      <c r="AK19" s="420"/>
      <c r="AL19" s="416">
        <f t="shared" si="4"/>
        <v>0</v>
      </c>
      <c r="AM19" s="1018" t="s">
        <v>274</v>
      </c>
      <c r="AN19" s="1019"/>
      <c r="AO19" s="1019"/>
      <c r="AP19" s="418" t="s">
        <v>269</v>
      </c>
      <c r="AQ19" s="419"/>
      <c r="AR19" s="420">
        <v>41250</v>
      </c>
      <c r="AS19" s="416">
        <f t="shared" si="5"/>
        <v>0</v>
      </c>
      <c r="AT19" s="1018"/>
      <c r="AU19" s="1019"/>
      <c r="AV19" s="1019"/>
      <c r="AW19" s="418"/>
      <c r="AX19" s="419"/>
      <c r="AY19" s="420"/>
      <c r="AZ19" s="417">
        <f t="shared" si="6"/>
        <v>0</v>
      </c>
    </row>
    <row r="20" spans="1:52" x14ac:dyDescent="0.25">
      <c r="A20" s="1024" t="str">
        <f>AU6</f>
        <v>음료</v>
      </c>
      <c r="B20" s="1029">
        <f>AZ6</f>
        <v>0</v>
      </c>
      <c r="C20" s="397"/>
      <c r="D20" s="1022"/>
      <c r="E20" s="1022"/>
      <c r="F20" s="1022"/>
      <c r="G20" s="418"/>
      <c r="H20" s="419"/>
      <c r="I20" s="420"/>
      <c r="J20" s="416">
        <f t="shared" si="1"/>
        <v>0</v>
      </c>
      <c r="K20" s="1018" t="s">
        <v>390</v>
      </c>
      <c r="L20" s="1019"/>
      <c r="M20" s="1019"/>
      <c r="N20" s="418" t="s">
        <v>292</v>
      </c>
      <c r="O20" s="419"/>
      <c r="P20" s="420"/>
      <c r="Q20" s="416">
        <f t="shared" si="0"/>
        <v>0</v>
      </c>
      <c r="R20" s="1018"/>
      <c r="S20" s="1019"/>
      <c r="T20" s="1019"/>
      <c r="U20" s="418"/>
      <c r="V20" s="419"/>
      <c r="W20" s="420"/>
      <c r="X20" s="416">
        <f t="shared" si="2"/>
        <v>0</v>
      </c>
      <c r="Y20" s="1018"/>
      <c r="Z20" s="1019"/>
      <c r="AA20" s="1019"/>
      <c r="AB20" s="418"/>
      <c r="AC20" s="419"/>
      <c r="AD20" s="420"/>
      <c r="AE20" s="416">
        <f t="shared" si="3"/>
        <v>0</v>
      </c>
      <c r="AF20" s="1018"/>
      <c r="AG20" s="1019"/>
      <c r="AH20" s="1019"/>
      <c r="AI20" s="418"/>
      <c r="AJ20" s="419"/>
      <c r="AK20" s="420"/>
      <c r="AL20" s="416">
        <f t="shared" si="4"/>
        <v>0</v>
      </c>
      <c r="AM20" s="1018" t="s">
        <v>275</v>
      </c>
      <c r="AN20" s="1019"/>
      <c r="AO20" s="1019"/>
      <c r="AP20" s="418" t="s">
        <v>269</v>
      </c>
      <c r="AQ20" s="419"/>
      <c r="AR20" s="420">
        <v>13860</v>
      </c>
      <c r="AS20" s="416">
        <f t="shared" si="5"/>
        <v>0</v>
      </c>
      <c r="AT20" s="1018"/>
      <c r="AU20" s="1019"/>
      <c r="AV20" s="1019"/>
      <c r="AW20" s="418"/>
      <c r="AX20" s="419"/>
      <c r="AY20" s="420"/>
      <c r="AZ20" s="417">
        <f t="shared" si="6"/>
        <v>0</v>
      </c>
    </row>
    <row r="21" spans="1:52" ht="17.25" thickBot="1" x14ac:dyDescent="0.3">
      <c r="A21" s="1030"/>
      <c r="B21" s="1031"/>
      <c r="C21" s="397"/>
      <c r="D21" s="1018"/>
      <c r="E21" s="1019"/>
      <c r="F21" s="1020"/>
      <c r="G21" s="418"/>
      <c r="H21" s="419"/>
      <c r="I21" s="420"/>
      <c r="J21" s="416">
        <f t="shared" si="1"/>
        <v>0</v>
      </c>
      <c r="K21" s="1018" t="s">
        <v>391</v>
      </c>
      <c r="L21" s="1019"/>
      <c r="M21" s="1019"/>
      <c r="N21" s="418" t="s">
        <v>292</v>
      </c>
      <c r="O21" s="419"/>
      <c r="P21" s="420"/>
      <c r="Q21" s="416">
        <f t="shared" si="0"/>
        <v>0</v>
      </c>
      <c r="R21" s="1018"/>
      <c r="S21" s="1019"/>
      <c r="T21" s="1019"/>
      <c r="U21" s="418"/>
      <c r="V21" s="419"/>
      <c r="W21" s="420"/>
      <c r="X21" s="416">
        <f t="shared" si="2"/>
        <v>0</v>
      </c>
      <c r="Y21" s="1018"/>
      <c r="Z21" s="1019"/>
      <c r="AA21" s="1019"/>
      <c r="AB21" s="418"/>
      <c r="AC21" s="419"/>
      <c r="AD21" s="420"/>
      <c r="AE21" s="416">
        <f t="shared" si="3"/>
        <v>0</v>
      </c>
      <c r="AF21" s="1018"/>
      <c r="AG21" s="1019"/>
      <c r="AH21" s="1019"/>
      <c r="AI21" s="418"/>
      <c r="AJ21" s="419"/>
      <c r="AK21" s="420"/>
      <c r="AL21" s="416">
        <f t="shared" si="4"/>
        <v>0</v>
      </c>
      <c r="AM21" s="1018" t="s">
        <v>276</v>
      </c>
      <c r="AN21" s="1019"/>
      <c r="AO21" s="1019"/>
      <c r="AP21" s="418" t="s">
        <v>269</v>
      </c>
      <c r="AQ21" s="419"/>
      <c r="AR21" s="420">
        <v>14000</v>
      </c>
      <c r="AS21" s="416">
        <f t="shared" si="5"/>
        <v>0</v>
      </c>
      <c r="AT21" s="1018"/>
      <c r="AU21" s="1019"/>
      <c r="AV21" s="1019"/>
      <c r="AW21" s="418"/>
      <c r="AX21" s="419"/>
      <c r="AY21" s="420"/>
      <c r="AZ21" s="417">
        <f t="shared" si="6"/>
        <v>0</v>
      </c>
    </row>
    <row r="22" spans="1:52" x14ac:dyDescent="0.25">
      <c r="A22" s="1032" t="s">
        <v>27</v>
      </c>
      <c r="B22" s="1034">
        <f>SUM(B8:B21)</f>
        <v>0</v>
      </c>
      <c r="C22" s="397"/>
      <c r="D22" s="1018"/>
      <c r="E22" s="1019"/>
      <c r="F22" s="1020"/>
      <c r="G22" s="418"/>
      <c r="H22" s="419"/>
      <c r="I22" s="421"/>
      <c r="J22" s="416">
        <f t="shared" si="1"/>
        <v>0</v>
      </c>
      <c r="K22" s="1018" t="s">
        <v>392</v>
      </c>
      <c r="L22" s="1019"/>
      <c r="M22" s="1019"/>
      <c r="N22" s="418" t="s">
        <v>292</v>
      </c>
      <c r="O22" s="419"/>
      <c r="P22" s="421"/>
      <c r="Q22" s="416">
        <f t="shared" si="0"/>
        <v>0</v>
      </c>
      <c r="R22" s="1018"/>
      <c r="S22" s="1019"/>
      <c r="T22" s="1019"/>
      <c r="U22" s="418"/>
      <c r="V22" s="419"/>
      <c r="W22" s="421"/>
      <c r="X22" s="416">
        <f t="shared" si="2"/>
        <v>0</v>
      </c>
      <c r="Y22" s="1018"/>
      <c r="Z22" s="1019"/>
      <c r="AA22" s="1019"/>
      <c r="AB22" s="418"/>
      <c r="AC22" s="419"/>
      <c r="AD22" s="421"/>
      <c r="AE22" s="416">
        <f t="shared" si="3"/>
        <v>0</v>
      </c>
      <c r="AF22" s="1018"/>
      <c r="AG22" s="1019"/>
      <c r="AH22" s="1019"/>
      <c r="AI22" s="418"/>
      <c r="AJ22" s="419"/>
      <c r="AK22" s="421"/>
      <c r="AL22" s="416">
        <f t="shared" si="4"/>
        <v>0</v>
      </c>
      <c r="AM22" s="1018" t="s">
        <v>277</v>
      </c>
      <c r="AN22" s="1019"/>
      <c r="AO22" s="1019"/>
      <c r="AP22" s="418" t="s">
        <v>269</v>
      </c>
      <c r="AQ22" s="419"/>
      <c r="AR22" s="421">
        <v>14300</v>
      </c>
      <c r="AS22" s="416">
        <f t="shared" si="5"/>
        <v>0</v>
      </c>
      <c r="AT22" s="1018"/>
      <c r="AU22" s="1019"/>
      <c r="AV22" s="1019"/>
      <c r="AW22" s="418"/>
      <c r="AX22" s="419"/>
      <c r="AY22" s="421"/>
      <c r="AZ22" s="417">
        <f t="shared" si="6"/>
        <v>0</v>
      </c>
    </row>
    <row r="23" spans="1:52" ht="17.25" thickBot="1" x14ac:dyDescent="0.3">
      <c r="A23" s="1033"/>
      <c r="B23" s="1035"/>
      <c r="C23" s="397"/>
      <c r="D23" s="1018"/>
      <c r="E23" s="1019"/>
      <c r="F23" s="1020"/>
      <c r="G23" s="418"/>
      <c r="H23" s="419"/>
      <c r="I23" s="421"/>
      <c r="J23" s="416">
        <f t="shared" si="1"/>
        <v>0</v>
      </c>
      <c r="K23" s="1018" t="s">
        <v>393</v>
      </c>
      <c r="L23" s="1019"/>
      <c r="M23" s="1019"/>
      <c r="N23" s="418" t="s">
        <v>292</v>
      </c>
      <c r="O23" s="419"/>
      <c r="P23" s="421"/>
      <c r="Q23" s="416">
        <f t="shared" si="0"/>
        <v>0</v>
      </c>
      <c r="R23" s="1018"/>
      <c r="S23" s="1019"/>
      <c r="T23" s="1019"/>
      <c r="U23" s="418"/>
      <c r="V23" s="419"/>
      <c r="W23" s="421"/>
      <c r="X23" s="416">
        <f t="shared" si="2"/>
        <v>0</v>
      </c>
      <c r="Y23" s="1018"/>
      <c r="Z23" s="1019"/>
      <c r="AA23" s="1019"/>
      <c r="AB23" s="418"/>
      <c r="AC23" s="419"/>
      <c r="AD23" s="421"/>
      <c r="AE23" s="416">
        <f t="shared" si="3"/>
        <v>0</v>
      </c>
      <c r="AF23" s="1018"/>
      <c r="AG23" s="1019"/>
      <c r="AH23" s="1019"/>
      <c r="AI23" s="418"/>
      <c r="AJ23" s="419"/>
      <c r="AK23" s="421"/>
      <c r="AL23" s="416">
        <f t="shared" si="4"/>
        <v>0</v>
      </c>
      <c r="AM23" s="1018" t="s">
        <v>278</v>
      </c>
      <c r="AN23" s="1019"/>
      <c r="AO23" s="1019"/>
      <c r="AP23" s="418" t="s">
        <v>269</v>
      </c>
      <c r="AQ23" s="419"/>
      <c r="AR23" s="421">
        <v>15180</v>
      </c>
      <c r="AS23" s="416">
        <f t="shared" si="5"/>
        <v>0</v>
      </c>
      <c r="AT23" s="1018"/>
      <c r="AU23" s="1019"/>
      <c r="AV23" s="1019"/>
      <c r="AW23" s="418"/>
      <c r="AX23" s="419"/>
      <c r="AY23" s="421"/>
      <c r="AZ23" s="417">
        <f t="shared" si="6"/>
        <v>0</v>
      </c>
    </row>
    <row r="24" spans="1:52" x14ac:dyDescent="0.25">
      <c r="A24" s="397"/>
      <c r="B24" s="397"/>
      <c r="C24" s="397"/>
      <c r="D24" s="1018"/>
      <c r="E24" s="1019"/>
      <c r="F24" s="1020"/>
      <c r="G24" s="418"/>
      <c r="H24" s="419"/>
      <c r="I24" s="421"/>
      <c r="J24" s="416">
        <f t="shared" si="1"/>
        <v>0</v>
      </c>
      <c r="K24" s="1018" t="s">
        <v>394</v>
      </c>
      <c r="L24" s="1019"/>
      <c r="M24" s="1019"/>
      <c r="N24" s="418" t="s">
        <v>292</v>
      </c>
      <c r="O24" s="419"/>
      <c r="P24" s="421"/>
      <c r="Q24" s="416">
        <f t="shared" si="0"/>
        <v>0</v>
      </c>
      <c r="R24" s="1018"/>
      <c r="S24" s="1019"/>
      <c r="T24" s="1019"/>
      <c r="U24" s="418"/>
      <c r="V24" s="419"/>
      <c r="W24" s="421"/>
      <c r="X24" s="416">
        <f t="shared" si="2"/>
        <v>0</v>
      </c>
      <c r="Y24" s="1018"/>
      <c r="Z24" s="1019"/>
      <c r="AA24" s="1019"/>
      <c r="AB24" s="418"/>
      <c r="AC24" s="419"/>
      <c r="AD24" s="421"/>
      <c r="AE24" s="416">
        <f t="shared" si="3"/>
        <v>0</v>
      </c>
      <c r="AF24" s="1018"/>
      <c r="AG24" s="1019"/>
      <c r="AH24" s="1019"/>
      <c r="AI24" s="418"/>
      <c r="AJ24" s="419"/>
      <c r="AK24" s="421"/>
      <c r="AL24" s="416">
        <f t="shared" si="4"/>
        <v>0</v>
      </c>
      <c r="AM24" s="1018" t="s">
        <v>279</v>
      </c>
      <c r="AN24" s="1019"/>
      <c r="AO24" s="1019"/>
      <c r="AP24" s="418" t="s">
        <v>269</v>
      </c>
      <c r="AQ24" s="419"/>
      <c r="AR24" s="421">
        <v>10230</v>
      </c>
      <c r="AS24" s="416">
        <f t="shared" si="5"/>
        <v>0</v>
      </c>
      <c r="AT24" s="1018"/>
      <c r="AU24" s="1019"/>
      <c r="AV24" s="1019"/>
      <c r="AW24" s="418"/>
      <c r="AX24" s="419"/>
      <c r="AY24" s="421"/>
      <c r="AZ24" s="417">
        <f t="shared" si="6"/>
        <v>0</v>
      </c>
    </row>
    <row r="25" spans="1:52" x14ac:dyDescent="0.25">
      <c r="C25" s="397"/>
      <c r="D25" s="1018"/>
      <c r="E25" s="1019"/>
      <c r="F25" s="1020"/>
      <c r="G25" s="418"/>
      <c r="H25" s="419"/>
      <c r="I25" s="421"/>
      <c r="J25" s="416">
        <f t="shared" si="1"/>
        <v>0</v>
      </c>
      <c r="K25" s="1018" t="s">
        <v>395</v>
      </c>
      <c r="L25" s="1019"/>
      <c r="M25" s="1019"/>
      <c r="N25" s="418" t="s">
        <v>292</v>
      </c>
      <c r="O25" s="419"/>
      <c r="P25" s="421"/>
      <c r="Q25" s="416">
        <f t="shared" si="0"/>
        <v>0</v>
      </c>
      <c r="R25" s="1018"/>
      <c r="S25" s="1019"/>
      <c r="T25" s="1019"/>
      <c r="U25" s="418"/>
      <c r="V25" s="419"/>
      <c r="W25" s="421"/>
      <c r="X25" s="416">
        <f t="shared" si="2"/>
        <v>0</v>
      </c>
      <c r="Y25" s="1018"/>
      <c r="Z25" s="1019"/>
      <c r="AA25" s="1019"/>
      <c r="AB25" s="418"/>
      <c r="AC25" s="419"/>
      <c r="AD25" s="421"/>
      <c r="AE25" s="416">
        <f t="shared" si="3"/>
        <v>0</v>
      </c>
      <c r="AF25" s="1018"/>
      <c r="AG25" s="1019"/>
      <c r="AH25" s="1019"/>
      <c r="AI25" s="418"/>
      <c r="AJ25" s="419"/>
      <c r="AK25" s="421"/>
      <c r="AL25" s="416">
        <f t="shared" si="4"/>
        <v>0</v>
      </c>
      <c r="AM25" s="1018" t="s">
        <v>280</v>
      </c>
      <c r="AN25" s="1019"/>
      <c r="AO25" s="1019"/>
      <c r="AP25" s="418" t="s">
        <v>269</v>
      </c>
      <c r="AQ25" s="419"/>
      <c r="AR25" s="421">
        <v>2600</v>
      </c>
      <c r="AS25" s="416">
        <f t="shared" si="5"/>
        <v>0</v>
      </c>
      <c r="AT25" s="1018"/>
      <c r="AU25" s="1019"/>
      <c r="AV25" s="1019"/>
      <c r="AW25" s="418"/>
      <c r="AX25" s="419"/>
      <c r="AY25" s="421"/>
      <c r="AZ25" s="417">
        <f t="shared" si="6"/>
        <v>0</v>
      </c>
    </row>
    <row r="26" spans="1:52" x14ac:dyDescent="0.25">
      <c r="C26" s="397"/>
      <c r="D26" s="1018"/>
      <c r="E26" s="1019"/>
      <c r="F26" s="1020"/>
      <c r="G26" s="418"/>
      <c r="H26" s="419"/>
      <c r="I26" s="421"/>
      <c r="J26" s="416">
        <f t="shared" si="1"/>
        <v>0</v>
      </c>
      <c r="K26" s="1018" t="s">
        <v>396</v>
      </c>
      <c r="L26" s="1019"/>
      <c r="M26" s="1019"/>
      <c r="N26" s="418" t="s">
        <v>292</v>
      </c>
      <c r="O26" s="419"/>
      <c r="P26" s="421"/>
      <c r="Q26" s="416">
        <f t="shared" si="0"/>
        <v>0</v>
      </c>
      <c r="R26" s="1018"/>
      <c r="S26" s="1019"/>
      <c r="T26" s="1019"/>
      <c r="U26" s="418"/>
      <c r="V26" s="419"/>
      <c r="W26" s="421"/>
      <c r="X26" s="416">
        <f t="shared" si="2"/>
        <v>0</v>
      </c>
      <c r="Y26" s="1018"/>
      <c r="Z26" s="1019"/>
      <c r="AA26" s="1019"/>
      <c r="AB26" s="418"/>
      <c r="AC26" s="419"/>
      <c r="AD26" s="421"/>
      <c r="AE26" s="416">
        <f t="shared" si="3"/>
        <v>0</v>
      </c>
      <c r="AF26" s="1018"/>
      <c r="AG26" s="1019"/>
      <c r="AH26" s="1019"/>
      <c r="AI26" s="418"/>
      <c r="AJ26" s="419"/>
      <c r="AK26" s="421"/>
      <c r="AL26" s="416">
        <f t="shared" si="4"/>
        <v>0</v>
      </c>
      <c r="AM26" s="1018" t="s">
        <v>281</v>
      </c>
      <c r="AN26" s="1019"/>
      <c r="AO26" s="1019"/>
      <c r="AP26" s="418" t="s">
        <v>269</v>
      </c>
      <c r="AQ26" s="419"/>
      <c r="AR26" s="421">
        <v>24200</v>
      </c>
      <c r="AS26" s="416">
        <f t="shared" si="5"/>
        <v>0</v>
      </c>
      <c r="AT26" s="1018"/>
      <c r="AU26" s="1019"/>
      <c r="AV26" s="1019"/>
      <c r="AW26" s="418"/>
      <c r="AX26" s="419"/>
      <c r="AY26" s="421"/>
      <c r="AZ26" s="417">
        <f t="shared" si="6"/>
        <v>0</v>
      </c>
    </row>
    <row r="27" spans="1:52" x14ac:dyDescent="0.25">
      <c r="C27" s="397"/>
      <c r="D27" s="1018"/>
      <c r="E27" s="1019"/>
      <c r="F27" s="1020"/>
      <c r="G27" s="418"/>
      <c r="H27" s="419"/>
      <c r="I27" s="421"/>
      <c r="J27" s="416">
        <f t="shared" si="1"/>
        <v>0</v>
      </c>
      <c r="K27" s="1018" t="s">
        <v>397</v>
      </c>
      <c r="L27" s="1019"/>
      <c r="M27" s="1019"/>
      <c r="N27" s="418" t="s">
        <v>292</v>
      </c>
      <c r="O27" s="419"/>
      <c r="P27" s="421"/>
      <c r="Q27" s="416">
        <f t="shared" si="0"/>
        <v>0</v>
      </c>
      <c r="R27" s="1018"/>
      <c r="S27" s="1019"/>
      <c r="T27" s="1019"/>
      <c r="U27" s="418"/>
      <c r="V27" s="419"/>
      <c r="W27" s="421"/>
      <c r="X27" s="416">
        <f t="shared" si="2"/>
        <v>0</v>
      </c>
      <c r="Y27" s="1018"/>
      <c r="Z27" s="1019"/>
      <c r="AA27" s="1019"/>
      <c r="AB27" s="418"/>
      <c r="AC27" s="419"/>
      <c r="AD27" s="421"/>
      <c r="AE27" s="416">
        <f t="shared" si="3"/>
        <v>0</v>
      </c>
      <c r="AF27" s="1018"/>
      <c r="AG27" s="1019"/>
      <c r="AH27" s="1019"/>
      <c r="AI27" s="418"/>
      <c r="AJ27" s="419"/>
      <c r="AK27" s="421"/>
      <c r="AL27" s="416">
        <f t="shared" si="4"/>
        <v>0</v>
      </c>
      <c r="AM27" s="1018" t="s">
        <v>282</v>
      </c>
      <c r="AN27" s="1019"/>
      <c r="AO27" s="1019"/>
      <c r="AP27" s="418" t="s">
        <v>269</v>
      </c>
      <c r="AQ27" s="419"/>
      <c r="AR27" s="421">
        <v>44000</v>
      </c>
      <c r="AS27" s="416">
        <f t="shared" si="5"/>
        <v>0</v>
      </c>
      <c r="AT27" s="1018"/>
      <c r="AU27" s="1019"/>
      <c r="AV27" s="1019"/>
      <c r="AW27" s="418"/>
      <c r="AX27" s="419"/>
      <c r="AY27" s="421"/>
      <c r="AZ27" s="417">
        <f t="shared" si="6"/>
        <v>0</v>
      </c>
    </row>
    <row r="28" spans="1:52" x14ac:dyDescent="0.25">
      <c r="C28" s="397"/>
      <c r="D28" s="1018"/>
      <c r="E28" s="1019"/>
      <c r="F28" s="1020"/>
      <c r="G28" s="418"/>
      <c r="H28" s="419"/>
      <c r="I28" s="421"/>
      <c r="J28" s="416">
        <f t="shared" si="1"/>
        <v>0</v>
      </c>
      <c r="K28" s="1018" t="s">
        <v>398</v>
      </c>
      <c r="L28" s="1019"/>
      <c r="M28" s="1019"/>
      <c r="N28" s="418" t="s">
        <v>292</v>
      </c>
      <c r="O28" s="419"/>
      <c r="P28" s="421"/>
      <c r="Q28" s="416">
        <f t="shared" si="0"/>
        <v>0</v>
      </c>
      <c r="R28" s="1018"/>
      <c r="S28" s="1019"/>
      <c r="T28" s="1019"/>
      <c r="U28" s="418"/>
      <c r="V28" s="419"/>
      <c r="W28" s="421"/>
      <c r="X28" s="416">
        <f t="shared" si="2"/>
        <v>0</v>
      </c>
      <c r="Y28" s="1018"/>
      <c r="Z28" s="1019"/>
      <c r="AA28" s="1019"/>
      <c r="AB28" s="418"/>
      <c r="AC28" s="419"/>
      <c r="AD28" s="421"/>
      <c r="AE28" s="416">
        <f t="shared" si="3"/>
        <v>0</v>
      </c>
      <c r="AF28" s="1018"/>
      <c r="AG28" s="1019"/>
      <c r="AH28" s="1019"/>
      <c r="AI28" s="418"/>
      <c r="AJ28" s="419"/>
      <c r="AK28" s="421"/>
      <c r="AL28" s="416">
        <f t="shared" si="4"/>
        <v>0</v>
      </c>
      <c r="AM28" s="1018" t="s">
        <v>283</v>
      </c>
      <c r="AN28" s="1019"/>
      <c r="AO28" s="1019"/>
      <c r="AP28" s="418" t="s">
        <v>269</v>
      </c>
      <c r="AQ28" s="419"/>
      <c r="AR28" s="421">
        <v>32450</v>
      </c>
      <c r="AS28" s="416">
        <f t="shared" si="5"/>
        <v>0</v>
      </c>
      <c r="AT28" s="1018"/>
      <c r="AU28" s="1019"/>
      <c r="AV28" s="1019"/>
      <c r="AW28" s="418"/>
      <c r="AX28" s="419"/>
      <c r="AY28" s="421"/>
      <c r="AZ28" s="417">
        <f t="shared" si="6"/>
        <v>0</v>
      </c>
    </row>
    <row r="29" spans="1:52" x14ac:dyDescent="0.25">
      <c r="C29" s="397"/>
      <c r="D29" s="1018"/>
      <c r="E29" s="1019"/>
      <c r="F29" s="1020"/>
      <c r="G29" s="418"/>
      <c r="H29" s="419"/>
      <c r="I29" s="421"/>
      <c r="J29" s="416">
        <f t="shared" si="1"/>
        <v>0</v>
      </c>
      <c r="K29" s="1018" t="s">
        <v>399</v>
      </c>
      <c r="L29" s="1019"/>
      <c r="M29" s="1019"/>
      <c r="N29" s="418" t="s">
        <v>292</v>
      </c>
      <c r="O29" s="419"/>
      <c r="P29" s="421"/>
      <c r="Q29" s="416">
        <f t="shared" si="0"/>
        <v>0</v>
      </c>
      <c r="R29" s="1018"/>
      <c r="S29" s="1019"/>
      <c r="T29" s="1019"/>
      <c r="U29" s="418"/>
      <c r="V29" s="419"/>
      <c r="W29" s="421"/>
      <c r="X29" s="416">
        <f t="shared" si="2"/>
        <v>0</v>
      </c>
      <c r="Y29" s="1018"/>
      <c r="Z29" s="1019"/>
      <c r="AA29" s="1019"/>
      <c r="AB29" s="418"/>
      <c r="AC29" s="419"/>
      <c r="AD29" s="421"/>
      <c r="AE29" s="416">
        <f t="shared" si="3"/>
        <v>0</v>
      </c>
      <c r="AF29" s="1018"/>
      <c r="AG29" s="1019"/>
      <c r="AH29" s="1019"/>
      <c r="AI29" s="418"/>
      <c r="AJ29" s="419"/>
      <c r="AK29" s="421"/>
      <c r="AL29" s="416">
        <f t="shared" si="4"/>
        <v>0</v>
      </c>
      <c r="AM29" s="1018" t="s">
        <v>284</v>
      </c>
      <c r="AN29" s="1019"/>
      <c r="AO29" s="1019"/>
      <c r="AP29" s="418" t="s">
        <v>269</v>
      </c>
      <c r="AQ29" s="419"/>
      <c r="AR29" s="421">
        <v>34210</v>
      </c>
      <c r="AS29" s="416">
        <f t="shared" si="5"/>
        <v>0</v>
      </c>
      <c r="AT29" s="1018"/>
      <c r="AU29" s="1019"/>
      <c r="AV29" s="1019"/>
      <c r="AW29" s="418"/>
      <c r="AX29" s="419"/>
      <c r="AY29" s="421"/>
      <c r="AZ29" s="417">
        <f t="shared" si="6"/>
        <v>0</v>
      </c>
    </row>
    <row r="30" spans="1:52" x14ac:dyDescent="0.25">
      <c r="C30" s="397"/>
      <c r="D30" s="1018"/>
      <c r="E30" s="1019"/>
      <c r="F30" s="1020"/>
      <c r="G30" s="418"/>
      <c r="H30" s="419"/>
      <c r="I30" s="421"/>
      <c r="J30" s="416">
        <f t="shared" si="1"/>
        <v>0</v>
      </c>
      <c r="K30" s="1018" t="s">
        <v>400</v>
      </c>
      <c r="L30" s="1019"/>
      <c r="M30" s="1019"/>
      <c r="N30" s="418" t="s">
        <v>292</v>
      </c>
      <c r="O30" s="419"/>
      <c r="P30" s="421"/>
      <c r="Q30" s="416">
        <f t="shared" si="0"/>
        <v>0</v>
      </c>
      <c r="R30" s="1018"/>
      <c r="S30" s="1019"/>
      <c r="T30" s="1019"/>
      <c r="U30" s="418"/>
      <c r="V30" s="419"/>
      <c r="W30" s="421"/>
      <c r="X30" s="416">
        <f t="shared" si="2"/>
        <v>0</v>
      </c>
      <c r="Y30" s="1018"/>
      <c r="Z30" s="1019"/>
      <c r="AA30" s="1019"/>
      <c r="AB30" s="418"/>
      <c r="AC30" s="419"/>
      <c r="AD30" s="421"/>
      <c r="AE30" s="416">
        <f t="shared" si="3"/>
        <v>0</v>
      </c>
      <c r="AF30" s="1018"/>
      <c r="AG30" s="1019"/>
      <c r="AH30" s="1019"/>
      <c r="AI30" s="418"/>
      <c r="AJ30" s="419"/>
      <c r="AK30" s="421"/>
      <c r="AL30" s="416">
        <f t="shared" si="4"/>
        <v>0</v>
      </c>
      <c r="AM30" s="1018" t="s">
        <v>285</v>
      </c>
      <c r="AN30" s="1019"/>
      <c r="AO30" s="1019"/>
      <c r="AP30" s="418" t="s">
        <v>269</v>
      </c>
      <c r="AQ30" s="419"/>
      <c r="AR30" s="421">
        <v>22000</v>
      </c>
      <c r="AS30" s="416">
        <f t="shared" si="5"/>
        <v>0</v>
      </c>
      <c r="AT30" s="1018"/>
      <c r="AU30" s="1019"/>
      <c r="AV30" s="1019"/>
      <c r="AW30" s="418"/>
      <c r="AX30" s="419"/>
      <c r="AY30" s="421"/>
      <c r="AZ30" s="417">
        <f t="shared" si="6"/>
        <v>0</v>
      </c>
    </row>
    <row r="31" spans="1:52" x14ac:dyDescent="0.25">
      <c r="A31" s="397"/>
      <c r="B31" s="397"/>
      <c r="C31" s="397"/>
      <c r="D31" s="1018"/>
      <c r="E31" s="1019"/>
      <c r="F31" s="1020"/>
      <c r="G31" s="418"/>
      <c r="H31" s="419"/>
      <c r="I31" s="421"/>
      <c r="J31" s="416">
        <f t="shared" si="1"/>
        <v>0</v>
      </c>
      <c r="K31" s="1018" t="s">
        <v>401</v>
      </c>
      <c r="L31" s="1019"/>
      <c r="M31" s="1019"/>
      <c r="N31" s="418" t="s">
        <v>292</v>
      </c>
      <c r="O31" s="419"/>
      <c r="P31" s="421"/>
      <c r="Q31" s="416">
        <f t="shared" si="0"/>
        <v>0</v>
      </c>
      <c r="R31" s="1018"/>
      <c r="S31" s="1019"/>
      <c r="T31" s="1019"/>
      <c r="U31" s="418"/>
      <c r="V31" s="419"/>
      <c r="W31" s="421"/>
      <c r="X31" s="416">
        <f t="shared" si="2"/>
        <v>0</v>
      </c>
      <c r="Y31" s="1018"/>
      <c r="Z31" s="1019"/>
      <c r="AA31" s="1019"/>
      <c r="AB31" s="418"/>
      <c r="AC31" s="419"/>
      <c r="AD31" s="421"/>
      <c r="AE31" s="416">
        <f t="shared" si="3"/>
        <v>0</v>
      </c>
      <c r="AF31" s="1018"/>
      <c r="AG31" s="1019"/>
      <c r="AH31" s="1019"/>
      <c r="AI31" s="418"/>
      <c r="AJ31" s="419"/>
      <c r="AK31" s="421"/>
      <c r="AL31" s="416">
        <f t="shared" si="4"/>
        <v>0</v>
      </c>
      <c r="AM31" s="1018" t="s">
        <v>417</v>
      </c>
      <c r="AN31" s="1019"/>
      <c r="AO31" s="1019"/>
      <c r="AP31" s="418" t="s">
        <v>261</v>
      </c>
      <c r="AQ31" s="419"/>
      <c r="AR31" s="421"/>
      <c r="AS31" s="416">
        <f t="shared" si="5"/>
        <v>0</v>
      </c>
      <c r="AT31" s="1018"/>
      <c r="AU31" s="1019"/>
      <c r="AV31" s="1019"/>
      <c r="AW31" s="418"/>
      <c r="AX31" s="419"/>
      <c r="AY31" s="421"/>
      <c r="AZ31" s="417">
        <f t="shared" si="6"/>
        <v>0</v>
      </c>
    </row>
    <row r="32" spans="1:52" x14ac:dyDescent="0.25">
      <c r="A32" s="397"/>
      <c r="B32" s="397"/>
      <c r="C32" s="397"/>
      <c r="D32" s="1018"/>
      <c r="E32" s="1019"/>
      <c r="F32" s="1020"/>
      <c r="G32" s="418"/>
      <c r="H32" s="419"/>
      <c r="I32" s="421"/>
      <c r="J32" s="416">
        <f t="shared" si="1"/>
        <v>0</v>
      </c>
      <c r="K32" s="1018" t="s">
        <v>402</v>
      </c>
      <c r="L32" s="1019"/>
      <c r="M32" s="1019"/>
      <c r="N32" s="418" t="s">
        <v>292</v>
      </c>
      <c r="O32" s="419"/>
      <c r="P32" s="421"/>
      <c r="Q32" s="416">
        <f t="shared" si="0"/>
        <v>0</v>
      </c>
      <c r="R32" s="1018"/>
      <c r="S32" s="1019"/>
      <c r="T32" s="1019"/>
      <c r="U32" s="418"/>
      <c r="V32" s="419"/>
      <c r="W32" s="421"/>
      <c r="X32" s="416">
        <f t="shared" si="2"/>
        <v>0</v>
      </c>
      <c r="Y32" s="1018"/>
      <c r="Z32" s="1019"/>
      <c r="AA32" s="1019"/>
      <c r="AB32" s="418"/>
      <c r="AC32" s="419"/>
      <c r="AD32" s="421"/>
      <c r="AE32" s="416">
        <f t="shared" si="3"/>
        <v>0</v>
      </c>
      <c r="AF32" s="1018"/>
      <c r="AG32" s="1019"/>
      <c r="AH32" s="1019"/>
      <c r="AI32" s="418"/>
      <c r="AJ32" s="419"/>
      <c r="AK32" s="421"/>
      <c r="AL32" s="416">
        <f t="shared" si="4"/>
        <v>0</v>
      </c>
      <c r="AM32" s="1018" t="s">
        <v>418</v>
      </c>
      <c r="AN32" s="1019"/>
      <c r="AO32" s="1019"/>
      <c r="AP32" s="418" t="s">
        <v>261</v>
      </c>
      <c r="AQ32" s="419"/>
      <c r="AR32" s="421"/>
      <c r="AS32" s="416">
        <f t="shared" si="5"/>
        <v>0</v>
      </c>
      <c r="AT32" s="1018"/>
      <c r="AU32" s="1019"/>
      <c r="AV32" s="1019"/>
      <c r="AW32" s="418"/>
      <c r="AX32" s="419"/>
      <c r="AY32" s="421"/>
      <c r="AZ32" s="417">
        <f t="shared" si="6"/>
        <v>0</v>
      </c>
    </row>
    <row r="33" spans="1:52" x14ac:dyDescent="0.25">
      <c r="A33" s="397"/>
      <c r="B33" s="397"/>
      <c r="C33" s="397"/>
      <c r="D33" s="1018"/>
      <c r="E33" s="1019"/>
      <c r="F33" s="1020"/>
      <c r="G33" s="418"/>
      <c r="H33" s="419"/>
      <c r="I33" s="421"/>
      <c r="J33" s="416">
        <f t="shared" si="1"/>
        <v>0</v>
      </c>
      <c r="K33" s="1018" t="s">
        <v>403</v>
      </c>
      <c r="L33" s="1019"/>
      <c r="M33" s="1019"/>
      <c r="N33" s="418" t="s">
        <v>288</v>
      </c>
      <c r="O33" s="419"/>
      <c r="P33" s="421"/>
      <c r="Q33" s="416">
        <f t="shared" si="0"/>
        <v>0</v>
      </c>
      <c r="R33" s="1018"/>
      <c r="S33" s="1019"/>
      <c r="T33" s="1019"/>
      <c r="U33" s="418"/>
      <c r="V33" s="419"/>
      <c r="W33" s="421"/>
      <c r="X33" s="416">
        <f t="shared" si="2"/>
        <v>0</v>
      </c>
      <c r="Y33" s="1018"/>
      <c r="Z33" s="1019"/>
      <c r="AA33" s="1019"/>
      <c r="AB33" s="418"/>
      <c r="AC33" s="419"/>
      <c r="AD33" s="421"/>
      <c r="AE33" s="416">
        <f t="shared" si="3"/>
        <v>0</v>
      </c>
      <c r="AF33" s="1018"/>
      <c r="AG33" s="1019"/>
      <c r="AH33" s="1019"/>
      <c r="AI33" s="418"/>
      <c r="AJ33" s="419"/>
      <c r="AK33" s="421"/>
      <c r="AL33" s="416">
        <f t="shared" si="4"/>
        <v>0</v>
      </c>
      <c r="AM33" s="1018" t="s">
        <v>419</v>
      </c>
      <c r="AN33" s="1019"/>
      <c r="AO33" s="1019"/>
      <c r="AP33" s="418" t="s">
        <v>261</v>
      </c>
      <c r="AQ33" s="419"/>
      <c r="AR33" s="421"/>
      <c r="AS33" s="416">
        <f t="shared" si="5"/>
        <v>0</v>
      </c>
      <c r="AT33" s="1018"/>
      <c r="AU33" s="1019"/>
      <c r="AV33" s="1019"/>
      <c r="AW33" s="418"/>
      <c r="AX33" s="419"/>
      <c r="AY33" s="421"/>
      <c r="AZ33" s="417">
        <f t="shared" si="6"/>
        <v>0</v>
      </c>
    </row>
    <row r="34" spans="1:52" x14ac:dyDescent="0.25">
      <c r="A34" s="397"/>
      <c r="B34" s="397"/>
      <c r="C34" s="397"/>
      <c r="D34" s="1018"/>
      <c r="E34" s="1019"/>
      <c r="F34" s="1020"/>
      <c r="G34" s="418"/>
      <c r="H34" s="419"/>
      <c r="I34" s="421"/>
      <c r="J34" s="416">
        <f t="shared" si="1"/>
        <v>0</v>
      </c>
      <c r="K34" s="1018" t="s">
        <v>404</v>
      </c>
      <c r="L34" s="1019"/>
      <c r="M34" s="1019"/>
      <c r="N34" s="418" t="s">
        <v>292</v>
      </c>
      <c r="O34" s="419"/>
      <c r="P34" s="421"/>
      <c r="Q34" s="416">
        <f t="shared" si="0"/>
        <v>0</v>
      </c>
      <c r="R34" s="1018"/>
      <c r="S34" s="1019"/>
      <c r="T34" s="1019"/>
      <c r="U34" s="418"/>
      <c r="V34" s="419"/>
      <c r="W34" s="421"/>
      <c r="X34" s="416">
        <f t="shared" si="2"/>
        <v>0</v>
      </c>
      <c r="Y34" s="1018"/>
      <c r="Z34" s="1019"/>
      <c r="AA34" s="1019"/>
      <c r="AB34" s="418"/>
      <c r="AC34" s="419"/>
      <c r="AD34" s="421"/>
      <c r="AE34" s="416">
        <f t="shared" si="3"/>
        <v>0</v>
      </c>
      <c r="AF34" s="1018"/>
      <c r="AG34" s="1019"/>
      <c r="AH34" s="1019"/>
      <c r="AI34" s="418"/>
      <c r="AJ34" s="419"/>
      <c r="AK34" s="421"/>
      <c r="AL34" s="416">
        <f t="shared" si="4"/>
        <v>0</v>
      </c>
      <c r="AM34" s="1018"/>
      <c r="AN34" s="1019"/>
      <c r="AO34" s="1019"/>
      <c r="AP34" s="418"/>
      <c r="AQ34" s="419"/>
      <c r="AR34" s="421"/>
      <c r="AS34" s="416">
        <f t="shared" si="5"/>
        <v>0</v>
      </c>
      <c r="AT34" s="1018"/>
      <c r="AU34" s="1019"/>
      <c r="AV34" s="1019"/>
      <c r="AW34" s="418"/>
      <c r="AX34" s="419"/>
      <c r="AY34" s="421"/>
      <c r="AZ34" s="417">
        <f t="shared" si="6"/>
        <v>0</v>
      </c>
    </row>
    <row r="35" spans="1:52" x14ac:dyDescent="0.25">
      <c r="A35" s="397"/>
      <c r="B35" s="397"/>
      <c r="C35" s="397"/>
      <c r="D35" s="1018"/>
      <c r="E35" s="1019"/>
      <c r="F35" s="1020"/>
      <c r="G35" s="422"/>
      <c r="H35" s="419"/>
      <c r="I35" s="421"/>
      <c r="J35" s="416">
        <f t="shared" si="1"/>
        <v>0</v>
      </c>
      <c r="K35" s="1018" t="s">
        <v>405</v>
      </c>
      <c r="L35" s="1019"/>
      <c r="M35" s="1019"/>
      <c r="N35" s="422" t="s">
        <v>292</v>
      </c>
      <c r="O35" s="419"/>
      <c r="P35" s="421"/>
      <c r="Q35" s="416">
        <f t="shared" si="0"/>
        <v>0</v>
      </c>
      <c r="R35" s="1018"/>
      <c r="S35" s="1019"/>
      <c r="T35" s="1019"/>
      <c r="U35" s="422"/>
      <c r="V35" s="419"/>
      <c r="W35" s="421"/>
      <c r="X35" s="416">
        <f t="shared" si="2"/>
        <v>0</v>
      </c>
      <c r="Y35" s="1018"/>
      <c r="Z35" s="1019"/>
      <c r="AA35" s="1019"/>
      <c r="AB35" s="422"/>
      <c r="AC35" s="419"/>
      <c r="AD35" s="421"/>
      <c r="AE35" s="416">
        <f t="shared" si="3"/>
        <v>0</v>
      </c>
      <c r="AF35" s="1018"/>
      <c r="AG35" s="1019"/>
      <c r="AH35" s="1019"/>
      <c r="AI35" s="422"/>
      <c r="AJ35" s="419"/>
      <c r="AK35" s="421"/>
      <c r="AL35" s="416">
        <f t="shared" si="4"/>
        <v>0</v>
      </c>
      <c r="AM35" s="1018"/>
      <c r="AN35" s="1019"/>
      <c r="AO35" s="1019"/>
      <c r="AP35" s="422"/>
      <c r="AQ35" s="419"/>
      <c r="AR35" s="421"/>
      <c r="AS35" s="416">
        <f t="shared" si="5"/>
        <v>0</v>
      </c>
      <c r="AT35" s="1018"/>
      <c r="AU35" s="1019"/>
      <c r="AV35" s="1019"/>
      <c r="AW35" s="422"/>
      <c r="AX35" s="419"/>
      <c r="AY35" s="421"/>
      <c r="AZ35" s="417">
        <f t="shared" si="6"/>
        <v>0</v>
      </c>
    </row>
    <row r="36" spans="1:52" x14ac:dyDescent="0.25">
      <c r="A36" s="397"/>
      <c r="B36" s="397"/>
      <c r="C36" s="397"/>
      <c r="D36" s="1018"/>
      <c r="E36" s="1019"/>
      <c r="F36" s="1020"/>
      <c r="G36" s="422"/>
      <c r="H36" s="419"/>
      <c r="I36" s="421"/>
      <c r="J36" s="416">
        <f t="shared" si="1"/>
        <v>0</v>
      </c>
      <c r="K36" s="1018" t="s">
        <v>406</v>
      </c>
      <c r="L36" s="1019"/>
      <c r="M36" s="1019"/>
      <c r="N36" s="422" t="s">
        <v>315</v>
      </c>
      <c r="O36" s="419"/>
      <c r="P36" s="421"/>
      <c r="Q36" s="416">
        <f t="shared" si="0"/>
        <v>0</v>
      </c>
      <c r="R36" s="1018"/>
      <c r="S36" s="1019"/>
      <c r="T36" s="1019"/>
      <c r="U36" s="422"/>
      <c r="V36" s="419"/>
      <c r="W36" s="421"/>
      <c r="X36" s="416">
        <f t="shared" si="2"/>
        <v>0</v>
      </c>
      <c r="Y36" s="1018"/>
      <c r="Z36" s="1019"/>
      <c r="AA36" s="1019"/>
      <c r="AB36" s="422"/>
      <c r="AC36" s="419"/>
      <c r="AD36" s="421"/>
      <c r="AE36" s="416">
        <f t="shared" si="3"/>
        <v>0</v>
      </c>
      <c r="AF36" s="1018"/>
      <c r="AG36" s="1019"/>
      <c r="AH36" s="1019"/>
      <c r="AI36" s="422"/>
      <c r="AJ36" s="419"/>
      <c r="AK36" s="421"/>
      <c r="AL36" s="416">
        <f t="shared" si="4"/>
        <v>0</v>
      </c>
      <c r="AM36" s="1018"/>
      <c r="AN36" s="1019"/>
      <c r="AO36" s="1019"/>
      <c r="AP36" s="422"/>
      <c r="AQ36" s="419"/>
      <c r="AR36" s="421"/>
      <c r="AS36" s="416">
        <f t="shared" si="5"/>
        <v>0</v>
      </c>
      <c r="AT36" s="1018"/>
      <c r="AU36" s="1019"/>
      <c r="AV36" s="1019"/>
      <c r="AW36" s="422"/>
      <c r="AX36" s="419"/>
      <c r="AY36" s="421"/>
      <c r="AZ36" s="417">
        <f t="shared" si="6"/>
        <v>0</v>
      </c>
    </row>
    <row r="37" spans="1:52" x14ac:dyDescent="0.25">
      <c r="A37" s="397"/>
      <c r="B37" s="397"/>
      <c r="C37" s="397"/>
      <c r="D37" s="1018"/>
      <c r="E37" s="1019"/>
      <c r="F37" s="1020"/>
      <c r="G37" s="422"/>
      <c r="H37" s="419"/>
      <c r="I37" s="421"/>
      <c r="J37" s="416">
        <f t="shared" si="1"/>
        <v>0</v>
      </c>
      <c r="K37" s="1018" t="s">
        <v>386</v>
      </c>
      <c r="L37" s="1019"/>
      <c r="M37" s="1019"/>
      <c r="N37" s="422" t="s">
        <v>292</v>
      </c>
      <c r="O37" s="419"/>
      <c r="P37" s="421"/>
      <c r="Q37" s="416">
        <f t="shared" si="0"/>
        <v>0</v>
      </c>
      <c r="R37" s="1018"/>
      <c r="S37" s="1019"/>
      <c r="T37" s="1019"/>
      <c r="U37" s="422"/>
      <c r="V37" s="419"/>
      <c r="W37" s="421"/>
      <c r="X37" s="416">
        <f t="shared" si="2"/>
        <v>0</v>
      </c>
      <c r="Y37" s="1018"/>
      <c r="Z37" s="1019"/>
      <c r="AA37" s="1019"/>
      <c r="AB37" s="422"/>
      <c r="AC37" s="419"/>
      <c r="AD37" s="421"/>
      <c r="AE37" s="416">
        <f t="shared" si="3"/>
        <v>0</v>
      </c>
      <c r="AF37" s="1018"/>
      <c r="AG37" s="1019"/>
      <c r="AH37" s="1019"/>
      <c r="AI37" s="422"/>
      <c r="AJ37" s="419"/>
      <c r="AK37" s="421"/>
      <c r="AL37" s="416">
        <f t="shared" si="4"/>
        <v>0</v>
      </c>
      <c r="AM37" s="1018"/>
      <c r="AN37" s="1019"/>
      <c r="AO37" s="1019"/>
      <c r="AP37" s="422"/>
      <c r="AQ37" s="419"/>
      <c r="AR37" s="421"/>
      <c r="AS37" s="416">
        <f t="shared" si="5"/>
        <v>0</v>
      </c>
      <c r="AT37" s="1018"/>
      <c r="AU37" s="1019"/>
      <c r="AV37" s="1019"/>
      <c r="AW37" s="422"/>
      <c r="AX37" s="419"/>
      <c r="AY37" s="421"/>
      <c r="AZ37" s="417">
        <f t="shared" si="6"/>
        <v>0</v>
      </c>
    </row>
    <row r="38" spans="1:52" x14ac:dyDescent="0.25">
      <c r="A38" s="397"/>
      <c r="B38" s="397"/>
      <c r="C38" s="397"/>
      <c r="D38" s="1018"/>
      <c r="E38" s="1019"/>
      <c r="F38" s="1020"/>
      <c r="G38" s="422"/>
      <c r="H38" s="419"/>
      <c r="I38" s="421"/>
      <c r="J38" s="416">
        <f t="shared" si="1"/>
        <v>0</v>
      </c>
      <c r="K38" s="1018" t="s">
        <v>407</v>
      </c>
      <c r="L38" s="1019"/>
      <c r="M38" s="1019"/>
      <c r="N38" s="422" t="s">
        <v>292</v>
      </c>
      <c r="O38" s="419"/>
      <c r="P38" s="421"/>
      <c r="Q38" s="416">
        <f t="shared" si="0"/>
        <v>0</v>
      </c>
      <c r="R38" s="1018"/>
      <c r="S38" s="1019"/>
      <c r="T38" s="1019"/>
      <c r="U38" s="422"/>
      <c r="V38" s="419"/>
      <c r="W38" s="421"/>
      <c r="X38" s="416">
        <f t="shared" si="2"/>
        <v>0</v>
      </c>
      <c r="Y38" s="1018"/>
      <c r="Z38" s="1019"/>
      <c r="AA38" s="1019"/>
      <c r="AB38" s="422"/>
      <c r="AC38" s="419"/>
      <c r="AD38" s="421"/>
      <c r="AE38" s="416">
        <f t="shared" si="3"/>
        <v>0</v>
      </c>
      <c r="AF38" s="1018"/>
      <c r="AG38" s="1019"/>
      <c r="AH38" s="1019"/>
      <c r="AI38" s="422"/>
      <c r="AJ38" s="419"/>
      <c r="AK38" s="421"/>
      <c r="AL38" s="416">
        <f t="shared" si="4"/>
        <v>0</v>
      </c>
      <c r="AM38" s="1018"/>
      <c r="AN38" s="1019"/>
      <c r="AO38" s="1019"/>
      <c r="AP38" s="422"/>
      <c r="AQ38" s="419"/>
      <c r="AR38" s="421"/>
      <c r="AS38" s="416">
        <f t="shared" si="5"/>
        <v>0</v>
      </c>
      <c r="AT38" s="1018"/>
      <c r="AU38" s="1019"/>
      <c r="AV38" s="1019"/>
      <c r="AW38" s="422"/>
      <c r="AX38" s="419"/>
      <c r="AY38" s="421"/>
      <c r="AZ38" s="417">
        <f t="shared" si="6"/>
        <v>0</v>
      </c>
    </row>
    <row r="39" spans="1:52" x14ac:dyDescent="0.25">
      <c r="A39" s="397"/>
      <c r="B39" s="397"/>
      <c r="C39" s="397"/>
      <c r="D39" s="1018"/>
      <c r="E39" s="1019"/>
      <c r="F39" s="1020"/>
      <c r="G39" s="422"/>
      <c r="H39" s="419"/>
      <c r="I39" s="421"/>
      <c r="J39" s="416">
        <f t="shared" si="1"/>
        <v>0</v>
      </c>
      <c r="K39" s="1018" t="s">
        <v>408</v>
      </c>
      <c r="L39" s="1019"/>
      <c r="M39" s="1019"/>
      <c r="N39" s="422" t="s">
        <v>374</v>
      </c>
      <c r="O39" s="419"/>
      <c r="P39" s="421"/>
      <c r="Q39" s="416">
        <f t="shared" si="0"/>
        <v>0</v>
      </c>
      <c r="R39" s="1018"/>
      <c r="S39" s="1019"/>
      <c r="T39" s="1019"/>
      <c r="U39" s="422"/>
      <c r="V39" s="419"/>
      <c r="W39" s="421"/>
      <c r="X39" s="416">
        <f t="shared" si="2"/>
        <v>0</v>
      </c>
      <c r="Y39" s="1018"/>
      <c r="Z39" s="1019"/>
      <c r="AA39" s="1019"/>
      <c r="AB39" s="422"/>
      <c r="AC39" s="419"/>
      <c r="AD39" s="421"/>
      <c r="AE39" s="416">
        <f t="shared" si="3"/>
        <v>0</v>
      </c>
      <c r="AF39" s="1018"/>
      <c r="AG39" s="1019"/>
      <c r="AH39" s="1019"/>
      <c r="AI39" s="422"/>
      <c r="AJ39" s="419"/>
      <c r="AK39" s="421"/>
      <c r="AL39" s="416">
        <f t="shared" si="4"/>
        <v>0</v>
      </c>
      <c r="AM39" s="1018"/>
      <c r="AN39" s="1019"/>
      <c r="AO39" s="1019"/>
      <c r="AP39" s="422"/>
      <c r="AQ39" s="419"/>
      <c r="AR39" s="421"/>
      <c r="AS39" s="416">
        <f t="shared" si="5"/>
        <v>0</v>
      </c>
      <c r="AT39" s="1018"/>
      <c r="AU39" s="1019"/>
      <c r="AV39" s="1019"/>
      <c r="AW39" s="422"/>
      <c r="AX39" s="419"/>
      <c r="AY39" s="421"/>
      <c r="AZ39" s="417">
        <f t="shared" si="6"/>
        <v>0</v>
      </c>
    </row>
    <row r="40" spans="1:52" x14ac:dyDescent="0.25">
      <c r="A40" s="397"/>
      <c r="B40" s="397"/>
      <c r="C40" s="397"/>
      <c r="D40" s="1018"/>
      <c r="E40" s="1019"/>
      <c r="F40" s="1020"/>
      <c r="G40" s="422"/>
      <c r="H40" s="419"/>
      <c r="I40" s="421"/>
      <c r="J40" s="416">
        <f t="shared" si="1"/>
        <v>0</v>
      </c>
      <c r="K40" s="1018" t="s">
        <v>409</v>
      </c>
      <c r="L40" s="1019"/>
      <c r="M40" s="1019"/>
      <c r="N40" s="422" t="s">
        <v>292</v>
      </c>
      <c r="O40" s="419"/>
      <c r="P40" s="421"/>
      <c r="Q40" s="416">
        <f t="shared" si="0"/>
        <v>0</v>
      </c>
      <c r="R40" s="1018"/>
      <c r="S40" s="1019"/>
      <c r="T40" s="1019"/>
      <c r="U40" s="422"/>
      <c r="V40" s="419"/>
      <c r="W40" s="421"/>
      <c r="X40" s="416">
        <f t="shared" si="2"/>
        <v>0</v>
      </c>
      <c r="Y40" s="1018"/>
      <c r="Z40" s="1019"/>
      <c r="AA40" s="1019"/>
      <c r="AB40" s="422"/>
      <c r="AC40" s="419"/>
      <c r="AD40" s="421"/>
      <c r="AE40" s="416">
        <f t="shared" si="3"/>
        <v>0</v>
      </c>
      <c r="AF40" s="1018"/>
      <c r="AG40" s="1019"/>
      <c r="AH40" s="1019"/>
      <c r="AI40" s="422"/>
      <c r="AJ40" s="419"/>
      <c r="AK40" s="421"/>
      <c r="AL40" s="416">
        <f t="shared" si="4"/>
        <v>0</v>
      </c>
      <c r="AM40" s="1018"/>
      <c r="AN40" s="1019"/>
      <c r="AO40" s="1019"/>
      <c r="AP40" s="422"/>
      <c r="AQ40" s="419"/>
      <c r="AR40" s="421"/>
      <c r="AS40" s="416">
        <f t="shared" si="5"/>
        <v>0</v>
      </c>
      <c r="AT40" s="1018"/>
      <c r="AU40" s="1019"/>
      <c r="AV40" s="1019"/>
      <c r="AW40" s="422"/>
      <c r="AX40" s="419"/>
      <c r="AY40" s="421"/>
      <c r="AZ40" s="417">
        <f t="shared" si="6"/>
        <v>0</v>
      </c>
    </row>
    <row r="41" spans="1:52" x14ac:dyDescent="0.25">
      <c r="A41" s="397"/>
      <c r="B41" s="397"/>
      <c r="C41" s="397"/>
      <c r="D41" s="1018"/>
      <c r="E41" s="1019"/>
      <c r="F41" s="1020"/>
      <c r="G41" s="422"/>
      <c r="H41" s="419"/>
      <c r="I41" s="421"/>
      <c r="J41" s="416">
        <f t="shared" si="1"/>
        <v>0</v>
      </c>
      <c r="K41" s="1018" t="s">
        <v>410</v>
      </c>
      <c r="L41" s="1019"/>
      <c r="M41" s="1019"/>
      <c r="N41" s="422" t="s">
        <v>292</v>
      </c>
      <c r="O41" s="419"/>
      <c r="P41" s="421"/>
      <c r="Q41" s="416">
        <f t="shared" si="0"/>
        <v>0</v>
      </c>
      <c r="R41" s="1018"/>
      <c r="S41" s="1019"/>
      <c r="T41" s="1019"/>
      <c r="U41" s="422"/>
      <c r="V41" s="419"/>
      <c r="W41" s="421"/>
      <c r="X41" s="416">
        <f t="shared" si="2"/>
        <v>0</v>
      </c>
      <c r="Y41" s="1018"/>
      <c r="Z41" s="1019"/>
      <c r="AA41" s="1019"/>
      <c r="AB41" s="422"/>
      <c r="AC41" s="419"/>
      <c r="AD41" s="421"/>
      <c r="AE41" s="416">
        <f t="shared" si="3"/>
        <v>0</v>
      </c>
      <c r="AF41" s="1018"/>
      <c r="AG41" s="1019"/>
      <c r="AH41" s="1019"/>
      <c r="AI41" s="422"/>
      <c r="AJ41" s="419"/>
      <c r="AK41" s="421"/>
      <c r="AL41" s="416">
        <f t="shared" si="4"/>
        <v>0</v>
      </c>
      <c r="AM41" s="1018"/>
      <c r="AN41" s="1019"/>
      <c r="AO41" s="1019"/>
      <c r="AP41" s="422"/>
      <c r="AQ41" s="419"/>
      <c r="AR41" s="421"/>
      <c r="AS41" s="416">
        <f t="shared" si="5"/>
        <v>0</v>
      </c>
      <c r="AT41" s="1018"/>
      <c r="AU41" s="1019"/>
      <c r="AV41" s="1019"/>
      <c r="AW41" s="422"/>
      <c r="AX41" s="419"/>
      <c r="AY41" s="421"/>
      <c r="AZ41" s="417">
        <f t="shared" si="6"/>
        <v>0</v>
      </c>
    </row>
    <row r="42" spans="1:52" x14ac:dyDescent="0.25">
      <c r="A42" s="397"/>
      <c r="B42" s="397"/>
      <c r="C42" s="397"/>
      <c r="D42" s="1018"/>
      <c r="E42" s="1019"/>
      <c r="F42" s="1020"/>
      <c r="G42" s="422"/>
      <c r="H42" s="419"/>
      <c r="I42" s="421"/>
      <c r="J42" s="416">
        <f t="shared" si="1"/>
        <v>0</v>
      </c>
      <c r="K42" s="1018" t="s">
        <v>411</v>
      </c>
      <c r="L42" s="1019"/>
      <c r="M42" s="1019"/>
      <c r="N42" s="422" t="s">
        <v>292</v>
      </c>
      <c r="O42" s="419"/>
      <c r="P42" s="421"/>
      <c r="Q42" s="416">
        <f t="shared" si="0"/>
        <v>0</v>
      </c>
      <c r="R42" s="1018"/>
      <c r="S42" s="1019"/>
      <c r="T42" s="1019"/>
      <c r="U42" s="422"/>
      <c r="V42" s="419"/>
      <c r="W42" s="421"/>
      <c r="X42" s="416">
        <f t="shared" si="2"/>
        <v>0</v>
      </c>
      <c r="Y42" s="1018"/>
      <c r="Z42" s="1019"/>
      <c r="AA42" s="1019"/>
      <c r="AB42" s="422"/>
      <c r="AC42" s="419"/>
      <c r="AD42" s="421"/>
      <c r="AE42" s="416">
        <f t="shared" si="3"/>
        <v>0</v>
      </c>
      <c r="AF42" s="1018"/>
      <c r="AG42" s="1019"/>
      <c r="AH42" s="1019"/>
      <c r="AI42" s="422"/>
      <c r="AJ42" s="419"/>
      <c r="AK42" s="421"/>
      <c r="AL42" s="416">
        <f t="shared" si="4"/>
        <v>0</v>
      </c>
      <c r="AM42" s="1018"/>
      <c r="AN42" s="1019"/>
      <c r="AO42" s="1019"/>
      <c r="AP42" s="422"/>
      <c r="AQ42" s="419"/>
      <c r="AR42" s="421"/>
      <c r="AS42" s="416">
        <f t="shared" si="5"/>
        <v>0</v>
      </c>
      <c r="AT42" s="1018"/>
      <c r="AU42" s="1019"/>
      <c r="AV42" s="1019"/>
      <c r="AW42" s="422"/>
      <c r="AX42" s="419"/>
      <c r="AY42" s="421"/>
      <c r="AZ42" s="417">
        <f t="shared" si="6"/>
        <v>0</v>
      </c>
    </row>
    <row r="43" spans="1:52" x14ac:dyDescent="0.25">
      <c r="A43" s="397"/>
      <c r="B43" s="397"/>
      <c r="C43" s="397"/>
      <c r="D43" s="1018"/>
      <c r="E43" s="1019"/>
      <c r="F43" s="1020"/>
      <c r="G43" s="422"/>
      <c r="H43" s="419"/>
      <c r="I43" s="421"/>
      <c r="J43" s="416">
        <f t="shared" si="1"/>
        <v>0</v>
      </c>
      <c r="K43" s="1018" t="s">
        <v>412</v>
      </c>
      <c r="L43" s="1019"/>
      <c r="M43" s="1019"/>
      <c r="N43" s="422" t="s">
        <v>292</v>
      </c>
      <c r="O43" s="419"/>
      <c r="P43" s="421"/>
      <c r="Q43" s="416">
        <f t="shared" si="0"/>
        <v>0</v>
      </c>
      <c r="R43" s="1018"/>
      <c r="S43" s="1019"/>
      <c r="T43" s="1019"/>
      <c r="U43" s="422"/>
      <c r="V43" s="419"/>
      <c r="W43" s="421"/>
      <c r="X43" s="416">
        <f t="shared" si="2"/>
        <v>0</v>
      </c>
      <c r="Y43" s="1018"/>
      <c r="Z43" s="1019"/>
      <c r="AA43" s="1019"/>
      <c r="AB43" s="422"/>
      <c r="AC43" s="419"/>
      <c r="AD43" s="421"/>
      <c r="AE43" s="416">
        <f t="shared" si="3"/>
        <v>0</v>
      </c>
      <c r="AF43" s="1018"/>
      <c r="AG43" s="1019"/>
      <c r="AH43" s="1019"/>
      <c r="AI43" s="422"/>
      <c r="AJ43" s="419"/>
      <c r="AK43" s="421"/>
      <c r="AL43" s="416">
        <f t="shared" si="4"/>
        <v>0</v>
      </c>
      <c r="AM43" s="1018"/>
      <c r="AN43" s="1019"/>
      <c r="AO43" s="1019"/>
      <c r="AP43" s="422"/>
      <c r="AQ43" s="419"/>
      <c r="AR43" s="421"/>
      <c r="AS43" s="416">
        <f t="shared" si="5"/>
        <v>0</v>
      </c>
      <c r="AT43" s="1018"/>
      <c r="AU43" s="1019"/>
      <c r="AV43" s="1019"/>
      <c r="AW43" s="422"/>
      <c r="AX43" s="419"/>
      <c r="AY43" s="421"/>
      <c r="AZ43" s="417">
        <f t="shared" si="6"/>
        <v>0</v>
      </c>
    </row>
    <row r="44" spans="1:52" x14ac:dyDescent="0.25">
      <c r="A44" s="397"/>
      <c r="B44" s="397"/>
      <c r="C44" s="397"/>
      <c r="D44" s="1018"/>
      <c r="E44" s="1019"/>
      <c r="F44" s="1020"/>
      <c r="G44" s="422"/>
      <c r="H44" s="419"/>
      <c r="I44" s="421"/>
      <c r="J44" s="416">
        <f t="shared" si="1"/>
        <v>0</v>
      </c>
      <c r="K44" s="1018" t="s">
        <v>413</v>
      </c>
      <c r="L44" s="1019"/>
      <c r="M44" s="1019"/>
      <c r="N44" s="422" t="s">
        <v>292</v>
      </c>
      <c r="O44" s="419"/>
      <c r="P44" s="421"/>
      <c r="Q44" s="416">
        <f t="shared" si="0"/>
        <v>0</v>
      </c>
      <c r="R44" s="1018"/>
      <c r="S44" s="1019"/>
      <c r="T44" s="1019"/>
      <c r="U44" s="422"/>
      <c r="V44" s="419"/>
      <c r="W44" s="421"/>
      <c r="X44" s="416">
        <f t="shared" si="2"/>
        <v>0</v>
      </c>
      <c r="Y44" s="1018"/>
      <c r="Z44" s="1019"/>
      <c r="AA44" s="1019"/>
      <c r="AB44" s="422"/>
      <c r="AC44" s="419"/>
      <c r="AD44" s="421"/>
      <c r="AE44" s="416">
        <f t="shared" si="3"/>
        <v>0</v>
      </c>
      <c r="AF44" s="1018"/>
      <c r="AG44" s="1019"/>
      <c r="AH44" s="1019"/>
      <c r="AI44" s="422"/>
      <c r="AJ44" s="419"/>
      <c r="AK44" s="421"/>
      <c r="AL44" s="416">
        <f t="shared" si="4"/>
        <v>0</v>
      </c>
      <c r="AM44" s="1018"/>
      <c r="AN44" s="1019"/>
      <c r="AO44" s="1019"/>
      <c r="AP44" s="422"/>
      <c r="AQ44" s="419"/>
      <c r="AR44" s="421"/>
      <c r="AS44" s="416">
        <f t="shared" si="5"/>
        <v>0</v>
      </c>
      <c r="AT44" s="1018"/>
      <c r="AU44" s="1019"/>
      <c r="AV44" s="1019"/>
      <c r="AW44" s="422"/>
      <c r="AX44" s="419"/>
      <c r="AY44" s="421"/>
      <c r="AZ44" s="417">
        <f t="shared" si="6"/>
        <v>0</v>
      </c>
    </row>
    <row r="45" spans="1:52" x14ac:dyDescent="0.25">
      <c r="A45" s="397"/>
      <c r="B45" s="397"/>
      <c r="C45" s="397"/>
      <c r="D45" s="1018"/>
      <c r="E45" s="1019"/>
      <c r="F45" s="1020"/>
      <c r="G45" s="422"/>
      <c r="H45" s="419"/>
      <c r="I45" s="421"/>
      <c r="J45" s="416">
        <f t="shared" si="1"/>
        <v>0</v>
      </c>
      <c r="K45" s="1018" t="s">
        <v>414</v>
      </c>
      <c r="L45" s="1019"/>
      <c r="M45" s="1019"/>
      <c r="N45" s="422" t="s">
        <v>292</v>
      </c>
      <c r="O45" s="419"/>
      <c r="P45" s="421"/>
      <c r="Q45" s="416">
        <f t="shared" si="0"/>
        <v>0</v>
      </c>
      <c r="R45" s="1018"/>
      <c r="S45" s="1019"/>
      <c r="T45" s="1019"/>
      <c r="U45" s="422"/>
      <c r="V45" s="419"/>
      <c r="W45" s="421"/>
      <c r="X45" s="416">
        <f t="shared" si="2"/>
        <v>0</v>
      </c>
      <c r="Y45" s="1018"/>
      <c r="Z45" s="1019"/>
      <c r="AA45" s="1019"/>
      <c r="AB45" s="422"/>
      <c r="AC45" s="419"/>
      <c r="AD45" s="421"/>
      <c r="AE45" s="416">
        <f t="shared" si="3"/>
        <v>0</v>
      </c>
      <c r="AF45" s="1018"/>
      <c r="AG45" s="1019"/>
      <c r="AH45" s="1019"/>
      <c r="AI45" s="422"/>
      <c r="AJ45" s="419"/>
      <c r="AK45" s="421"/>
      <c r="AL45" s="416">
        <f t="shared" si="4"/>
        <v>0</v>
      </c>
      <c r="AM45" s="1018"/>
      <c r="AN45" s="1019"/>
      <c r="AO45" s="1019"/>
      <c r="AP45" s="422"/>
      <c r="AQ45" s="419"/>
      <c r="AR45" s="421"/>
      <c r="AS45" s="416">
        <f t="shared" si="5"/>
        <v>0</v>
      </c>
      <c r="AT45" s="1018"/>
      <c r="AU45" s="1019"/>
      <c r="AV45" s="1019"/>
      <c r="AW45" s="422"/>
      <c r="AX45" s="419"/>
      <c r="AY45" s="421"/>
      <c r="AZ45" s="417">
        <f t="shared" si="6"/>
        <v>0</v>
      </c>
    </row>
    <row r="46" spans="1:52" x14ac:dyDescent="0.25">
      <c r="A46" s="397"/>
      <c r="B46" s="397"/>
      <c r="C46" s="397"/>
      <c r="D46" s="1018"/>
      <c r="E46" s="1019"/>
      <c r="F46" s="1020"/>
      <c r="G46" s="422"/>
      <c r="H46" s="419"/>
      <c r="I46" s="421"/>
      <c r="J46" s="416">
        <f t="shared" si="1"/>
        <v>0</v>
      </c>
      <c r="K46" s="1018" t="s">
        <v>415</v>
      </c>
      <c r="L46" s="1019"/>
      <c r="M46" s="1019"/>
      <c r="N46" s="422" t="s">
        <v>292</v>
      </c>
      <c r="O46" s="419"/>
      <c r="P46" s="421"/>
      <c r="Q46" s="416">
        <f t="shared" si="0"/>
        <v>0</v>
      </c>
      <c r="R46" s="1018"/>
      <c r="S46" s="1019"/>
      <c r="T46" s="1019"/>
      <c r="U46" s="422"/>
      <c r="V46" s="419"/>
      <c r="W46" s="421"/>
      <c r="X46" s="416">
        <f t="shared" si="2"/>
        <v>0</v>
      </c>
      <c r="Y46" s="1018"/>
      <c r="Z46" s="1019"/>
      <c r="AA46" s="1019"/>
      <c r="AB46" s="422"/>
      <c r="AC46" s="419"/>
      <c r="AD46" s="421"/>
      <c r="AE46" s="416">
        <f t="shared" si="3"/>
        <v>0</v>
      </c>
      <c r="AF46" s="1018"/>
      <c r="AG46" s="1019"/>
      <c r="AH46" s="1019"/>
      <c r="AI46" s="422"/>
      <c r="AJ46" s="419"/>
      <c r="AK46" s="421"/>
      <c r="AL46" s="416">
        <f t="shared" si="4"/>
        <v>0</v>
      </c>
      <c r="AM46" s="1018"/>
      <c r="AN46" s="1019"/>
      <c r="AO46" s="1019"/>
      <c r="AP46" s="422"/>
      <c r="AQ46" s="419"/>
      <c r="AR46" s="421"/>
      <c r="AS46" s="416">
        <f t="shared" si="5"/>
        <v>0</v>
      </c>
      <c r="AT46" s="1018"/>
      <c r="AU46" s="1019"/>
      <c r="AV46" s="1019"/>
      <c r="AW46" s="422"/>
      <c r="AX46" s="419"/>
      <c r="AY46" s="421"/>
      <c r="AZ46" s="417">
        <f t="shared" si="6"/>
        <v>0</v>
      </c>
    </row>
    <row r="47" spans="1:52" x14ac:dyDescent="0.25">
      <c r="A47" s="397"/>
      <c r="B47" s="397"/>
      <c r="C47" s="397"/>
      <c r="D47" s="1018"/>
      <c r="E47" s="1019"/>
      <c r="F47" s="1020"/>
      <c r="G47" s="422"/>
      <c r="H47" s="419"/>
      <c r="I47" s="421"/>
      <c r="J47" s="416">
        <f t="shared" si="1"/>
        <v>0</v>
      </c>
      <c r="K47" s="1018" t="s">
        <v>416</v>
      </c>
      <c r="L47" s="1019"/>
      <c r="M47" s="1019"/>
      <c r="N47" s="422" t="s">
        <v>292</v>
      </c>
      <c r="O47" s="419"/>
      <c r="P47" s="421"/>
      <c r="Q47" s="416">
        <f t="shared" si="0"/>
        <v>0</v>
      </c>
      <c r="R47" s="1018"/>
      <c r="S47" s="1019"/>
      <c r="T47" s="1019"/>
      <c r="U47" s="422"/>
      <c r="V47" s="419"/>
      <c r="W47" s="421"/>
      <c r="X47" s="416">
        <f t="shared" si="2"/>
        <v>0</v>
      </c>
      <c r="Y47" s="1018"/>
      <c r="Z47" s="1019"/>
      <c r="AA47" s="1019"/>
      <c r="AB47" s="422"/>
      <c r="AC47" s="419"/>
      <c r="AD47" s="421"/>
      <c r="AE47" s="416">
        <f t="shared" si="3"/>
        <v>0</v>
      </c>
      <c r="AF47" s="1018"/>
      <c r="AG47" s="1019"/>
      <c r="AH47" s="1019"/>
      <c r="AI47" s="422"/>
      <c r="AJ47" s="419"/>
      <c r="AK47" s="421"/>
      <c r="AL47" s="416">
        <f t="shared" si="4"/>
        <v>0</v>
      </c>
      <c r="AM47" s="1018"/>
      <c r="AN47" s="1019"/>
      <c r="AO47" s="1019"/>
      <c r="AP47" s="422"/>
      <c r="AQ47" s="419"/>
      <c r="AR47" s="421"/>
      <c r="AS47" s="416">
        <f t="shared" si="5"/>
        <v>0</v>
      </c>
      <c r="AT47" s="1018"/>
      <c r="AU47" s="1019"/>
      <c r="AV47" s="1019"/>
      <c r="AW47" s="422"/>
      <c r="AX47" s="419"/>
      <c r="AY47" s="421"/>
      <c r="AZ47" s="417">
        <f t="shared" si="6"/>
        <v>0</v>
      </c>
    </row>
    <row r="48" spans="1:52" x14ac:dyDescent="0.25">
      <c r="A48" s="397"/>
      <c r="B48" s="397"/>
      <c r="C48" s="397"/>
      <c r="D48" s="1018"/>
      <c r="E48" s="1019"/>
      <c r="F48" s="1020"/>
      <c r="G48" s="422"/>
      <c r="H48" s="419"/>
      <c r="I48" s="421"/>
      <c r="J48" s="416">
        <f t="shared" si="1"/>
        <v>0</v>
      </c>
      <c r="K48" s="1018" t="s">
        <v>422</v>
      </c>
      <c r="L48" s="1019"/>
      <c r="M48" s="1019"/>
      <c r="N48" s="422" t="s">
        <v>374</v>
      </c>
      <c r="O48" s="419"/>
      <c r="P48" s="421"/>
      <c r="Q48" s="416">
        <f t="shared" si="0"/>
        <v>0</v>
      </c>
      <c r="R48" s="1018"/>
      <c r="S48" s="1019"/>
      <c r="T48" s="1019"/>
      <c r="U48" s="422"/>
      <c r="V48" s="419"/>
      <c r="W48" s="421"/>
      <c r="X48" s="416">
        <f t="shared" si="2"/>
        <v>0</v>
      </c>
      <c r="Y48" s="1018"/>
      <c r="Z48" s="1019"/>
      <c r="AA48" s="1019"/>
      <c r="AB48" s="422"/>
      <c r="AC48" s="419"/>
      <c r="AD48" s="421"/>
      <c r="AE48" s="416">
        <f t="shared" si="3"/>
        <v>0</v>
      </c>
      <c r="AF48" s="1018"/>
      <c r="AG48" s="1019"/>
      <c r="AH48" s="1019"/>
      <c r="AI48" s="422"/>
      <c r="AJ48" s="419"/>
      <c r="AK48" s="421"/>
      <c r="AL48" s="416">
        <f t="shared" si="4"/>
        <v>0</v>
      </c>
      <c r="AM48" s="1018"/>
      <c r="AN48" s="1019"/>
      <c r="AO48" s="1019"/>
      <c r="AP48" s="422"/>
      <c r="AQ48" s="419"/>
      <c r="AR48" s="421"/>
      <c r="AS48" s="416">
        <f t="shared" si="5"/>
        <v>0</v>
      </c>
      <c r="AT48" s="1018"/>
      <c r="AU48" s="1019"/>
      <c r="AV48" s="1019"/>
      <c r="AW48" s="422"/>
      <c r="AX48" s="419"/>
      <c r="AY48" s="421"/>
      <c r="AZ48" s="417">
        <f t="shared" si="6"/>
        <v>0</v>
      </c>
    </row>
    <row r="49" spans="1:52" x14ac:dyDescent="0.25">
      <c r="A49" s="397"/>
      <c r="B49" s="397"/>
      <c r="C49" s="397"/>
      <c r="D49" s="1018"/>
      <c r="E49" s="1019"/>
      <c r="F49" s="1020"/>
      <c r="G49" s="422"/>
      <c r="H49" s="419"/>
      <c r="I49" s="421"/>
      <c r="J49" s="416">
        <f t="shared" si="1"/>
        <v>0</v>
      </c>
      <c r="K49" s="1018"/>
      <c r="L49" s="1019"/>
      <c r="M49" s="1019"/>
      <c r="N49" s="422"/>
      <c r="O49" s="419"/>
      <c r="P49" s="421"/>
      <c r="Q49" s="416">
        <f t="shared" si="0"/>
        <v>0</v>
      </c>
      <c r="R49" s="1018"/>
      <c r="S49" s="1019"/>
      <c r="T49" s="1019"/>
      <c r="U49" s="422"/>
      <c r="V49" s="419"/>
      <c r="W49" s="421"/>
      <c r="X49" s="416">
        <f t="shared" si="2"/>
        <v>0</v>
      </c>
      <c r="Y49" s="1018"/>
      <c r="Z49" s="1019"/>
      <c r="AA49" s="1019"/>
      <c r="AB49" s="422"/>
      <c r="AC49" s="419"/>
      <c r="AD49" s="421"/>
      <c r="AE49" s="416">
        <f t="shared" si="3"/>
        <v>0</v>
      </c>
      <c r="AF49" s="1018"/>
      <c r="AG49" s="1019"/>
      <c r="AH49" s="1019"/>
      <c r="AI49" s="422"/>
      <c r="AJ49" s="419"/>
      <c r="AK49" s="421"/>
      <c r="AL49" s="416">
        <f t="shared" si="4"/>
        <v>0</v>
      </c>
      <c r="AM49" s="1018"/>
      <c r="AN49" s="1019"/>
      <c r="AO49" s="1019"/>
      <c r="AP49" s="422"/>
      <c r="AQ49" s="419"/>
      <c r="AR49" s="421"/>
      <c r="AS49" s="416">
        <f t="shared" si="5"/>
        <v>0</v>
      </c>
      <c r="AT49" s="1018"/>
      <c r="AU49" s="1019"/>
      <c r="AV49" s="1019"/>
      <c r="AW49" s="422"/>
      <c r="AX49" s="419"/>
      <c r="AY49" s="421"/>
      <c r="AZ49" s="417">
        <f t="shared" si="6"/>
        <v>0</v>
      </c>
    </row>
    <row r="50" spans="1:52" x14ac:dyDescent="0.25">
      <c r="A50" s="397"/>
      <c r="B50" s="397"/>
      <c r="C50" s="397"/>
      <c r="D50" s="1018"/>
      <c r="E50" s="1019"/>
      <c r="F50" s="1020"/>
      <c r="G50" s="422"/>
      <c r="H50" s="419"/>
      <c r="I50" s="421"/>
      <c r="J50" s="416">
        <f t="shared" si="1"/>
        <v>0</v>
      </c>
      <c r="K50" s="1018"/>
      <c r="L50" s="1019"/>
      <c r="M50" s="1019"/>
      <c r="N50" s="422"/>
      <c r="O50" s="419"/>
      <c r="P50" s="421"/>
      <c r="Q50" s="416">
        <f t="shared" si="0"/>
        <v>0</v>
      </c>
      <c r="R50" s="1018"/>
      <c r="S50" s="1019"/>
      <c r="T50" s="1019"/>
      <c r="U50" s="422"/>
      <c r="V50" s="419"/>
      <c r="W50" s="421"/>
      <c r="X50" s="416">
        <f t="shared" si="2"/>
        <v>0</v>
      </c>
      <c r="Y50" s="1018"/>
      <c r="Z50" s="1019"/>
      <c r="AA50" s="1019"/>
      <c r="AB50" s="422"/>
      <c r="AC50" s="419"/>
      <c r="AD50" s="421"/>
      <c r="AE50" s="416">
        <f t="shared" si="3"/>
        <v>0</v>
      </c>
      <c r="AF50" s="1018"/>
      <c r="AG50" s="1019"/>
      <c r="AH50" s="1019"/>
      <c r="AI50" s="422"/>
      <c r="AJ50" s="419"/>
      <c r="AK50" s="421"/>
      <c r="AL50" s="416">
        <f t="shared" si="4"/>
        <v>0</v>
      </c>
      <c r="AM50" s="1018"/>
      <c r="AN50" s="1019"/>
      <c r="AO50" s="1019"/>
      <c r="AP50" s="422"/>
      <c r="AQ50" s="419"/>
      <c r="AR50" s="421"/>
      <c r="AS50" s="416">
        <f t="shared" si="5"/>
        <v>0</v>
      </c>
      <c r="AT50" s="1018"/>
      <c r="AU50" s="1019"/>
      <c r="AV50" s="1019"/>
      <c r="AW50" s="422"/>
      <c r="AX50" s="419"/>
      <c r="AY50" s="421"/>
      <c r="AZ50" s="417">
        <f t="shared" si="6"/>
        <v>0</v>
      </c>
    </row>
    <row r="51" spans="1:52" x14ac:dyDescent="0.25">
      <c r="A51" s="397"/>
      <c r="B51" s="397"/>
      <c r="C51" s="397"/>
      <c r="D51" s="1018"/>
      <c r="E51" s="1019"/>
      <c r="F51" s="1020"/>
      <c r="G51" s="422"/>
      <c r="H51" s="419"/>
      <c r="I51" s="421"/>
      <c r="J51" s="416">
        <f t="shared" si="1"/>
        <v>0</v>
      </c>
      <c r="K51" s="1018"/>
      <c r="L51" s="1019"/>
      <c r="M51" s="1019"/>
      <c r="N51" s="422"/>
      <c r="O51" s="419"/>
      <c r="P51" s="421"/>
      <c r="Q51" s="416">
        <f t="shared" si="0"/>
        <v>0</v>
      </c>
      <c r="R51" s="1018"/>
      <c r="S51" s="1019"/>
      <c r="T51" s="1019"/>
      <c r="U51" s="422"/>
      <c r="V51" s="419"/>
      <c r="W51" s="421"/>
      <c r="X51" s="416">
        <f t="shared" si="2"/>
        <v>0</v>
      </c>
      <c r="Y51" s="1018"/>
      <c r="Z51" s="1019"/>
      <c r="AA51" s="1019"/>
      <c r="AB51" s="422"/>
      <c r="AC51" s="419"/>
      <c r="AD51" s="421"/>
      <c r="AE51" s="416">
        <f t="shared" si="3"/>
        <v>0</v>
      </c>
      <c r="AF51" s="1018"/>
      <c r="AG51" s="1019"/>
      <c r="AH51" s="1019"/>
      <c r="AI51" s="422"/>
      <c r="AJ51" s="419"/>
      <c r="AK51" s="421"/>
      <c r="AL51" s="416">
        <f t="shared" si="4"/>
        <v>0</v>
      </c>
      <c r="AM51" s="1018"/>
      <c r="AN51" s="1019"/>
      <c r="AO51" s="1019"/>
      <c r="AP51" s="422"/>
      <c r="AQ51" s="419"/>
      <c r="AR51" s="421"/>
      <c r="AS51" s="416">
        <f t="shared" si="5"/>
        <v>0</v>
      </c>
      <c r="AT51" s="1018"/>
      <c r="AU51" s="1019"/>
      <c r="AV51" s="1019"/>
      <c r="AW51" s="422"/>
      <c r="AX51" s="419"/>
      <c r="AY51" s="421"/>
      <c r="AZ51" s="417">
        <f t="shared" si="6"/>
        <v>0</v>
      </c>
    </row>
    <row r="52" spans="1:52" x14ac:dyDescent="0.25">
      <c r="A52" s="397"/>
      <c r="B52" s="397"/>
      <c r="C52" s="397"/>
      <c r="D52" s="1018"/>
      <c r="E52" s="1019"/>
      <c r="F52" s="1020"/>
      <c r="G52" s="422"/>
      <c r="H52" s="419"/>
      <c r="I52" s="421"/>
      <c r="J52" s="416">
        <f t="shared" si="1"/>
        <v>0</v>
      </c>
      <c r="K52" s="1018"/>
      <c r="L52" s="1019"/>
      <c r="M52" s="1019"/>
      <c r="N52" s="422"/>
      <c r="O52" s="419"/>
      <c r="P52" s="421"/>
      <c r="Q52" s="416">
        <f t="shared" si="0"/>
        <v>0</v>
      </c>
      <c r="R52" s="1018"/>
      <c r="S52" s="1019"/>
      <c r="T52" s="1019"/>
      <c r="U52" s="422"/>
      <c r="V52" s="419"/>
      <c r="W52" s="421"/>
      <c r="X52" s="416">
        <f t="shared" si="2"/>
        <v>0</v>
      </c>
      <c r="Y52" s="1018"/>
      <c r="Z52" s="1019"/>
      <c r="AA52" s="1019"/>
      <c r="AB52" s="422"/>
      <c r="AC52" s="419"/>
      <c r="AD52" s="421"/>
      <c r="AE52" s="416">
        <f t="shared" si="3"/>
        <v>0</v>
      </c>
      <c r="AF52" s="1018"/>
      <c r="AG52" s="1019"/>
      <c r="AH52" s="1019"/>
      <c r="AI52" s="422"/>
      <c r="AJ52" s="419"/>
      <c r="AK52" s="421"/>
      <c r="AL52" s="416">
        <f t="shared" si="4"/>
        <v>0</v>
      </c>
      <c r="AM52" s="1018"/>
      <c r="AN52" s="1019"/>
      <c r="AO52" s="1019"/>
      <c r="AP52" s="422"/>
      <c r="AQ52" s="419"/>
      <c r="AR52" s="421"/>
      <c r="AS52" s="416">
        <f t="shared" si="5"/>
        <v>0</v>
      </c>
      <c r="AT52" s="1018"/>
      <c r="AU52" s="1019"/>
      <c r="AV52" s="1019"/>
      <c r="AW52" s="422"/>
      <c r="AX52" s="419"/>
      <c r="AY52" s="421"/>
      <c r="AZ52" s="417">
        <f t="shared" si="6"/>
        <v>0</v>
      </c>
    </row>
    <row r="53" spans="1:52" x14ac:dyDescent="0.25">
      <c r="A53" s="397"/>
      <c r="B53" s="397"/>
      <c r="C53" s="397"/>
      <c r="D53" s="1018"/>
      <c r="E53" s="1019"/>
      <c r="F53" s="1020"/>
      <c r="G53" s="422"/>
      <c r="H53" s="419"/>
      <c r="I53" s="421"/>
      <c r="J53" s="416">
        <f t="shared" si="1"/>
        <v>0</v>
      </c>
      <c r="K53" s="1018"/>
      <c r="L53" s="1019"/>
      <c r="M53" s="1019"/>
      <c r="N53" s="422"/>
      <c r="O53" s="419"/>
      <c r="P53" s="421"/>
      <c r="Q53" s="416">
        <f t="shared" si="0"/>
        <v>0</v>
      </c>
      <c r="R53" s="1018"/>
      <c r="S53" s="1019"/>
      <c r="T53" s="1019"/>
      <c r="U53" s="422"/>
      <c r="V53" s="419"/>
      <c r="W53" s="421"/>
      <c r="X53" s="416">
        <f t="shared" si="2"/>
        <v>0</v>
      </c>
      <c r="Y53" s="1018"/>
      <c r="Z53" s="1019"/>
      <c r="AA53" s="1019"/>
      <c r="AB53" s="422"/>
      <c r="AC53" s="419"/>
      <c r="AD53" s="421"/>
      <c r="AE53" s="416">
        <f t="shared" si="3"/>
        <v>0</v>
      </c>
      <c r="AF53" s="1018"/>
      <c r="AG53" s="1019"/>
      <c r="AH53" s="1019"/>
      <c r="AI53" s="422"/>
      <c r="AJ53" s="419"/>
      <c r="AK53" s="421"/>
      <c r="AL53" s="416">
        <f t="shared" si="4"/>
        <v>0</v>
      </c>
      <c r="AM53" s="1018"/>
      <c r="AN53" s="1019"/>
      <c r="AO53" s="1019"/>
      <c r="AP53" s="422"/>
      <c r="AQ53" s="419"/>
      <c r="AR53" s="421"/>
      <c r="AS53" s="416">
        <f t="shared" si="5"/>
        <v>0</v>
      </c>
      <c r="AT53" s="1018"/>
      <c r="AU53" s="1019"/>
      <c r="AV53" s="1019"/>
      <c r="AW53" s="422"/>
      <c r="AX53" s="419"/>
      <c r="AY53" s="421"/>
      <c r="AZ53" s="417">
        <f t="shared" si="6"/>
        <v>0</v>
      </c>
    </row>
    <row r="54" spans="1:52" x14ac:dyDescent="0.25">
      <c r="A54" s="397"/>
      <c r="B54" s="397"/>
      <c r="C54" s="397"/>
      <c r="D54" s="1018"/>
      <c r="E54" s="1019"/>
      <c r="F54" s="1020"/>
      <c r="G54" s="422"/>
      <c r="H54" s="419"/>
      <c r="I54" s="421"/>
      <c r="J54" s="416">
        <f t="shared" si="1"/>
        <v>0</v>
      </c>
      <c r="K54" s="1018"/>
      <c r="L54" s="1019"/>
      <c r="M54" s="1019"/>
      <c r="N54" s="422"/>
      <c r="O54" s="419"/>
      <c r="P54" s="421"/>
      <c r="Q54" s="416">
        <f t="shared" si="0"/>
        <v>0</v>
      </c>
      <c r="R54" s="1018"/>
      <c r="S54" s="1019"/>
      <c r="T54" s="1019"/>
      <c r="U54" s="422"/>
      <c r="V54" s="419"/>
      <c r="W54" s="421"/>
      <c r="X54" s="416">
        <f t="shared" si="2"/>
        <v>0</v>
      </c>
      <c r="Y54" s="1018"/>
      <c r="Z54" s="1019"/>
      <c r="AA54" s="1019"/>
      <c r="AB54" s="422"/>
      <c r="AC54" s="419"/>
      <c r="AD54" s="421"/>
      <c r="AE54" s="416">
        <f t="shared" si="3"/>
        <v>0</v>
      </c>
      <c r="AF54" s="1018"/>
      <c r="AG54" s="1019"/>
      <c r="AH54" s="1019"/>
      <c r="AI54" s="422"/>
      <c r="AJ54" s="419"/>
      <c r="AK54" s="421"/>
      <c r="AL54" s="416">
        <f t="shared" si="4"/>
        <v>0</v>
      </c>
      <c r="AM54" s="1018"/>
      <c r="AN54" s="1019"/>
      <c r="AO54" s="1019"/>
      <c r="AP54" s="422"/>
      <c r="AQ54" s="419"/>
      <c r="AR54" s="421"/>
      <c r="AS54" s="416">
        <f t="shared" si="5"/>
        <v>0</v>
      </c>
      <c r="AT54" s="1018"/>
      <c r="AU54" s="1019"/>
      <c r="AV54" s="1019"/>
      <c r="AW54" s="422"/>
      <c r="AX54" s="419"/>
      <c r="AY54" s="421"/>
      <c r="AZ54" s="417">
        <f t="shared" si="6"/>
        <v>0</v>
      </c>
    </row>
    <row r="55" spans="1:52" x14ac:dyDescent="0.25">
      <c r="A55" s="397"/>
      <c r="B55" s="397"/>
      <c r="C55" s="397"/>
      <c r="D55" s="1018"/>
      <c r="E55" s="1019"/>
      <c r="F55" s="1020"/>
      <c r="G55" s="422"/>
      <c r="H55" s="419"/>
      <c r="I55" s="421"/>
      <c r="J55" s="416">
        <f t="shared" si="1"/>
        <v>0</v>
      </c>
      <c r="K55" s="1018"/>
      <c r="L55" s="1019"/>
      <c r="M55" s="1019"/>
      <c r="N55" s="422"/>
      <c r="O55" s="419"/>
      <c r="P55" s="421"/>
      <c r="Q55" s="416">
        <f t="shared" si="0"/>
        <v>0</v>
      </c>
      <c r="R55" s="1018"/>
      <c r="S55" s="1019"/>
      <c r="T55" s="1019"/>
      <c r="U55" s="422"/>
      <c r="V55" s="419"/>
      <c r="W55" s="421"/>
      <c r="X55" s="416">
        <f t="shared" si="2"/>
        <v>0</v>
      </c>
      <c r="Y55" s="1018"/>
      <c r="Z55" s="1019"/>
      <c r="AA55" s="1019"/>
      <c r="AB55" s="422"/>
      <c r="AC55" s="419"/>
      <c r="AD55" s="421"/>
      <c r="AE55" s="416">
        <f t="shared" si="3"/>
        <v>0</v>
      </c>
      <c r="AF55" s="1018"/>
      <c r="AG55" s="1019"/>
      <c r="AH55" s="1019"/>
      <c r="AI55" s="422"/>
      <c r="AJ55" s="419"/>
      <c r="AK55" s="421"/>
      <c r="AL55" s="416">
        <f t="shared" si="4"/>
        <v>0</v>
      </c>
      <c r="AM55" s="1018"/>
      <c r="AN55" s="1019"/>
      <c r="AO55" s="1019"/>
      <c r="AP55" s="422"/>
      <c r="AQ55" s="419"/>
      <c r="AR55" s="421"/>
      <c r="AS55" s="416">
        <f t="shared" si="5"/>
        <v>0</v>
      </c>
      <c r="AT55" s="1018"/>
      <c r="AU55" s="1019"/>
      <c r="AV55" s="1019"/>
      <c r="AW55" s="422"/>
      <c r="AX55" s="419"/>
      <c r="AY55" s="421"/>
      <c r="AZ55" s="417">
        <f t="shared" si="6"/>
        <v>0</v>
      </c>
    </row>
    <row r="56" spans="1:52" x14ac:dyDescent="0.25">
      <c r="A56" s="397"/>
      <c r="B56" s="397"/>
      <c r="C56" s="397"/>
      <c r="D56" s="1018"/>
      <c r="E56" s="1019"/>
      <c r="F56" s="1020"/>
      <c r="G56" s="422"/>
      <c r="H56" s="419"/>
      <c r="I56" s="421"/>
      <c r="J56" s="416">
        <f t="shared" si="1"/>
        <v>0</v>
      </c>
      <c r="K56" s="1018"/>
      <c r="L56" s="1019"/>
      <c r="M56" s="1019"/>
      <c r="N56" s="422"/>
      <c r="O56" s="419"/>
      <c r="P56" s="421"/>
      <c r="Q56" s="416">
        <f t="shared" si="0"/>
        <v>0</v>
      </c>
      <c r="R56" s="1018"/>
      <c r="S56" s="1019"/>
      <c r="T56" s="1019"/>
      <c r="U56" s="422"/>
      <c r="V56" s="419"/>
      <c r="W56" s="421"/>
      <c r="X56" s="416">
        <f t="shared" si="2"/>
        <v>0</v>
      </c>
      <c r="Y56" s="1018"/>
      <c r="Z56" s="1019"/>
      <c r="AA56" s="1019"/>
      <c r="AB56" s="422"/>
      <c r="AC56" s="419"/>
      <c r="AD56" s="421"/>
      <c r="AE56" s="416">
        <f t="shared" si="3"/>
        <v>0</v>
      </c>
      <c r="AF56" s="1018"/>
      <c r="AG56" s="1019"/>
      <c r="AH56" s="1019"/>
      <c r="AI56" s="422"/>
      <c r="AJ56" s="419"/>
      <c r="AK56" s="421"/>
      <c r="AL56" s="416">
        <f t="shared" si="4"/>
        <v>0</v>
      </c>
      <c r="AM56" s="1018"/>
      <c r="AN56" s="1019"/>
      <c r="AO56" s="1019"/>
      <c r="AP56" s="422"/>
      <c r="AQ56" s="419"/>
      <c r="AR56" s="421"/>
      <c r="AS56" s="416">
        <f t="shared" si="5"/>
        <v>0</v>
      </c>
      <c r="AT56" s="1018"/>
      <c r="AU56" s="1019"/>
      <c r="AV56" s="1019"/>
      <c r="AW56" s="422"/>
      <c r="AX56" s="419"/>
      <c r="AY56" s="421"/>
      <c r="AZ56" s="417">
        <f t="shared" si="6"/>
        <v>0</v>
      </c>
    </row>
    <row r="57" spans="1:52" x14ac:dyDescent="0.25">
      <c r="A57" s="397"/>
      <c r="B57" s="397"/>
      <c r="C57" s="397"/>
      <c r="D57" s="1018"/>
      <c r="E57" s="1019"/>
      <c r="F57" s="1020"/>
      <c r="G57" s="422"/>
      <c r="H57" s="419"/>
      <c r="I57" s="421"/>
      <c r="J57" s="416">
        <f t="shared" si="1"/>
        <v>0</v>
      </c>
      <c r="K57" s="1018"/>
      <c r="L57" s="1019"/>
      <c r="M57" s="1019"/>
      <c r="N57" s="422"/>
      <c r="O57" s="419"/>
      <c r="P57" s="421"/>
      <c r="Q57" s="416">
        <f t="shared" si="0"/>
        <v>0</v>
      </c>
      <c r="R57" s="1018"/>
      <c r="S57" s="1019"/>
      <c r="T57" s="1019"/>
      <c r="U57" s="422"/>
      <c r="V57" s="419"/>
      <c r="W57" s="421"/>
      <c r="X57" s="416">
        <f t="shared" ref="X57:X72" si="7">V57*W57</f>
        <v>0</v>
      </c>
      <c r="Y57" s="1018"/>
      <c r="Z57" s="1019"/>
      <c r="AA57" s="1019"/>
      <c r="AB57" s="422"/>
      <c r="AC57" s="419"/>
      <c r="AD57" s="421"/>
      <c r="AE57" s="416">
        <f t="shared" ref="AE57:AE72" si="8">AC57*AD57</f>
        <v>0</v>
      </c>
      <c r="AF57" s="1018"/>
      <c r="AG57" s="1019"/>
      <c r="AH57" s="1019"/>
      <c r="AI57" s="422"/>
      <c r="AJ57" s="419"/>
      <c r="AK57" s="421"/>
      <c r="AL57" s="416">
        <f t="shared" ref="AL57:AL72" si="9">AJ57*AK57</f>
        <v>0</v>
      </c>
      <c r="AM57" s="1018"/>
      <c r="AN57" s="1019"/>
      <c r="AO57" s="1019"/>
      <c r="AP57" s="422"/>
      <c r="AQ57" s="419"/>
      <c r="AR57" s="421"/>
      <c r="AS57" s="416">
        <f t="shared" ref="AS57:AS72" si="10">AQ57*AR57</f>
        <v>0</v>
      </c>
      <c r="AT57" s="1018"/>
      <c r="AU57" s="1019"/>
      <c r="AV57" s="1019"/>
      <c r="AW57" s="422"/>
      <c r="AX57" s="419"/>
      <c r="AY57" s="421"/>
      <c r="AZ57" s="417">
        <f t="shared" ref="AZ57:AZ72" si="11">AX57*AY57</f>
        <v>0</v>
      </c>
    </row>
    <row r="58" spans="1:52" x14ac:dyDescent="0.25">
      <c r="A58" s="397"/>
      <c r="B58" s="397"/>
      <c r="C58" s="397"/>
      <c r="D58" s="1018"/>
      <c r="E58" s="1019"/>
      <c r="F58" s="1020"/>
      <c r="G58" s="422"/>
      <c r="H58" s="419"/>
      <c r="I58" s="421"/>
      <c r="J58" s="416">
        <f t="shared" si="1"/>
        <v>0</v>
      </c>
      <c r="K58" s="1018"/>
      <c r="L58" s="1019"/>
      <c r="M58" s="1019"/>
      <c r="N58" s="422"/>
      <c r="O58" s="419"/>
      <c r="P58" s="421"/>
      <c r="Q58" s="416">
        <f t="shared" si="0"/>
        <v>0</v>
      </c>
      <c r="R58" s="1018"/>
      <c r="S58" s="1019"/>
      <c r="T58" s="1019"/>
      <c r="U58" s="422"/>
      <c r="V58" s="419"/>
      <c r="W58" s="421"/>
      <c r="X58" s="416">
        <f t="shared" si="7"/>
        <v>0</v>
      </c>
      <c r="Y58" s="1018"/>
      <c r="Z58" s="1019"/>
      <c r="AA58" s="1019"/>
      <c r="AB58" s="422"/>
      <c r="AC58" s="419"/>
      <c r="AD58" s="421"/>
      <c r="AE58" s="416">
        <f t="shared" si="8"/>
        <v>0</v>
      </c>
      <c r="AF58" s="1018"/>
      <c r="AG58" s="1019"/>
      <c r="AH58" s="1019"/>
      <c r="AI58" s="422"/>
      <c r="AJ58" s="419"/>
      <c r="AK58" s="421"/>
      <c r="AL58" s="416">
        <f t="shared" si="9"/>
        <v>0</v>
      </c>
      <c r="AM58" s="1018"/>
      <c r="AN58" s="1019"/>
      <c r="AO58" s="1019"/>
      <c r="AP58" s="422"/>
      <c r="AQ58" s="419"/>
      <c r="AR58" s="421"/>
      <c r="AS58" s="416">
        <f t="shared" si="10"/>
        <v>0</v>
      </c>
      <c r="AT58" s="1018"/>
      <c r="AU58" s="1019"/>
      <c r="AV58" s="1019"/>
      <c r="AW58" s="422"/>
      <c r="AX58" s="419"/>
      <c r="AY58" s="421"/>
      <c r="AZ58" s="417">
        <f t="shared" si="11"/>
        <v>0</v>
      </c>
    </row>
    <row r="59" spans="1:52" x14ac:dyDescent="0.25">
      <c r="A59" s="397"/>
      <c r="B59" s="397"/>
      <c r="C59" s="397"/>
      <c r="D59" s="1018"/>
      <c r="E59" s="1019"/>
      <c r="F59" s="1020"/>
      <c r="G59" s="422"/>
      <c r="H59" s="419"/>
      <c r="I59" s="421"/>
      <c r="J59" s="416">
        <f t="shared" si="1"/>
        <v>0</v>
      </c>
      <c r="K59" s="1018"/>
      <c r="L59" s="1019"/>
      <c r="M59" s="1019"/>
      <c r="N59" s="422"/>
      <c r="O59" s="419"/>
      <c r="P59" s="421"/>
      <c r="Q59" s="416">
        <f t="shared" si="0"/>
        <v>0</v>
      </c>
      <c r="R59" s="1018"/>
      <c r="S59" s="1019"/>
      <c r="T59" s="1019"/>
      <c r="U59" s="422"/>
      <c r="V59" s="419"/>
      <c r="W59" s="421"/>
      <c r="X59" s="416">
        <f t="shared" si="7"/>
        <v>0</v>
      </c>
      <c r="Y59" s="1018"/>
      <c r="Z59" s="1019"/>
      <c r="AA59" s="1019"/>
      <c r="AB59" s="422"/>
      <c r="AC59" s="419"/>
      <c r="AD59" s="421"/>
      <c r="AE59" s="416">
        <f t="shared" si="8"/>
        <v>0</v>
      </c>
      <c r="AF59" s="1018"/>
      <c r="AG59" s="1019"/>
      <c r="AH59" s="1019"/>
      <c r="AI59" s="422"/>
      <c r="AJ59" s="419"/>
      <c r="AK59" s="421"/>
      <c r="AL59" s="416">
        <f t="shared" si="9"/>
        <v>0</v>
      </c>
      <c r="AM59" s="1018"/>
      <c r="AN59" s="1019"/>
      <c r="AO59" s="1019"/>
      <c r="AP59" s="422"/>
      <c r="AQ59" s="419"/>
      <c r="AR59" s="421"/>
      <c r="AS59" s="416">
        <f t="shared" si="10"/>
        <v>0</v>
      </c>
      <c r="AT59" s="1018"/>
      <c r="AU59" s="1019"/>
      <c r="AV59" s="1019"/>
      <c r="AW59" s="422"/>
      <c r="AX59" s="419"/>
      <c r="AY59" s="421"/>
      <c r="AZ59" s="417">
        <f t="shared" si="11"/>
        <v>0</v>
      </c>
    </row>
    <row r="60" spans="1:52" x14ac:dyDescent="0.25">
      <c r="A60" s="397"/>
      <c r="B60" s="397"/>
      <c r="C60" s="397"/>
      <c r="D60" s="1018"/>
      <c r="E60" s="1019"/>
      <c r="F60" s="1020"/>
      <c r="G60" s="422"/>
      <c r="H60" s="419"/>
      <c r="I60" s="421"/>
      <c r="J60" s="416">
        <f t="shared" si="1"/>
        <v>0</v>
      </c>
      <c r="K60" s="1018"/>
      <c r="L60" s="1019"/>
      <c r="M60" s="1019"/>
      <c r="N60" s="422"/>
      <c r="O60" s="419"/>
      <c r="P60" s="421"/>
      <c r="Q60" s="416">
        <f t="shared" si="0"/>
        <v>0</v>
      </c>
      <c r="R60" s="1018"/>
      <c r="S60" s="1019"/>
      <c r="T60" s="1019"/>
      <c r="U60" s="422"/>
      <c r="V60" s="419"/>
      <c r="W60" s="421"/>
      <c r="X60" s="416">
        <f t="shared" si="7"/>
        <v>0</v>
      </c>
      <c r="Y60" s="1018"/>
      <c r="Z60" s="1019"/>
      <c r="AA60" s="1019"/>
      <c r="AB60" s="422"/>
      <c r="AC60" s="419"/>
      <c r="AD60" s="421"/>
      <c r="AE60" s="416">
        <f t="shared" si="8"/>
        <v>0</v>
      </c>
      <c r="AF60" s="1018"/>
      <c r="AG60" s="1019"/>
      <c r="AH60" s="1019"/>
      <c r="AI60" s="422"/>
      <c r="AJ60" s="419"/>
      <c r="AK60" s="421"/>
      <c r="AL60" s="416">
        <f t="shared" si="9"/>
        <v>0</v>
      </c>
      <c r="AM60" s="1018"/>
      <c r="AN60" s="1019"/>
      <c r="AO60" s="1019"/>
      <c r="AP60" s="422"/>
      <c r="AQ60" s="419"/>
      <c r="AR60" s="421"/>
      <c r="AS60" s="416">
        <f t="shared" si="10"/>
        <v>0</v>
      </c>
      <c r="AT60" s="1018"/>
      <c r="AU60" s="1019"/>
      <c r="AV60" s="1019"/>
      <c r="AW60" s="422"/>
      <c r="AX60" s="419"/>
      <c r="AY60" s="421"/>
      <c r="AZ60" s="417">
        <f t="shared" si="11"/>
        <v>0</v>
      </c>
    </row>
    <row r="61" spans="1:52" x14ac:dyDescent="0.25">
      <c r="A61" s="397"/>
      <c r="B61" s="397"/>
      <c r="C61" s="397"/>
      <c r="D61" s="1018"/>
      <c r="E61" s="1019"/>
      <c r="F61" s="1020"/>
      <c r="G61" s="422"/>
      <c r="H61" s="419"/>
      <c r="I61" s="421"/>
      <c r="J61" s="416">
        <f t="shared" si="1"/>
        <v>0</v>
      </c>
      <c r="K61" s="1018"/>
      <c r="L61" s="1019"/>
      <c r="M61" s="1019"/>
      <c r="N61" s="422"/>
      <c r="O61" s="419"/>
      <c r="P61" s="421"/>
      <c r="Q61" s="416">
        <f t="shared" si="0"/>
        <v>0</v>
      </c>
      <c r="R61" s="1018"/>
      <c r="S61" s="1019"/>
      <c r="T61" s="1019"/>
      <c r="U61" s="422"/>
      <c r="V61" s="419"/>
      <c r="W61" s="421"/>
      <c r="X61" s="416">
        <f t="shared" si="7"/>
        <v>0</v>
      </c>
      <c r="Y61" s="1018"/>
      <c r="Z61" s="1019"/>
      <c r="AA61" s="1019"/>
      <c r="AB61" s="422"/>
      <c r="AC61" s="419"/>
      <c r="AD61" s="421"/>
      <c r="AE61" s="416">
        <f t="shared" si="8"/>
        <v>0</v>
      </c>
      <c r="AF61" s="1018"/>
      <c r="AG61" s="1019"/>
      <c r="AH61" s="1019"/>
      <c r="AI61" s="422"/>
      <c r="AJ61" s="419"/>
      <c r="AK61" s="421"/>
      <c r="AL61" s="416">
        <f t="shared" si="9"/>
        <v>0</v>
      </c>
      <c r="AM61" s="1018"/>
      <c r="AN61" s="1019"/>
      <c r="AO61" s="1019"/>
      <c r="AP61" s="422"/>
      <c r="AQ61" s="419"/>
      <c r="AR61" s="421"/>
      <c r="AS61" s="416">
        <f t="shared" si="10"/>
        <v>0</v>
      </c>
      <c r="AT61" s="1018"/>
      <c r="AU61" s="1019"/>
      <c r="AV61" s="1019"/>
      <c r="AW61" s="422"/>
      <c r="AX61" s="419"/>
      <c r="AY61" s="421"/>
      <c r="AZ61" s="417">
        <f t="shared" si="11"/>
        <v>0</v>
      </c>
    </row>
    <row r="62" spans="1:52" x14ac:dyDescent="0.25">
      <c r="A62" s="397"/>
      <c r="B62" s="397"/>
      <c r="C62" s="397"/>
      <c r="D62" s="1018"/>
      <c r="E62" s="1019"/>
      <c r="F62" s="1020"/>
      <c r="G62" s="422"/>
      <c r="H62" s="419"/>
      <c r="I62" s="421"/>
      <c r="J62" s="416">
        <f t="shared" si="1"/>
        <v>0</v>
      </c>
      <c r="K62" s="1018"/>
      <c r="L62" s="1019"/>
      <c r="M62" s="1019"/>
      <c r="N62" s="422"/>
      <c r="O62" s="419"/>
      <c r="P62" s="421"/>
      <c r="Q62" s="416">
        <f t="shared" si="0"/>
        <v>0</v>
      </c>
      <c r="R62" s="1018"/>
      <c r="S62" s="1019"/>
      <c r="T62" s="1019"/>
      <c r="U62" s="422"/>
      <c r="V62" s="419"/>
      <c r="W62" s="421"/>
      <c r="X62" s="416">
        <f t="shared" si="7"/>
        <v>0</v>
      </c>
      <c r="Y62" s="1018"/>
      <c r="Z62" s="1019"/>
      <c r="AA62" s="1019"/>
      <c r="AB62" s="422"/>
      <c r="AC62" s="419"/>
      <c r="AD62" s="421"/>
      <c r="AE62" s="416">
        <f t="shared" si="8"/>
        <v>0</v>
      </c>
      <c r="AF62" s="1018"/>
      <c r="AG62" s="1019"/>
      <c r="AH62" s="1019"/>
      <c r="AI62" s="422"/>
      <c r="AJ62" s="419"/>
      <c r="AK62" s="421"/>
      <c r="AL62" s="416">
        <f t="shared" si="9"/>
        <v>0</v>
      </c>
      <c r="AM62" s="1018"/>
      <c r="AN62" s="1019"/>
      <c r="AO62" s="1019"/>
      <c r="AP62" s="422"/>
      <c r="AQ62" s="419"/>
      <c r="AR62" s="421"/>
      <c r="AS62" s="416">
        <f t="shared" si="10"/>
        <v>0</v>
      </c>
      <c r="AT62" s="1018"/>
      <c r="AU62" s="1019"/>
      <c r="AV62" s="1019"/>
      <c r="AW62" s="422"/>
      <c r="AX62" s="419"/>
      <c r="AY62" s="421"/>
      <c r="AZ62" s="417">
        <f t="shared" si="11"/>
        <v>0</v>
      </c>
    </row>
    <row r="63" spans="1:52" x14ac:dyDescent="0.25">
      <c r="A63" s="397"/>
      <c r="B63" s="397"/>
      <c r="C63" s="397"/>
      <c r="D63" s="1018"/>
      <c r="E63" s="1019"/>
      <c r="F63" s="1020"/>
      <c r="G63" s="422"/>
      <c r="H63" s="419"/>
      <c r="I63" s="421"/>
      <c r="J63" s="416">
        <f t="shared" si="1"/>
        <v>0</v>
      </c>
      <c r="K63" s="1018"/>
      <c r="L63" s="1019"/>
      <c r="M63" s="1019"/>
      <c r="N63" s="422"/>
      <c r="O63" s="419"/>
      <c r="P63" s="421"/>
      <c r="Q63" s="416">
        <f t="shared" si="0"/>
        <v>0</v>
      </c>
      <c r="R63" s="1018"/>
      <c r="S63" s="1019"/>
      <c r="T63" s="1019"/>
      <c r="U63" s="422"/>
      <c r="V63" s="419"/>
      <c r="W63" s="421"/>
      <c r="X63" s="416">
        <f t="shared" si="7"/>
        <v>0</v>
      </c>
      <c r="Y63" s="1018"/>
      <c r="Z63" s="1019"/>
      <c r="AA63" s="1019"/>
      <c r="AB63" s="422"/>
      <c r="AC63" s="419"/>
      <c r="AD63" s="421"/>
      <c r="AE63" s="416">
        <f t="shared" si="8"/>
        <v>0</v>
      </c>
      <c r="AF63" s="1018"/>
      <c r="AG63" s="1019"/>
      <c r="AH63" s="1019"/>
      <c r="AI63" s="422"/>
      <c r="AJ63" s="419"/>
      <c r="AK63" s="421"/>
      <c r="AL63" s="416">
        <f t="shared" si="9"/>
        <v>0</v>
      </c>
      <c r="AM63" s="1018"/>
      <c r="AN63" s="1019"/>
      <c r="AO63" s="1019"/>
      <c r="AP63" s="422"/>
      <c r="AQ63" s="419"/>
      <c r="AR63" s="421"/>
      <c r="AS63" s="416">
        <f t="shared" si="10"/>
        <v>0</v>
      </c>
      <c r="AT63" s="1018"/>
      <c r="AU63" s="1019"/>
      <c r="AV63" s="1019"/>
      <c r="AW63" s="422"/>
      <c r="AX63" s="419"/>
      <c r="AY63" s="421"/>
      <c r="AZ63" s="417">
        <f t="shared" si="11"/>
        <v>0</v>
      </c>
    </row>
    <row r="64" spans="1:52" x14ac:dyDescent="0.25">
      <c r="A64" s="397"/>
      <c r="B64" s="397"/>
      <c r="C64" s="397"/>
      <c r="D64" s="1018"/>
      <c r="E64" s="1019"/>
      <c r="F64" s="1020"/>
      <c r="G64" s="422"/>
      <c r="H64" s="419"/>
      <c r="I64" s="421"/>
      <c r="J64" s="416">
        <f t="shared" si="1"/>
        <v>0</v>
      </c>
      <c r="K64" s="1018"/>
      <c r="L64" s="1019"/>
      <c r="M64" s="1019"/>
      <c r="N64" s="422"/>
      <c r="O64" s="419"/>
      <c r="P64" s="421"/>
      <c r="Q64" s="416">
        <f t="shared" si="0"/>
        <v>0</v>
      </c>
      <c r="R64" s="1018"/>
      <c r="S64" s="1019"/>
      <c r="T64" s="1019"/>
      <c r="U64" s="422"/>
      <c r="V64" s="419"/>
      <c r="W64" s="421"/>
      <c r="X64" s="416">
        <f t="shared" si="7"/>
        <v>0</v>
      </c>
      <c r="Y64" s="1018"/>
      <c r="Z64" s="1019"/>
      <c r="AA64" s="1019"/>
      <c r="AB64" s="422"/>
      <c r="AC64" s="419"/>
      <c r="AD64" s="421"/>
      <c r="AE64" s="416">
        <f t="shared" si="8"/>
        <v>0</v>
      </c>
      <c r="AF64" s="1018"/>
      <c r="AG64" s="1019"/>
      <c r="AH64" s="1019"/>
      <c r="AI64" s="422"/>
      <c r="AJ64" s="419"/>
      <c r="AK64" s="421"/>
      <c r="AL64" s="416">
        <f t="shared" si="9"/>
        <v>0</v>
      </c>
      <c r="AM64" s="1018"/>
      <c r="AN64" s="1019"/>
      <c r="AO64" s="1019"/>
      <c r="AP64" s="422"/>
      <c r="AQ64" s="419"/>
      <c r="AR64" s="421"/>
      <c r="AS64" s="416">
        <f t="shared" si="10"/>
        <v>0</v>
      </c>
      <c r="AT64" s="1018"/>
      <c r="AU64" s="1019"/>
      <c r="AV64" s="1019"/>
      <c r="AW64" s="422"/>
      <c r="AX64" s="419"/>
      <c r="AY64" s="421"/>
      <c r="AZ64" s="417">
        <f t="shared" si="11"/>
        <v>0</v>
      </c>
    </row>
    <row r="65" spans="1:52" x14ac:dyDescent="0.25">
      <c r="A65" s="397"/>
      <c r="B65" s="397"/>
      <c r="C65" s="397"/>
      <c r="D65" s="1018"/>
      <c r="E65" s="1019"/>
      <c r="F65" s="1020"/>
      <c r="G65" s="422"/>
      <c r="H65" s="419"/>
      <c r="I65" s="421"/>
      <c r="J65" s="416">
        <f t="shared" si="1"/>
        <v>0</v>
      </c>
      <c r="K65" s="1018"/>
      <c r="L65" s="1019"/>
      <c r="M65" s="1019"/>
      <c r="N65" s="422"/>
      <c r="O65" s="419"/>
      <c r="P65" s="421"/>
      <c r="Q65" s="416">
        <f t="shared" si="0"/>
        <v>0</v>
      </c>
      <c r="R65" s="1018"/>
      <c r="S65" s="1019"/>
      <c r="T65" s="1019"/>
      <c r="U65" s="422"/>
      <c r="V65" s="419"/>
      <c r="W65" s="421"/>
      <c r="X65" s="416">
        <f t="shared" si="7"/>
        <v>0</v>
      </c>
      <c r="Y65" s="1018"/>
      <c r="Z65" s="1019"/>
      <c r="AA65" s="1019"/>
      <c r="AB65" s="422"/>
      <c r="AC65" s="419"/>
      <c r="AD65" s="421"/>
      <c r="AE65" s="416">
        <f t="shared" si="8"/>
        <v>0</v>
      </c>
      <c r="AF65" s="1018"/>
      <c r="AG65" s="1019"/>
      <c r="AH65" s="1019"/>
      <c r="AI65" s="422"/>
      <c r="AJ65" s="419"/>
      <c r="AK65" s="421"/>
      <c r="AL65" s="416">
        <f t="shared" si="9"/>
        <v>0</v>
      </c>
      <c r="AM65" s="1018"/>
      <c r="AN65" s="1019"/>
      <c r="AO65" s="1019"/>
      <c r="AP65" s="422"/>
      <c r="AQ65" s="419"/>
      <c r="AR65" s="421"/>
      <c r="AS65" s="416">
        <f t="shared" si="10"/>
        <v>0</v>
      </c>
      <c r="AT65" s="1018"/>
      <c r="AU65" s="1019"/>
      <c r="AV65" s="1019"/>
      <c r="AW65" s="422"/>
      <c r="AX65" s="419"/>
      <c r="AY65" s="421"/>
      <c r="AZ65" s="417">
        <f t="shared" si="11"/>
        <v>0</v>
      </c>
    </row>
    <row r="66" spans="1:52" x14ac:dyDescent="0.25">
      <c r="A66" s="397"/>
      <c r="B66" s="397"/>
      <c r="C66" s="397"/>
      <c r="D66" s="1018"/>
      <c r="E66" s="1019"/>
      <c r="F66" s="1020"/>
      <c r="G66" s="422"/>
      <c r="H66" s="419"/>
      <c r="I66" s="421"/>
      <c r="J66" s="416">
        <f t="shared" si="1"/>
        <v>0</v>
      </c>
      <c r="K66" s="1018"/>
      <c r="L66" s="1019"/>
      <c r="M66" s="1019"/>
      <c r="N66" s="422"/>
      <c r="O66" s="419"/>
      <c r="P66" s="421"/>
      <c r="Q66" s="416">
        <f t="shared" ref="Q66:Q71" si="12">O66*P66</f>
        <v>0</v>
      </c>
      <c r="R66" s="1018"/>
      <c r="S66" s="1019"/>
      <c r="T66" s="1019"/>
      <c r="U66" s="422"/>
      <c r="V66" s="419"/>
      <c r="W66" s="421"/>
      <c r="X66" s="416">
        <f t="shared" si="7"/>
        <v>0</v>
      </c>
      <c r="Y66" s="1018"/>
      <c r="Z66" s="1019"/>
      <c r="AA66" s="1019"/>
      <c r="AB66" s="422"/>
      <c r="AC66" s="419"/>
      <c r="AD66" s="421"/>
      <c r="AE66" s="416">
        <f t="shared" si="8"/>
        <v>0</v>
      </c>
      <c r="AF66" s="1018"/>
      <c r="AG66" s="1019"/>
      <c r="AH66" s="1019"/>
      <c r="AI66" s="422"/>
      <c r="AJ66" s="419"/>
      <c r="AK66" s="421"/>
      <c r="AL66" s="416">
        <f t="shared" si="9"/>
        <v>0</v>
      </c>
      <c r="AM66" s="1018"/>
      <c r="AN66" s="1019"/>
      <c r="AO66" s="1019"/>
      <c r="AP66" s="422"/>
      <c r="AQ66" s="419"/>
      <c r="AR66" s="421"/>
      <c r="AS66" s="416">
        <f t="shared" si="10"/>
        <v>0</v>
      </c>
      <c r="AT66" s="1018"/>
      <c r="AU66" s="1019"/>
      <c r="AV66" s="1019"/>
      <c r="AW66" s="422"/>
      <c r="AX66" s="419"/>
      <c r="AY66" s="421"/>
      <c r="AZ66" s="417">
        <f t="shared" si="11"/>
        <v>0</v>
      </c>
    </row>
    <row r="67" spans="1:52" x14ac:dyDescent="0.25">
      <c r="A67" s="397"/>
      <c r="B67" s="397"/>
      <c r="C67" s="397"/>
      <c r="D67" s="1018"/>
      <c r="E67" s="1019"/>
      <c r="F67" s="1020"/>
      <c r="G67" s="422"/>
      <c r="H67" s="419"/>
      <c r="I67" s="421"/>
      <c r="J67" s="416">
        <f t="shared" si="1"/>
        <v>0</v>
      </c>
      <c r="K67" s="1018"/>
      <c r="L67" s="1019"/>
      <c r="M67" s="1019"/>
      <c r="N67" s="422"/>
      <c r="O67" s="419"/>
      <c r="P67" s="421"/>
      <c r="Q67" s="416">
        <f t="shared" si="12"/>
        <v>0</v>
      </c>
      <c r="R67" s="1018"/>
      <c r="S67" s="1019"/>
      <c r="T67" s="1019"/>
      <c r="U67" s="422"/>
      <c r="V67" s="419"/>
      <c r="W67" s="421"/>
      <c r="X67" s="416">
        <f t="shared" si="7"/>
        <v>0</v>
      </c>
      <c r="Y67" s="1018"/>
      <c r="Z67" s="1019"/>
      <c r="AA67" s="1019"/>
      <c r="AB67" s="422"/>
      <c r="AC67" s="419"/>
      <c r="AD67" s="421"/>
      <c r="AE67" s="416">
        <f t="shared" si="8"/>
        <v>0</v>
      </c>
      <c r="AF67" s="1018"/>
      <c r="AG67" s="1019"/>
      <c r="AH67" s="1019"/>
      <c r="AI67" s="422"/>
      <c r="AJ67" s="419"/>
      <c r="AK67" s="421"/>
      <c r="AL67" s="416">
        <f t="shared" si="9"/>
        <v>0</v>
      </c>
      <c r="AM67" s="1018"/>
      <c r="AN67" s="1019"/>
      <c r="AO67" s="1019"/>
      <c r="AP67" s="422"/>
      <c r="AQ67" s="419"/>
      <c r="AR67" s="421"/>
      <c r="AS67" s="416">
        <f t="shared" si="10"/>
        <v>0</v>
      </c>
      <c r="AT67" s="1018"/>
      <c r="AU67" s="1019"/>
      <c r="AV67" s="1019"/>
      <c r="AW67" s="422"/>
      <c r="AX67" s="419"/>
      <c r="AY67" s="421"/>
      <c r="AZ67" s="417">
        <f t="shared" si="11"/>
        <v>0</v>
      </c>
    </row>
    <row r="68" spans="1:52" x14ac:dyDescent="0.25">
      <c r="A68" s="397"/>
      <c r="B68" s="397"/>
      <c r="C68" s="397"/>
      <c r="D68" s="1018"/>
      <c r="E68" s="1019"/>
      <c r="F68" s="1020"/>
      <c r="G68" s="422"/>
      <c r="H68" s="419"/>
      <c r="I68" s="421"/>
      <c r="J68" s="416">
        <f t="shared" si="1"/>
        <v>0</v>
      </c>
      <c r="K68" s="1018"/>
      <c r="L68" s="1019"/>
      <c r="M68" s="1019"/>
      <c r="N68" s="422"/>
      <c r="O68" s="419"/>
      <c r="P68" s="421"/>
      <c r="Q68" s="416">
        <f t="shared" si="12"/>
        <v>0</v>
      </c>
      <c r="R68" s="1018"/>
      <c r="S68" s="1019"/>
      <c r="T68" s="1019"/>
      <c r="U68" s="422"/>
      <c r="V68" s="419"/>
      <c r="W68" s="421"/>
      <c r="X68" s="416">
        <f t="shared" si="7"/>
        <v>0</v>
      </c>
      <c r="Y68" s="1018"/>
      <c r="Z68" s="1019"/>
      <c r="AA68" s="1019"/>
      <c r="AB68" s="422"/>
      <c r="AC68" s="419"/>
      <c r="AD68" s="421"/>
      <c r="AE68" s="416">
        <f t="shared" si="8"/>
        <v>0</v>
      </c>
      <c r="AF68" s="1018"/>
      <c r="AG68" s="1019"/>
      <c r="AH68" s="1019"/>
      <c r="AI68" s="422"/>
      <c r="AJ68" s="419"/>
      <c r="AK68" s="421"/>
      <c r="AL68" s="416">
        <f t="shared" si="9"/>
        <v>0</v>
      </c>
      <c r="AM68" s="1018"/>
      <c r="AN68" s="1019"/>
      <c r="AO68" s="1019"/>
      <c r="AP68" s="422"/>
      <c r="AQ68" s="419"/>
      <c r="AR68" s="421"/>
      <c r="AS68" s="416">
        <f t="shared" si="10"/>
        <v>0</v>
      </c>
      <c r="AT68" s="1018"/>
      <c r="AU68" s="1019"/>
      <c r="AV68" s="1019"/>
      <c r="AW68" s="422"/>
      <c r="AX68" s="419"/>
      <c r="AY68" s="421"/>
      <c r="AZ68" s="417">
        <f t="shared" si="11"/>
        <v>0</v>
      </c>
    </row>
    <row r="69" spans="1:52" x14ac:dyDescent="0.25">
      <c r="A69" s="397"/>
      <c r="B69" s="397"/>
      <c r="C69" s="397"/>
      <c r="D69" s="1018"/>
      <c r="E69" s="1019"/>
      <c r="F69" s="1020"/>
      <c r="G69" s="422"/>
      <c r="H69" s="419"/>
      <c r="I69" s="421"/>
      <c r="J69" s="416">
        <f t="shared" si="1"/>
        <v>0</v>
      </c>
      <c r="K69" s="1018"/>
      <c r="L69" s="1019"/>
      <c r="M69" s="1019"/>
      <c r="N69" s="422"/>
      <c r="O69" s="419"/>
      <c r="P69" s="421"/>
      <c r="Q69" s="416">
        <f t="shared" si="12"/>
        <v>0</v>
      </c>
      <c r="R69" s="1018"/>
      <c r="S69" s="1019"/>
      <c r="T69" s="1019"/>
      <c r="U69" s="422"/>
      <c r="V69" s="419"/>
      <c r="W69" s="421"/>
      <c r="X69" s="416">
        <f t="shared" si="7"/>
        <v>0</v>
      </c>
      <c r="Y69" s="1018"/>
      <c r="Z69" s="1019"/>
      <c r="AA69" s="1019"/>
      <c r="AB69" s="422"/>
      <c r="AC69" s="419"/>
      <c r="AD69" s="421"/>
      <c r="AE69" s="416">
        <f t="shared" si="8"/>
        <v>0</v>
      </c>
      <c r="AF69" s="1018"/>
      <c r="AG69" s="1019"/>
      <c r="AH69" s="1019"/>
      <c r="AI69" s="422"/>
      <c r="AJ69" s="419"/>
      <c r="AK69" s="421"/>
      <c r="AL69" s="416">
        <f t="shared" si="9"/>
        <v>0</v>
      </c>
      <c r="AM69" s="1018"/>
      <c r="AN69" s="1019"/>
      <c r="AO69" s="1019"/>
      <c r="AP69" s="422"/>
      <c r="AQ69" s="419"/>
      <c r="AR69" s="421"/>
      <c r="AS69" s="416">
        <f t="shared" si="10"/>
        <v>0</v>
      </c>
      <c r="AT69" s="1018"/>
      <c r="AU69" s="1019"/>
      <c r="AV69" s="1019"/>
      <c r="AW69" s="422"/>
      <c r="AX69" s="419"/>
      <c r="AY69" s="421"/>
      <c r="AZ69" s="417">
        <f t="shared" si="11"/>
        <v>0</v>
      </c>
    </row>
    <row r="70" spans="1:52" x14ac:dyDescent="0.25">
      <c r="D70" s="1018"/>
      <c r="E70" s="1019"/>
      <c r="F70" s="1020"/>
      <c r="G70" s="422"/>
      <c r="H70" s="419"/>
      <c r="I70" s="421"/>
      <c r="J70" s="416">
        <f t="shared" si="1"/>
        <v>0</v>
      </c>
      <c r="K70" s="1018"/>
      <c r="L70" s="1019"/>
      <c r="M70" s="1019"/>
      <c r="N70" s="422"/>
      <c r="O70" s="419"/>
      <c r="P70" s="421"/>
      <c r="Q70" s="416">
        <f t="shared" si="12"/>
        <v>0</v>
      </c>
      <c r="R70" s="1018"/>
      <c r="S70" s="1019"/>
      <c r="T70" s="1019"/>
      <c r="U70" s="422"/>
      <c r="V70" s="419"/>
      <c r="W70" s="421"/>
      <c r="X70" s="416">
        <f t="shared" si="7"/>
        <v>0</v>
      </c>
      <c r="Y70" s="1018"/>
      <c r="Z70" s="1019"/>
      <c r="AA70" s="1019"/>
      <c r="AB70" s="422"/>
      <c r="AC70" s="419"/>
      <c r="AD70" s="421"/>
      <c r="AE70" s="416">
        <f t="shared" si="8"/>
        <v>0</v>
      </c>
      <c r="AF70" s="1018"/>
      <c r="AG70" s="1019"/>
      <c r="AH70" s="1019"/>
      <c r="AI70" s="422"/>
      <c r="AJ70" s="419"/>
      <c r="AK70" s="421"/>
      <c r="AL70" s="416">
        <f t="shared" si="9"/>
        <v>0</v>
      </c>
      <c r="AM70" s="1018"/>
      <c r="AN70" s="1019"/>
      <c r="AO70" s="1019"/>
      <c r="AP70" s="422"/>
      <c r="AQ70" s="419"/>
      <c r="AR70" s="421"/>
      <c r="AS70" s="416">
        <f t="shared" si="10"/>
        <v>0</v>
      </c>
      <c r="AT70" s="1018"/>
      <c r="AU70" s="1019"/>
      <c r="AV70" s="1019"/>
      <c r="AW70" s="422"/>
      <c r="AX70" s="419"/>
      <c r="AY70" s="421"/>
      <c r="AZ70" s="417">
        <f t="shared" si="11"/>
        <v>0</v>
      </c>
    </row>
    <row r="71" spans="1:52" x14ac:dyDescent="0.25">
      <c r="D71" s="1018"/>
      <c r="E71" s="1019"/>
      <c r="F71" s="1020"/>
      <c r="G71" s="422"/>
      <c r="H71" s="419"/>
      <c r="I71" s="421"/>
      <c r="J71" s="416">
        <f t="shared" si="1"/>
        <v>0</v>
      </c>
      <c r="K71" s="1018"/>
      <c r="L71" s="1019"/>
      <c r="M71" s="1019"/>
      <c r="N71" s="422"/>
      <c r="O71" s="419"/>
      <c r="P71" s="421"/>
      <c r="Q71" s="416">
        <f t="shared" si="12"/>
        <v>0</v>
      </c>
      <c r="R71" s="1018"/>
      <c r="S71" s="1019"/>
      <c r="T71" s="1019"/>
      <c r="U71" s="422"/>
      <c r="V71" s="419"/>
      <c r="W71" s="421"/>
      <c r="X71" s="416">
        <f t="shared" si="7"/>
        <v>0</v>
      </c>
      <c r="Y71" s="1018"/>
      <c r="Z71" s="1019"/>
      <c r="AA71" s="1019"/>
      <c r="AB71" s="422"/>
      <c r="AC71" s="419"/>
      <c r="AD71" s="421"/>
      <c r="AE71" s="416">
        <f t="shared" si="8"/>
        <v>0</v>
      </c>
      <c r="AF71" s="1018"/>
      <c r="AG71" s="1019"/>
      <c r="AH71" s="1019"/>
      <c r="AI71" s="422"/>
      <c r="AJ71" s="419"/>
      <c r="AK71" s="421"/>
      <c r="AL71" s="416">
        <f t="shared" si="9"/>
        <v>0</v>
      </c>
      <c r="AM71" s="1018"/>
      <c r="AN71" s="1019"/>
      <c r="AO71" s="1019"/>
      <c r="AP71" s="422"/>
      <c r="AQ71" s="419"/>
      <c r="AR71" s="421"/>
      <c r="AS71" s="416">
        <f t="shared" si="10"/>
        <v>0</v>
      </c>
      <c r="AT71" s="1018"/>
      <c r="AU71" s="1019"/>
      <c r="AV71" s="1019"/>
      <c r="AW71" s="422"/>
      <c r="AX71" s="419"/>
      <c r="AY71" s="421"/>
      <c r="AZ71" s="417">
        <f t="shared" si="11"/>
        <v>0</v>
      </c>
    </row>
    <row r="72" spans="1:52" x14ac:dyDescent="0.25">
      <c r="D72" s="1018"/>
      <c r="E72" s="1019"/>
      <c r="F72" s="1020"/>
      <c r="G72" s="422"/>
      <c r="H72" s="419"/>
      <c r="I72" s="421"/>
      <c r="J72" s="416">
        <f t="shared" si="1"/>
        <v>0</v>
      </c>
      <c r="K72" s="1018"/>
      <c r="L72" s="1019"/>
      <c r="M72" s="1019"/>
      <c r="N72" s="422"/>
      <c r="O72" s="419"/>
      <c r="P72" s="421"/>
      <c r="Q72" s="416">
        <f t="shared" ref="Q72:Q122" si="13">O72*P72</f>
        <v>0</v>
      </c>
      <c r="R72" s="1018"/>
      <c r="S72" s="1019"/>
      <c r="T72" s="1019"/>
      <c r="U72" s="422"/>
      <c r="V72" s="419"/>
      <c r="W72" s="421"/>
      <c r="X72" s="416">
        <f t="shared" si="7"/>
        <v>0</v>
      </c>
      <c r="Y72" s="1018"/>
      <c r="Z72" s="1019"/>
      <c r="AA72" s="1019"/>
      <c r="AB72" s="422"/>
      <c r="AC72" s="419"/>
      <c r="AD72" s="421"/>
      <c r="AE72" s="416">
        <f t="shared" si="8"/>
        <v>0</v>
      </c>
      <c r="AF72" s="1018"/>
      <c r="AG72" s="1019"/>
      <c r="AH72" s="1019"/>
      <c r="AI72" s="422"/>
      <c r="AJ72" s="419"/>
      <c r="AK72" s="421"/>
      <c r="AL72" s="416">
        <f t="shared" si="9"/>
        <v>0</v>
      </c>
      <c r="AM72" s="1018"/>
      <c r="AN72" s="1019"/>
      <c r="AO72" s="1019"/>
      <c r="AP72" s="422"/>
      <c r="AQ72" s="419"/>
      <c r="AR72" s="421"/>
      <c r="AS72" s="416">
        <f t="shared" si="10"/>
        <v>0</v>
      </c>
      <c r="AT72" s="1018"/>
      <c r="AU72" s="1019"/>
      <c r="AV72" s="1019"/>
      <c r="AW72" s="422"/>
      <c r="AX72" s="419"/>
      <c r="AY72" s="421"/>
      <c r="AZ72" s="417">
        <f t="shared" si="11"/>
        <v>0</v>
      </c>
    </row>
    <row r="73" spans="1:52" x14ac:dyDescent="0.25">
      <c r="D73" s="1018"/>
      <c r="E73" s="1019"/>
      <c r="F73" s="1020"/>
      <c r="G73" s="422"/>
      <c r="H73" s="419"/>
      <c r="I73" s="421"/>
      <c r="J73" s="416">
        <f t="shared" ref="J73:J122" si="14">H73*I73</f>
        <v>0</v>
      </c>
      <c r="K73" s="1018"/>
      <c r="L73" s="1019"/>
      <c r="M73" s="1019"/>
      <c r="N73" s="422"/>
      <c r="O73" s="419"/>
      <c r="P73" s="421"/>
      <c r="Q73" s="416">
        <f t="shared" si="13"/>
        <v>0</v>
      </c>
      <c r="R73" s="1018"/>
      <c r="S73" s="1019"/>
      <c r="T73" s="1019"/>
      <c r="U73" s="422"/>
      <c r="V73" s="419"/>
      <c r="W73" s="421"/>
      <c r="X73" s="416">
        <f t="shared" ref="X73:X122" si="15">V73*W73</f>
        <v>0</v>
      </c>
      <c r="Y73" s="1018"/>
      <c r="Z73" s="1019"/>
      <c r="AA73" s="1019"/>
      <c r="AB73" s="422"/>
      <c r="AC73" s="419"/>
      <c r="AD73" s="421"/>
      <c r="AE73" s="416">
        <f t="shared" ref="AE73:AE122" si="16">AC73*AD73</f>
        <v>0</v>
      </c>
      <c r="AF73" s="1018"/>
      <c r="AG73" s="1019"/>
      <c r="AH73" s="1019"/>
      <c r="AI73" s="422"/>
      <c r="AJ73" s="419"/>
      <c r="AK73" s="421"/>
      <c r="AL73" s="416">
        <f t="shared" ref="AL73:AL122" si="17">AJ73*AK73</f>
        <v>0</v>
      </c>
      <c r="AM73" s="1018"/>
      <c r="AN73" s="1019"/>
      <c r="AO73" s="1019"/>
      <c r="AP73" s="422"/>
      <c r="AQ73" s="419"/>
      <c r="AR73" s="421"/>
      <c r="AS73" s="416">
        <f t="shared" ref="AS73:AS122" si="18">AQ73*AR73</f>
        <v>0</v>
      </c>
      <c r="AT73" s="1018"/>
      <c r="AU73" s="1019"/>
      <c r="AV73" s="1019"/>
      <c r="AW73" s="422"/>
      <c r="AX73" s="419"/>
      <c r="AY73" s="421"/>
      <c r="AZ73" s="417">
        <f t="shared" ref="AZ73:AZ122" si="19">AX73*AY73</f>
        <v>0</v>
      </c>
    </row>
    <row r="74" spans="1:52" x14ac:dyDescent="0.25">
      <c r="D74" s="1018"/>
      <c r="E74" s="1019"/>
      <c r="F74" s="1020"/>
      <c r="G74" s="422"/>
      <c r="H74" s="419"/>
      <c r="I74" s="421"/>
      <c r="J74" s="416">
        <f t="shared" si="14"/>
        <v>0</v>
      </c>
      <c r="K74" s="1018"/>
      <c r="L74" s="1019"/>
      <c r="M74" s="1019"/>
      <c r="N74" s="422"/>
      <c r="O74" s="419"/>
      <c r="P74" s="421"/>
      <c r="Q74" s="416">
        <f t="shared" si="13"/>
        <v>0</v>
      </c>
      <c r="R74" s="1018"/>
      <c r="S74" s="1019"/>
      <c r="T74" s="1019"/>
      <c r="U74" s="422"/>
      <c r="V74" s="419"/>
      <c r="W74" s="421"/>
      <c r="X74" s="416">
        <f t="shared" si="15"/>
        <v>0</v>
      </c>
      <c r="Y74" s="1018"/>
      <c r="Z74" s="1019"/>
      <c r="AA74" s="1019"/>
      <c r="AB74" s="422"/>
      <c r="AC74" s="419"/>
      <c r="AD74" s="421"/>
      <c r="AE74" s="416">
        <f t="shared" si="16"/>
        <v>0</v>
      </c>
      <c r="AF74" s="1018"/>
      <c r="AG74" s="1019"/>
      <c r="AH74" s="1019"/>
      <c r="AI74" s="422"/>
      <c r="AJ74" s="419"/>
      <c r="AK74" s="421"/>
      <c r="AL74" s="416">
        <f t="shared" si="17"/>
        <v>0</v>
      </c>
      <c r="AM74" s="1018"/>
      <c r="AN74" s="1019"/>
      <c r="AO74" s="1019"/>
      <c r="AP74" s="422"/>
      <c r="AQ74" s="419"/>
      <c r="AR74" s="421"/>
      <c r="AS74" s="416">
        <f t="shared" si="18"/>
        <v>0</v>
      </c>
      <c r="AT74" s="1018"/>
      <c r="AU74" s="1019"/>
      <c r="AV74" s="1019"/>
      <c r="AW74" s="422"/>
      <c r="AX74" s="419"/>
      <c r="AY74" s="421"/>
      <c r="AZ74" s="417">
        <f t="shared" si="19"/>
        <v>0</v>
      </c>
    </row>
    <row r="75" spans="1:52" x14ac:dyDescent="0.25">
      <c r="D75" s="1018"/>
      <c r="E75" s="1019"/>
      <c r="F75" s="1020"/>
      <c r="G75" s="422"/>
      <c r="H75" s="419"/>
      <c r="I75" s="421"/>
      <c r="J75" s="416">
        <f t="shared" si="14"/>
        <v>0</v>
      </c>
      <c r="K75" s="1018"/>
      <c r="L75" s="1019"/>
      <c r="M75" s="1019"/>
      <c r="N75" s="422"/>
      <c r="O75" s="419"/>
      <c r="P75" s="421"/>
      <c r="Q75" s="416">
        <f t="shared" si="13"/>
        <v>0</v>
      </c>
      <c r="R75" s="1018"/>
      <c r="S75" s="1019"/>
      <c r="T75" s="1019"/>
      <c r="U75" s="422"/>
      <c r="V75" s="419"/>
      <c r="W75" s="421"/>
      <c r="X75" s="416">
        <f t="shared" si="15"/>
        <v>0</v>
      </c>
      <c r="Y75" s="1018"/>
      <c r="Z75" s="1019"/>
      <c r="AA75" s="1019"/>
      <c r="AB75" s="422"/>
      <c r="AC75" s="419"/>
      <c r="AD75" s="421"/>
      <c r="AE75" s="416">
        <f t="shared" si="16"/>
        <v>0</v>
      </c>
      <c r="AF75" s="1018"/>
      <c r="AG75" s="1019"/>
      <c r="AH75" s="1019"/>
      <c r="AI75" s="422"/>
      <c r="AJ75" s="419"/>
      <c r="AK75" s="421"/>
      <c r="AL75" s="416">
        <f t="shared" si="17"/>
        <v>0</v>
      </c>
      <c r="AM75" s="1018"/>
      <c r="AN75" s="1019"/>
      <c r="AO75" s="1019"/>
      <c r="AP75" s="422"/>
      <c r="AQ75" s="419"/>
      <c r="AR75" s="421"/>
      <c r="AS75" s="416">
        <f t="shared" si="18"/>
        <v>0</v>
      </c>
      <c r="AT75" s="1018"/>
      <c r="AU75" s="1019"/>
      <c r="AV75" s="1019"/>
      <c r="AW75" s="422"/>
      <c r="AX75" s="419"/>
      <c r="AY75" s="421"/>
      <c r="AZ75" s="417">
        <f t="shared" si="19"/>
        <v>0</v>
      </c>
    </row>
    <row r="76" spans="1:52" x14ac:dyDescent="0.25">
      <c r="D76" s="1018"/>
      <c r="E76" s="1019"/>
      <c r="F76" s="1020"/>
      <c r="G76" s="422"/>
      <c r="H76" s="419"/>
      <c r="I76" s="421"/>
      <c r="J76" s="416">
        <f t="shared" si="14"/>
        <v>0</v>
      </c>
      <c r="K76" s="1018"/>
      <c r="L76" s="1019"/>
      <c r="M76" s="1019"/>
      <c r="N76" s="422"/>
      <c r="O76" s="419"/>
      <c r="P76" s="421"/>
      <c r="Q76" s="416">
        <f t="shared" si="13"/>
        <v>0</v>
      </c>
      <c r="R76" s="1018"/>
      <c r="S76" s="1019"/>
      <c r="T76" s="1019"/>
      <c r="U76" s="422"/>
      <c r="V76" s="419"/>
      <c r="W76" s="421"/>
      <c r="X76" s="416">
        <f t="shared" si="15"/>
        <v>0</v>
      </c>
      <c r="Y76" s="1018"/>
      <c r="Z76" s="1019"/>
      <c r="AA76" s="1019"/>
      <c r="AB76" s="422"/>
      <c r="AC76" s="419"/>
      <c r="AD76" s="421"/>
      <c r="AE76" s="416">
        <f t="shared" si="16"/>
        <v>0</v>
      </c>
      <c r="AF76" s="1018"/>
      <c r="AG76" s="1019"/>
      <c r="AH76" s="1019"/>
      <c r="AI76" s="422"/>
      <c r="AJ76" s="419"/>
      <c r="AK76" s="421"/>
      <c r="AL76" s="416">
        <f t="shared" si="17"/>
        <v>0</v>
      </c>
      <c r="AM76" s="1018"/>
      <c r="AN76" s="1019"/>
      <c r="AO76" s="1019"/>
      <c r="AP76" s="422"/>
      <c r="AQ76" s="419"/>
      <c r="AR76" s="421"/>
      <c r="AS76" s="416">
        <f t="shared" si="18"/>
        <v>0</v>
      </c>
      <c r="AT76" s="1018"/>
      <c r="AU76" s="1019"/>
      <c r="AV76" s="1019"/>
      <c r="AW76" s="422"/>
      <c r="AX76" s="419"/>
      <c r="AY76" s="421"/>
      <c r="AZ76" s="417">
        <f t="shared" si="19"/>
        <v>0</v>
      </c>
    </row>
    <row r="77" spans="1:52" x14ac:dyDescent="0.25">
      <c r="D77" s="1018"/>
      <c r="E77" s="1019"/>
      <c r="F77" s="1020"/>
      <c r="G77" s="422"/>
      <c r="H77" s="419"/>
      <c r="I77" s="421"/>
      <c r="J77" s="416">
        <f t="shared" si="14"/>
        <v>0</v>
      </c>
      <c r="K77" s="1018"/>
      <c r="L77" s="1019"/>
      <c r="M77" s="1019"/>
      <c r="N77" s="422"/>
      <c r="O77" s="419"/>
      <c r="P77" s="421"/>
      <c r="Q77" s="416">
        <f t="shared" si="13"/>
        <v>0</v>
      </c>
      <c r="R77" s="1018"/>
      <c r="S77" s="1019"/>
      <c r="T77" s="1019"/>
      <c r="U77" s="422"/>
      <c r="V77" s="419"/>
      <c r="W77" s="421"/>
      <c r="X77" s="416">
        <f t="shared" si="15"/>
        <v>0</v>
      </c>
      <c r="Y77" s="1018"/>
      <c r="Z77" s="1019"/>
      <c r="AA77" s="1019"/>
      <c r="AB77" s="422"/>
      <c r="AC77" s="419"/>
      <c r="AD77" s="421"/>
      <c r="AE77" s="416">
        <f t="shared" si="16"/>
        <v>0</v>
      </c>
      <c r="AF77" s="1018"/>
      <c r="AG77" s="1019"/>
      <c r="AH77" s="1019"/>
      <c r="AI77" s="422"/>
      <c r="AJ77" s="419"/>
      <c r="AK77" s="421"/>
      <c r="AL77" s="416">
        <f t="shared" si="17"/>
        <v>0</v>
      </c>
      <c r="AM77" s="1018"/>
      <c r="AN77" s="1019"/>
      <c r="AO77" s="1019"/>
      <c r="AP77" s="422"/>
      <c r="AQ77" s="419"/>
      <c r="AR77" s="421"/>
      <c r="AS77" s="416">
        <f t="shared" si="18"/>
        <v>0</v>
      </c>
      <c r="AT77" s="1018"/>
      <c r="AU77" s="1019"/>
      <c r="AV77" s="1019"/>
      <c r="AW77" s="422"/>
      <c r="AX77" s="419"/>
      <c r="AY77" s="421"/>
      <c r="AZ77" s="417">
        <f t="shared" si="19"/>
        <v>0</v>
      </c>
    </row>
    <row r="78" spans="1:52" x14ac:dyDescent="0.25">
      <c r="D78" s="1018"/>
      <c r="E78" s="1019"/>
      <c r="F78" s="1020"/>
      <c r="G78" s="422"/>
      <c r="H78" s="419"/>
      <c r="I78" s="421"/>
      <c r="J78" s="416">
        <f t="shared" si="14"/>
        <v>0</v>
      </c>
      <c r="K78" s="1018"/>
      <c r="L78" s="1019"/>
      <c r="M78" s="1019"/>
      <c r="N78" s="422"/>
      <c r="O78" s="419"/>
      <c r="P78" s="421"/>
      <c r="Q78" s="416">
        <f t="shared" si="13"/>
        <v>0</v>
      </c>
      <c r="R78" s="1018"/>
      <c r="S78" s="1019"/>
      <c r="T78" s="1019"/>
      <c r="U78" s="422"/>
      <c r="V78" s="419"/>
      <c r="W78" s="421"/>
      <c r="X78" s="416">
        <f t="shared" si="15"/>
        <v>0</v>
      </c>
      <c r="Y78" s="1018"/>
      <c r="Z78" s="1019"/>
      <c r="AA78" s="1019"/>
      <c r="AB78" s="422"/>
      <c r="AC78" s="419"/>
      <c r="AD78" s="421"/>
      <c r="AE78" s="416">
        <f t="shared" si="16"/>
        <v>0</v>
      </c>
      <c r="AF78" s="1018"/>
      <c r="AG78" s="1019"/>
      <c r="AH78" s="1019"/>
      <c r="AI78" s="422"/>
      <c r="AJ78" s="419"/>
      <c r="AK78" s="421"/>
      <c r="AL78" s="416">
        <f t="shared" si="17"/>
        <v>0</v>
      </c>
      <c r="AM78" s="1018"/>
      <c r="AN78" s="1019"/>
      <c r="AO78" s="1019"/>
      <c r="AP78" s="422"/>
      <c r="AQ78" s="419"/>
      <c r="AR78" s="421"/>
      <c r="AS78" s="416">
        <f t="shared" si="18"/>
        <v>0</v>
      </c>
      <c r="AT78" s="1018"/>
      <c r="AU78" s="1019"/>
      <c r="AV78" s="1019"/>
      <c r="AW78" s="422"/>
      <c r="AX78" s="419"/>
      <c r="AY78" s="421"/>
      <c r="AZ78" s="417">
        <f t="shared" si="19"/>
        <v>0</v>
      </c>
    </row>
    <row r="79" spans="1:52" x14ac:dyDescent="0.25">
      <c r="D79" s="1018"/>
      <c r="E79" s="1019"/>
      <c r="F79" s="1020"/>
      <c r="G79" s="422"/>
      <c r="H79" s="419"/>
      <c r="I79" s="421"/>
      <c r="J79" s="416">
        <f t="shared" si="14"/>
        <v>0</v>
      </c>
      <c r="K79" s="1018"/>
      <c r="L79" s="1019"/>
      <c r="M79" s="1019"/>
      <c r="N79" s="422"/>
      <c r="O79" s="419"/>
      <c r="P79" s="421"/>
      <c r="Q79" s="416">
        <f t="shared" si="13"/>
        <v>0</v>
      </c>
      <c r="R79" s="1018"/>
      <c r="S79" s="1019"/>
      <c r="T79" s="1019"/>
      <c r="U79" s="422"/>
      <c r="V79" s="419"/>
      <c r="W79" s="421"/>
      <c r="X79" s="416">
        <f t="shared" si="15"/>
        <v>0</v>
      </c>
      <c r="Y79" s="1018"/>
      <c r="Z79" s="1019"/>
      <c r="AA79" s="1019"/>
      <c r="AB79" s="422"/>
      <c r="AC79" s="419"/>
      <c r="AD79" s="421"/>
      <c r="AE79" s="416">
        <f t="shared" si="16"/>
        <v>0</v>
      </c>
      <c r="AF79" s="1018"/>
      <c r="AG79" s="1019"/>
      <c r="AH79" s="1019"/>
      <c r="AI79" s="422"/>
      <c r="AJ79" s="419"/>
      <c r="AK79" s="421"/>
      <c r="AL79" s="416">
        <f t="shared" si="17"/>
        <v>0</v>
      </c>
      <c r="AM79" s="1018"/>
      <c r="AN79" s="1019"/>
      <c r="AO79" s="1019"/>
      <c r="AP79" s="422"/>
      <c r="AQ79" s="419"/>
      <c r="AR79" s="421"/>
      <c r="AS79" s="416">
        <f t="shared" si="18"/>
        <v>0</v>
      </c>
      <c r="AT79" s="1018"/>
      <c r="AU79" s="1019"/>
      <c r="AV79" s="1019"/>
      <c r="AW79" s="422"/>
      <c r="AX79" s="419"/>
      <c r="AY79" s="421"/>
      <c r="AZ79" s="417">
        <f t="shared" si="19"/>
        <v>0</v>
      </c>
    </row>
    <row r="80" spans="1:52" x14ac:dyDescent="0.25">
      <c r="D80" s="1018"/>
      <c r="E80" s="1019"/>
      <c r="F80" s="1020"/>
      <c r="G80" s="422"/>
      <c r="H80" s="419"/>
      <c r="I80" s="421"/>
      <c r="J80" s="416">
        <f t="shared" si="14"/>
        <v>0</v>
      </c>
      <c r="K80" s="1018"/>
      <c r="L80" s="1019"/>
      <c r="M80" s="1019"/>
      <c r="N80" s="422"/>
      <c r="O80" s="419"/>
      <c r="P80" s="421"/>
      <c r="Q80" s="416">
        <f t="shared" si="13"/>
        <v>0</v>
      </c>
      <c r="R80" s="1018"/>
      <c r="S80" s="1019"/>
      <c r="T80" s="1019"/>
      <c r="U80" s="422"/>
      <c r="V80" s="419"/>
      <c r="W80" s="421"/>
      <c r="X80" s="416">
        <f t="shared" si="15"/>
        <v>0</v>
      </c>
      <c r="Y80" s="1018"/>
      <c r="Z80" s="1019"/>
      <c r="AA80" s="1019"/>
      <c r="AB80" s="422"/>
      <c r="AC80" s="419"/>
      <c r="AD80" s="421"/>
      <c r="AE80" s="416">
        <f t="shared" si="16"/>
        <v>0</v>
      </c>
      <c r="AF80" s="1018"/>
      <c r="AG80" s="1019"/>
      <c r="AH80" s="1019"/>
      <c r="AI80" s="422"/>
      <c r="AJ80" s="419"/>
      <c r="AK80" s="421"/>
      <c r="AL80" s="416">
        <f t="shared" si="17"/>
        <v>0</v>
      </c>
      <c r="AM80" s="1018"/>
      <c r="AN80" s="1019"/>
      <c r="AO80" s="1019"/>
      <c r="AP80" s="422"/>
      <c r="AQ80" s="419"/>
      <c r="AR80" s="421"/>
      <c r="AS80" s="416">
        <f t="shared" si="18"/>
        <v>0</v>
      </c>
      <c r="AT80" s="1018"/>
      <c r="AU80" s="1019"/>
      <c r="AV80" s="1019"/>
      <c r="AW80" s="422"/>
      <c r="AX80" s="419"/>
      <c r="AY80" s="421"/>
      <c r="AZ80" s="417">
        <f t="shared" si="19"/>
        <v>0</v>
      </c>
    </row>
    <row r="81" spans="4:52" x14ac:dyDescent="0.25">
      <c r="D81" s="1018"/>
      <c r="E81" s="1019"/>
      <c r="F81" s="1020"/>
      <c r="G81" s="422"/>
      <c r="H81" s="419"/>
      <c r="I81" s="421"/>
      <c r="J81" s="416">
        <f t="shared" si="14"/>
        <v>0</v>
      </c>
      <c r="K81" s="1018"/>
      <c r="L81" s="1019"/>
      <c r="M81" s="1019"/>
      <c r="N81" s="422"/>
      <c r="O81" s="419"/>
      <c r="P81" s="421"/>
      <c r="Q81" s="416">
        <f t="shared" si="13"/>
        <v>0</v>
      </c>
      <c r="R81" s="1018"/>
      <c r="S81" s="1019"/>
      <c r="T81" s="1019"/>
      <c r="U81" s="422"/>
      <c r="V81" s="419"/>
      <c r="W81" s="421"/>
      <c r="X81" s="416">
        <f t="shared" si="15"/>
        <v>0</v>
      </c>
      <c r="Y81" s="1018"/>
      <c r="Z81" s="1019"/>
      <c r="AA81" s="1019"/>
      <c r="AB81" s="422"/>
      <c r="AC81" s="419"/>
      <c r="AD81" s="421"/>
      <c r="AE81" s="416">
        <f t="shared" si="16"/>
        <v>0</v>
      </c>
      <c r="AF81" s="1018"/>
      <c r="AG81" s="1019"/>
      <c r="AH81" s="1019"/>
      <c r="AI81" s="422"/>
      <c r="AJ81" s="419"/>
      <c r="AK81" s="421"/>
      <c r="AL81" s="416">
        <f t="shared" si="17"/>
        <v>0</v>
      </c>
      <c r="AM81" s="1018"/>
      <c r="AN81" s="1019"/>
      <c r="AO81" s="1019"/>
      <c r="AP81" s="422"/>
      <c r="AQ81" s="419"/>
      <c r="AR81" s="421"/>
      <c r="AS81" s="416">
        <f t="shared" si="18"/>
        <v>0</v>
      </c>
      <c r="AT81" s="1018"/>
      <c r="AU81" s="1019"/>
      <c r="AV81" s="1019"/>
      <c r="AW81" s="422"/>
      <c r="AX81" s="419"/>
      <c r="AY81" s="421"/>
      <c r="AZ81" s="417">
        <f t="shared" si="19"/>
        <v>0</v>
      </c>
    </row>
    <row r="82" spans="4:52" x14ac:dyDescent="0.25">
      <c r="D82" s="1018"/>
      <c r="E82" s="1019"/>
      <c r="F82" s="1020"/>
      <c r="G82" s="422"/>
      <c r="H82" s="419"/>
      <c r="I82" s="421"/>
      <c r="J82" s="416">
        <f t="shared" si="14"/>
        <v>0</v>
      </c>
      <c r="K82" s="1018"/>
      <c r="L82" s="1019"/>
      <c r="M82" s="1019"/>
      <c r="N82" s="422"/>
      <c r="O82" s="419"/>
      <c r="P82" s="421"/>
      <c r="Q82" s="416">
        <f t="shared" si="13"/>
        <v>0</v>
      </c>
      <c r="R82" s="1018"/>
      <c r="S82" s="1019"/>
      <c r="T82" s="1019"/>
      <c r="U82" s="422"/>
      <c r="V82" s="419"/>
      <c r="W82" s="421"/>
      <c r="X82" s="416">
        <f t="shared" si="15"/>
        <v>0</v>
      </c>
      <c r="Y82" s="1018"/>
      <c r="Z82" s="1019"/>
      <c r="AA82" s="1019"/>
      <c r="AB82" s="422"/>
      <c r="AC82" s="419"/>
      <c r="AD82" s="421"/>
      <c r="AE82" s="416">
        <f t="shared" si="16"/>
        <v>0</v>
      </c>
      <c r="AF82" s="1018"/>
      <c r="AG82" s="1019"/>
      <c r="AH82" s="1019"/>
      <c r="AI82" s="422"/>
      <c r="AJ82" s="419"/>
      <c r="AK82" s="421"/>
      <c r="AL82" s="416">
        <f t="shared" si="17"/>
        <v>0</v>
      </c>
      <c r="AM82" s="1018"/>
      <c r="AN82" s="1019"/>
      <c r="AO82" s="1019"/>
      <c r="AP82" s="422"/>
      <c r="AQ82" s="419"/>
      <c r="AR82" s="421"/>
      <c r="AS82" s="416">
        <f t="shared" si="18"/>
        <v>0</v>
      </c>
      <c r="AT82" s="1018"/>
      <c r="AU82" s="1019"/>
      <c r="AV82" s="1019"/>
      <c r="AW82" s="422"/>
      <c r="AX82" s="419"/>
      <c r="AY82" s="421"/>
      <c r="AZ82" s="417">
        <f t="shared" si="19"/>
        <v>0</v>
      </c>
    </row>
    <row r="83" spans="4:52" x14ac:dyDescent="0.25">
      <c r="D83" s="1018"/>
      <c r="E83" s="1019"/>
      <c r="F83" s="1020"/>
      <c r="G83" s="422"/>
      <c r="H83" s="419"/>
      <c r="I83" s="421"/>
      <c r="J83" s="416">
        <f t="shared" si="14"/>
        <v>0</v>
      </c>
      <c r="K83" s="1018"/>
      <c r="L83" s="1019"/>
      <c r="M83" s="1019"/>
      <c r="N83" s="422"/>
      <c r="O83" s="419"/>
      <c r="P83" s="421"/>
      <c r="Q83" s="416">
        <f t="shared" si="13"/>
        <v>0</v>
      </c>
      <c r="R83" s="1018"/>
      <c r="S83" s="1019"/>
      <c r="T83" s="1019"/>
      <c r="U83" s="422"/>
      <c r="V83" s="419"/>
      <c r="W83" s="421"/>
      <c r="X83" s="416">
        <f t="shared" si="15"/>
        <v>0</v>
      </c>
      <c r="Y83" s="1018"/>
      <c r="Z83" s="1019"/>
      <c r="AA83" s="1019"/>
      <c r="AB83" s="422"/>
      <c r="AC83" s="419"/>
      <c r="AD83" s="421"/>
      <c r="AE83" s="416">
        <f t="shared" si="16"/>
        <v>0</v>
      </c>
      <c r="AF83" s="1018"/>
      <c r="AG83" s="1019"/>
      <c r="AH83" s="1019"/>
      <c r="AI83" s="422"/>
      <c r="AJ83" s="419"/>
      <c r="AK83" s="421"/>
      <c r="AL83" s="416">
        <f t="shared" si="17"/>
        <v>0</v>
      </c>
      <c r="AM83" s="1018"/>
      <c r="AN83" s="1019"/>
      <c r="AO83" s="1019"/>
      <c r="AP83" s="422"/>
      <c r="AQ83" s="419"/>
      <c r="AR83" s="421"/>
      <c r="AS83" s="416">
        <f t="shared" si="18"/>
        <v>0</v>
      </c>
      <c r="AT83" s="1018"/>
      <c r="AU83" s="1019"/>
      <c r="AV83" s="1019"/>
      <c r="AW83" s="422"/>
      <c r="AX83" s="419"/>
      <c r="AY83" s="421"/>
      <c r="AZ83" s="417">
        <f t="shared" si="19"/>
        <v>0</v>
      </c>
    </row>
    <row r="84" spans="4:52" x14ac:dyDescent="0.25">
      <c r="D84" s="1018"/>
      <c r="E84" s="1019"/>
      <c r="F84" s="1020"/>
      <c r="G84" s="422"/>
      <c r="H84" s="419"/>
      <c r="I84" s="421"/>
      <c r="J84" s="416">
        <f t="shared" si="14"/>
        <v>0</v>
      </c>
      <c r="K84" s="1018"/>
      <c r="L84" s="1019"/>
      <c r="M84" s="1019"/>
      <c r="N84" s="422"/>
      <c r="O84" s="419"/>
      <c r="P84" s="421"/>
      <c r="Q84" s="416">
        <f t="shared" si="13"/>
        <v>0</v>
      </c>
      <c r="R84" s="1018"/>
      <c r="S84" s="1019"/>
      <c r="T84" s="1019"/>
      <c r="U84" s="422"/>
      <c r="V84" s="419"/>
      <c r="W84" s="421"/>
      <c r="X84" s="416">
        <f t="shared" si="15"/>
        <v>0</v>
      </c>
      <c r="Y84" s="1018"/>
      <c r="Z84" s="1019"/>
      <c r="AA84" s="1019"/>
      <c r="AB84" s="422"/>
      <c r="AC84" s="419"/>
      <c r="AD84" s="421"/>
      <c r="AE84" s="416">
        <f t="shared" si="16"/>
        <v>0</v>
      </c>
      <c r="AF84" s="1018"/>
      <c r="AG84" s="1019"/>
      <c r="AH84" s="1019"/>
      <c r="AI84" s="422"/>
      <c r="AJ84" s="419"/>
      <c r="AK84" s="421"/>
      <c r="AL84" s="416">
        <f t="shared" si="17"/>
        <v>0</v>
      </c>
      <c r="AM84" s="1018"/>
      <c r="AN84" s="1019"/>
      <c r="AO84" s="1019"/>
      <c r="AP84" s="422"/>
      <c r="AQ84" s="419"/>
      <c r="AR84" s="421"/>
      <c r="AS84" s="416">
        <f t="shared" si="18"/>
        <v>0</v>
      </c>
      <c r="AT84" s="1018"/>
      <c r="AU84" s="1019"/>
      <c r="AV84" s="1019"/>
      <c r="AW84" s="422"/>
      <c r="AX84" s="419"/>
      <c r="AY84" s="421"/>
      <c r="AZ84" s="417">
        <f t="shared" si="19"/>
        <v>0</v>
      </c>
    </row>
    <row r="85" spans="4:52" x14ac:dyDescent="0.25">
      <c r="D85" s="1018"/>
      <c r="E85" s="1019"/>
      <c r="F85" s="1020"/>
      <c r="G85" s="422"/>
      <c r="H85" s="419"/>
      <c r="I85" s="421"/>
      <c r="J85" s="416">
        <f t="shared" si="14"/>
        <v>0</v>
      </c>
      <c r="K85" s="1018"/>
      <c r="L85" s="1019"/>
      <c r="M85" s="1019"/>
      <c r="N85" s="422"/>
      <c r="O85" s="419"/>
      <c r="P85" s="421"/>
      <c r="Q85" s="416">
        <f t="shared" si="13"/>
        <v>0</v>
      </c>
      <c r="R85" s="1018"/>
      <c r="S85" s="1019"/>
      <c r="T85" s="1019"/>
      <c r="U85" s="422"/>
      <c r="V85" s="419"/>
      <c r="W85" s="421"/>
      <c r="X85" s="416">
        <f t="shared" si="15"/>
        <v>0</v>
      </c>
      <c r="Y85" s="1018"/>
      <c r="Z85" s="1019"/>
      <c r="AA85" s="1019"/>
      <c r="AB85" s="422"/>
      <c r="AC85" s="419"/>
      <c r="AD85" s="421"/>
      <c r="AE85" s="416">
        <f t="shared" si="16"/>
        <v>0</v>
      </c>
      <c r="AF85" s="1018"/>
      <c r="AG85" s="1019"/>
      <c r="AH85" s="1019"/>
      <c r="AI85" s="422"/>
      <c r="AJ85" s="419"/>
      <c r="AK85" s="421"/>
      <c r="AL85" s="416">
        <f t="shared" si="17"/>
        <v>0</v>
      </c>
      <c r="AM85" s="1018"/>
      <c r="AN85" s="1019"/>
      <c r="AO85" s="1019"/>
      <c r="AP85" s="422"/>
      <c r="AQ85" s="419"/>
      <c r="AR85" s="421"/>
      <c r="AS85" s="416">
        <f t="shared" si="18"/>
        <v>0</v>
      </c>
      <c r="AT85" s="1018"/>
      <c r="AU85" s="1019"/>
      <c r="AV85" s="1019"/>
      <c r="AW85" s="422"/>
      <c r="AX85" s="419"/>
      <c r="AY85" s="421"/>
      <c r="AZ85" s="417">
        <f t="shared" si="19"/>
        <v>0</v>
      </c>
    </row>
    <row r="86" spans="4:52" x14ac:dyDescent="0.25">
      <c r="D86" s="1018"/>
      <c r="E86" s="1019"/>
      <c r="F86" s="1020"/>
      <c r="G86" s="422"/>
      <c r="H86" s="419"/>
      <c r="I86" s="421"/>
      <c r="J86" s="416">
        <f t="shared" si="14"/>
        <v>0</v>
      </c>
      <c r="K86" s="1018"/>
      <c r="L86" s="1019"/>
      <c r="M86" s="1019"/>
      <c r="N86" s="422"/>
      <c r="O86" s="419"/>
      <c r="P86" s="421"/>
      <c r="Q86" s="416">
        <f t="shared" si="13"/>
        <v>0</v>
      </c>
      <c r="R86" s="1018"/>
      <c r="S86" s="1019"/>
      <c r="T86" s="1019"/>
      <c r="U86" s="422"/>
      <c r="V86" s="419"/>
      <c r="W86" s="421"/>
      <c r="X86" s="416">
        <f t="shared" si="15"/>
        <v>0</v>
      </c>
      <c r="Y86" s="1018"/>
      <c r="Z86" s="1019"/>
      <c r="AA86" s="1019"/>
      <c r="AB86" s="422"/>
      <c r="AC86" s="419"/>
      <c r="AD86" s="421"/>
      <c r="AE86" s="416">
        <f t="shared" si="16"/>
        <v>0</v>
      </c>
      <c r="AF86" s="1018"/>
      <c r="AG86" s="1019"/>
      <c r="AH86" s="1019"/>
      <c r="AI86" s="422"/>
      <c r="AJ86" s="419"/>
      <c r="AK86" s="421"/>
      <c r="AL86" s="416">
        <f t="shared" si="17"/>
        <v>0</v>
      </c>
      <c r="AM86" s="1018"/>
      <c r="AN86" s="1019"/>
      <c r="AO86" s="1019"/>
      <c r="AP86" s="422"/>
      <c r="AQ86" s="419"/>
      <c r="AR86" s="421"/>
      <c r="AS86" s="416">
        <f t="shared" si="18"/>
        <v>0</v>
      </c>
      <c r="AT86" s="1018"/>
      <c r="AU86" s="1019"/>
      <c r="AV86" s="1019"/>
      <c r="AW86" s="422"/>
      <c r="AX86" s="419"/>
      <c r="AY86" s="421"/>
      <c r="AZ86" s="417">
        <f t="shared" si="19"/>
        <v>0</v>
      </c>
    </row>
    <row r="87" spans="4:52" x14ac:dyDescent="0.25">
      <c r="D87" s="1018"/>
      <c r="E87" s="1019"/>
      <c r="F87" s="1020"/>
      <c r="G87" s="422"/>
      <c r="H87" s="419"/>
      <c r="I87" s="421"/>
      <c r="J87" s="416">
        <f t="shared" si="14"/>
        <v>0</v>
      </c>
      <c r="K87" s="1018"/>
      <c r="L87" s="1019"/>
      <c r="M87" s="1019"/>
      <c r="N87" s="422"/>
      <c r="O87" s="419"/>
      <c r="P87" s="421"/>
      <c r="Q87" s="416">
        <f t="shared" si="13"/>
        <v>0</v>
      </c>
      <c r="R87" s="1018"/>
      <c r="S87" s="1019"/>
      <c r="T87" s="1019"/>
      <c r="U87" s="422"/>
      <c r="V87" s="419"/>
      <c r="W87" s="421"/>
      <c r="X87" s="416">
        <f t="shared" si="15"/>
        <v>0</v>
      </c>
      <c r="Y87" s="1018"/>
      <c r="Z87" s="1019"/>
      <c r="AA87" s="1019"/>
      <c r="AB87" s="422"/>
      <c r="AC87" s="419"/>
      <c r="AD87" s="421"/>
      <c r="AE87" s="416">
        <f t="shared" si="16"/>
        <v>0</v>
      </c>
      <c r="AF87" s="1018"/>
      <c r="AG87" s="1019"/>
      <c r="AH87" s="1019"/>
      <c r="AI87" s="422"/>
      <c r="AJ87" s="419"/>
      <c r="AK87" s="421"/>
      <c r="AL87" s="416">
        <f t="shared" si="17"/>
        <v>0</v>
      </c>
      <c r="AM87" s="1018"/>
      <c r="AN87" s="1019"/>
      <c r="AO87" s="1019"/>
      <c r="AP87" s="422"/>
      <c r="AQ87" s="419"/>
      <c r="AR87" s="421"/>
      <c r="AS87" s="416">
        <f t="shared" si="18"/>
        <v>0</v>
      </c>
      <c r="AT87" s="1018"/>
      <c r="AU87" s="1019"/>
      <c r="AV87" s="1019"/>
      <c r="AW87" s="422"/>
      <c r="AX87" s="419"/>
      <c r="AY87" s="421"/>
      <c r="AZ87" s="417">
        <f t="shared" si="19"/>
        <v>0</v>
      </c>
    </row>
    <row r="88" spans="4:52" x14ac:dyDescent="0.25">
      <c r="D88" s="1018"/>
      <c r="E88" s="1019"/>
      <c r="F88" s="1020"/>
      <c r="G88" s="422"/>
      <c r="H88" s="419"/>
      <c r="I88" s="421"/>
      <c r="J88" s="416">
        <f t="shared" si="14"/>
        <v>0</v>
      </c>
      <c r="K88" s="1018"/>
      <c r="L88" s="1019"/>
      <c r="M88" s="1019"/>
      <c r="N88" s="422"/>
      <c r="O88" s="419"/>
      <c r="P88" s="421"/>
      <c r="Q88" s="416">
        <f t="shared" si="13"/>
        <v>0</v>
      </c>
      <c r="R88" s="1018"/>
      <c r="S88" s="1019"/>
      <c r="T88" s="1019"/>
      <c r="U88" s="422"/>
      <c r="V88" s="419"/>
      <c r="W88" s="421"/>
      <c r="X88" s="416">
        <f t="shared" si="15"/>
        <v>0</v>
      </c>
      <c r="Y88" s="1018"/>
      <c r="Z88" s="1019"/>
      <c r="AA88" s="1019"/>
      <c r="AB88" s="422"/>
      <c r="AC88" s="419"/>
      <c r="AD88" s="421"/>
      <c r="AE88" s="416">
        <f t="shared" si="16"/>
        <v>0</v>
      </c>
      <c r="AF88" s="1018"/>
      <c r="AG88" s="1019"/>
      <c r="AH88" s="1019"/>
      <c r="AI88" s="422"/>
      <c r="AJ88" s="419"/>
      <c r="AK88" s="421"/>
      <c r="AL88" s="416">
        <f t="shared" si="17"/>
        <v>0</v>
      </c>
      <c r="AM88" s="1018"/>
      <c r="AN88" s="1019"/>
      <c r="AO88" s="1019"/>
      <c r="AP88" s="422"/>
      <c r="AQ88" s="419"/>
      <c r="AR88" s="421"/>
      <c r="AS88" s="416">
        <f t="shared" si="18"/>
        <v>0</v>
      </c>
      <c r="AT88" s="1018"/>
      <c r="AU88" s="1019"/>
      <c r="AV88" s="1019"/>
      <c r="AW88" s="422"/>
      <c r="AX88" s="419"/>
      <c r="AY88" s="421"/>
      <c r="AZ88" s="417">
        <f t="shared" si="19"/>
        <v>0</v>
      </c>
    </row>
    <row r="89" spans="4:52" x14ac:dyDescent="0.25">
      <c r="D89" s="1018"/>
      <c r="E89" s="1019"/>
      <c r="F89" s="1020"/>
      <c r="G89" s="422"/>
      <c r="H89" s="419"/>
      <c r="I89" s="421"/>
      <c r="J89" s="416">
        <f t="shared" si="14"/>
        <v>0</v>
      </c>
      <c r="K89" s="1018"/>
      <c r="L89" s="1019"/>
      <c r="M89" s="1019"/>
      <c r="N89" s="422"/>
      <c r="O89" s="419"/>
      <c r="P89" s="421"/>
      <c r="Q89" s="416">
        <f t="shared" si="13"/>
        <v>0</v>
      </c>
      <c r="R89" s="1018"/>
      <c r="S89" s="1019"/>
      <c r="T89" s="1019"/>
      <c r="U89" s="422"/>
      <c r="V89" s="419"/>
      <c r="W89" s="421"/>
      <c r="X89" s="416">
        <f t="shared" si="15"/>
        <v>0</v>
      </c>
      <c r="Y89" s="1018"/>
      <c r="Z89" s="1019"/>
      <c r="AA89" s="1019"/>
      <c r="AB89" s="422"/>
      <c r="AC89" s="419"/>
      <c r="AD89" s="421"/>
      <c r="AE89" s="416">
        <f t="shared" si="16"/>
        <v>0</v>
      </c>
      <c r="AF89" s="1018"/>
      <c r="AG89" s="1019"/>
      <c r="AH89" s="1019"/>
      <c r="AI89" s="422"/>
      <c r="AJ89" s="419"/>
      <c r="AK89" s="421"/>
      <c r="AL89" s="416">
        <f t="shared" si="17"/>
        <v>0</v>
      </c>
      <c r="AM89" s="1018"/>
      <c r="AN89" s="1019"/>
      <c r="AO89" s="1019"/>
      <c r="AP89" s="422"/>
      <c r="AQ89" s="419"/>
      <c r="AR89" s="421"/>
      <c r="AS89" s="416">
        <f t="shared" si="18"/>
        <v>0</v>
      </c>
      <c r="AT89" s="1018"/>
      <c r="AU89" s="1019"/>
      <c r="AV89" s="1019"/>
      <c r="AW89" s="422"/>
      <c r="AX89" s="419"/>
      <c r="AY89" s="421"/>
      <c r="AZ89" s="417">
        <f t="shared" si="19"/>
        <v>0</v>
      </c>
    </row>
    <row r="90" spans="4:52" x14ac:dyDescent="0.25">
      <c r="D90" s="1018"/>
      <c r="E90" s="1019"/>
      <c r="F90" s="1020"/>
      <c r="G90" s="422"/>
      <c r="H90" s="419"/>
      <c r="I90" s="421"/>
      <c r="J90" s="416">
        <f t="shared" si="14"/>
        <v>0</v>
      </c>
      <c r="K90" s="1018"/>
      <c r="L90" s="1019"/>
      <c r="M90" s="1019"/>
      <c r="N90" s="422"/>
      <c r="O90" s="419"/>
      <c r="P90" s="421"/>
      <c r="Q90" s="416">
        <f t="shared" si="13"/>
        <v>0</v>
      </c>
      <c r="R90" s="1018"/>
      <c r="S90" s="1019"/>
      <c r="T90" s="1019"/>
      <c r="U90" s="422"/>
      <c r="V90" s="419"/>
      <c r="W90" s="421"/>
      <c r="X90" s="416">
        <f t="shared" si="15"/>
        <v>0</v>
      </c>
      <c r="Y90" s="1018"/>
      <c r="Z90" s="1019"/>
      <c r="AA90" s="1019"/>
      <c r="AB90" s="422"/>
      <c r="AC90" s="419"/>
      <c r="AD90" s="421"/>
      <c r="AE90" s="416">
        <f t="shared" si="16"/>
        <v>0</v>
      </c>
      <c r="AF90" s="1018"/>
      <c r="AG90" s="1019"/>
      <c r="AH90" s="1019"/>
      <c r="AI90" s="422"/>
      <c r="AJ90" s="419"/>
      <c r="AK90" s="421"/>
      <c r="AL90" s="416">
        <f t="shared" si="17"/>
        <v>0</v>
      </c>
      <c r="AM90" s="1018"/>
      <c r="AN90" s="1019"/>
      <c r="AO90" s="1019"/>
      <c r="AP90" s="422"/>
      <c r="AQ90" s="419"/>
      <c r="AR90" s="421"/>
      <c r="AS90" s="416">
        <f t="shared" si="18"/>
        <v>0</v>
      </c>
      <c r="AT90" s="1018"/>
      <c r="AU90" s="1019"/>
      <c r="AV90" s="1019"/>
      <c r="AW90" s="422"/>
      <c r="AX90" s="419"/>
      <c r="AY90" s="421"/>
      <c r="AZ90" s="417">
        <f t="shared" si="19"/>
        <v>0</v>
      </c>
    </row>
    <row r="91" spans="4:52" x14ac:dyDescent="0.25">
      <c r="D91" s="1018"/>
      <c r="E91" s="1019"/>
      <c r="F91" s="1020"/>
      <c r="G91" s="422"/>
      <c r="H91" s="419"/>
      <c r="I91" s="421"/>
      <c r="J91" s="416">
        <f t="shared" si="14"/>
        <v>0</v>
      </c>
      <c r="K91" s="1018"/>
      <c r="L91" s="1019"/>
      <c r="M91" s="1019"/>
      <c r="N91" s="422"/>
      <c r="O91" s="419"/>
      <c r="P91" s="421"/>
      <c r="Q91" s="416">
        <f t="shared" si="13"/>
        <v>0</v>
      </c>
      <c r="R91" s="1018"/>
      <c r="S91" s="1019"/>
      <c r="T91" s="1019"/>
      <c r="U91" s="422"/>
      <c r="V91" s="419"/>
      <c r="W91" s="421"/>
      <c r="X91" s="416">
        <f t="shared" si="15"/>
        <v>0</v>
      </c>
      <c r="Y91" s="1018"/>
      <c r="Z91" s="1019"/>
      <c r="AA91" s="1019"/>
      <c r="AB91" s="422"/>
      <c r="AC91" s="419"/>
      <c r="AD91" s="421"/>
      <c r="AE91" s="416">
        <f t="shared" si="16"/>
        <v>0</v>
      </c>
      <c r="AF91" s="1018"/>
      <c r="AG91" s="1019"/>
      <c r="AH91" s="1019"/>
      <c r="AI91" s="422"/>
      <c r="AJ91" s="419"/>
      <c r="AK91" s="421"/>
      <c r="AL91" s="416">
        <f t="shared" si="17"/>
        <v>0</v>
      </c>
      <c r="AM91" s="1018"/>
      <c r="AN91" s="1019"/>
      <c r="AO91" s="1019"/>
      <c r="AP91" s="422"/>
      <c r="AQ91" s="419"/>
      <c r="AR91" s="421"/>
      <c r="AS91" s="416">
        <f t="shared" si="18"/>
        <v>0</v>
      </c>
      <c r="AT91" s="1018"/>
      <c r="AU91" s="1019"/>
      <c r="AV91" s="1019"/>
      <c r="AW91" s="422"/>
      <c r="AX91" s="419"/>
      <c r="AY91" s="421"/>
      <c r="AZ91" s="417">
        <f t="shared" si="19"/>
        <v>0</v>
      </c>
    </row>
    <row r="92" spans="4:52" x14ac:dyDescent="0.25">
      <c r="D92" s="1018"/>
      <c r="E92" s="1019"/>
      <c r="F92" s="1020"/>
      <c r="G92" s="422"/>
      <c r="H92" s="419"/>
      <c r="I92" s="421"/>
      <c r="J92" s="416">
        <f t="shared" si="14"/>
        <v>0</v>
      </c>
      <c r="K92" s="1018"/>
      <c r="L92" s="1019"/>
      <c r="M92" s="1019"/>
      <c r="N92" s="422"/>
      <c r="O92" s="419"/>
      <c r="P92" s="421"/>
      <c r="Q92" s="416">
        <f t="shared" si="13"/>
        <v>0</v>
      </c>
      <c r="R92" s="1018"/>
      <c r="S92" s="1019"/>
      <c r="T92" s="1019"/>
      <c r="U92" s="422"/>
      <c r="V92" s="419"/>
      <c r="W92" s="421"/>
      <c r="X92" s="416">
        <f t="shared" si="15"/>
        <v>0</v>
      </c>
      <c r="Y92" s="1018"/>
      <c r="Z92" s="1019"/>
      <c r="AA92" s="1019"/>
      <c r="AB92" s="422"/>
      <c r="AC92" s="419"/>
      <c r="AD92" s="421"/>
      <c r="AE92" s="416">
        <f t="shared" si="16"/>
        <v>0</v>
      </c>
      <c r="AF92" s="1018"/>
      <c r="AG92" s="1019"/>
      <c r="AH92" s="1019"/>
      <c r="AI92" s="422"/>
      <c r="AJ92" s="419"/>
      <c r="AK92" s="421"/>
      <c r="AL92" s="416">
        <f t="shared" si="17"/>
        <v>0</v>
      </c>
      <c r="AM92" s="1018"/>
      <c r="AN92" s="1019"/>
      <c r="AO92" s="1019"/>
      <c r="AP92" s="422"/>
      <c r="AQ92" s="419"/>
      <c r="AR92" s="421"/>
      <c r="AS92" s="416">
        <f t="shared" si="18"/>
        <v>0</v>
      </c>
      <c r="AT92" s="1018"/>
      <c r="AU92" s="1019"/>
      <c r="AV92" s="1019"/>
      <c r="AW92" s="422"/>
      <c r="AX92" s="419"/>
      <c r="AY92" s="421"/>
      <c r="AZ92" s="417">
        <f t="shared" si="19"/>
        <v>0</v>
      </c>
    </row>
    <row r="93" spans="4:52" x14ac:dyDescent="0.25">
      <c r="D93" s="1018"/>
      <c r="E93" s="1019"/>
      <c r="F93" s="1020"/>
      <c r="G93" s="422"/>
      <c r="H93" s="419"/>
      <c r="I93" s="421"/>
      <c r="J93" s="416">
        <f t="shared" si="14"/>
        <v>0</v>
      </c>
      <c r="K93" s="1018"/>
      <c r="L93" s="1019"/>
      <c r="M93" s="1019"/>
      <c r="N93" s="422"/>
      <c r="O93" s="419"/>
      <c r="P93" s="421"/>
      <c r="Q93" s="416">
        <f t="shared" si="13"/>
        <v>0</v>
      </c>
      <c r="R93" s="1018"/>
      <c r="S93" s="1019"/>
      <c r="T93" s="1019"/>
      <c r="U93" s="422"/>
      <c r="V93" s="419"/>
      <c r="W93" s="421"/>
      <c r="X93" s="416">
        <f t="shared" si="15"/>
        <v>0</v>
      </c>
      <c r="Y93" s="1018"/>
      <c r="Z93" s="1019"/>
      <c r="AA93" s="1019"/>
      <c r="AB93" s="422"/>
      <c r="AC93" s="419"/>
      <c r="AD93" s="421"/>
      <c r="AE93" s="416">
        <f t="shared" si="16"/>
        <v>0</v>
      </c>
      <c r="AF93" s="1018"/>
      <c r="AG93" s="1019"/>
      <c r="AH93" s="1019"/>
      <c r="AI93" s="422"/>
      <c r="AJ93" s="419"/>
      <c r="AK93" s="421"/>
      <c r="AL93" s="416">
        <f t="shared" si="17"/>
        <v>0</v>
      </c>
      <c r="AM93" s="1018"/>
      <c r="AN93" s="1019"/>
      <c r="AO93" s="1019"/>
      <c r="AP93" s="422"/>
      <c r="AQ93" s="419"/>
      <c r="AR93" s="421"/>
      <c r="AS93" s="416">
        <f t="shared" si="18"/>
        <v>0</v>
      </c>
      <c r="AT93" s="1018"/>
      <c r="AU93" s="1019"/>
      <c r="AV93" s="1019"/>
      <c r="AW93" s="422"/>
      <c r="AX93" s="419"/>
      <c r="AY93" s="421"/>
      <c r="AZ93" s="417">
        <f t="shared" si="19"/>
        <v>0</v>
      </c>
    </row>
    <row r="94" spans="4:52" x14ac:dyDescent="0.25">
      <c r="D94" s="1018"/>
      <c r="E94" s="1019"/>
      <c r="F94" s="1020"/>
      <c r="G94" s="422"/>
      <c r="H94" s="419"/>
      <c r="I94" s="421"/>
      <c r="J94" s="416">
        <f t="shared" si="14"/>
        <v>0</v>
      </c>
      <c r="K94" s="1018"/>
      <c r="L94" s="1019"/>
      <c r="M94" s="1019"/>
      <c r="N94" s="422"/>
      <c r="O94" s="419"/>
      <c r="P94" s="421"/>
      <c r="Q94" s="416">
        <f t="shared" si="13"/>
        <v>0</v>
      </c>
      <c r="R94" s="1018"/>
      <c r="S94" s="1019"/>
      <c r="T94" s="1019"/>
      <c r="U94" s="422"/>
      <c r="V94" s="419"/>
      <c r="W94" s="421"/>
      <c r="X94" s="416">
        <f t="shared" si="15"/>
        <v>0</v>
      </c>
      <c r="Y94" s="1018"/>
      <c r="Z94" s="1019"/>
      <c r="AA94" s="1019"/>
      <c r="AB94" s="422"/>
      <c r="AC94" s="419"/>
      <c r="AD94" s="421"/>
      <c r="AE94" s="416">
        <f t="shared" si="16"/>
        <v>0</v>
      </c>
      <c r="AF94" s="1018"/>
      <c r="AG94" s="1019"/>
      <c r="AH94" s="1019"/>
      <c r="AI94" s="422"/>
      <c r="AJ94" s="419"/>
      <c r="AK94" s="421"/>
      <c r="AL94" s="416">
        <f t="shared" si="17"/>
        <v>0</v>
      </c>
      <c r="AM94" s="1018"/>
      <c r="AN94" s="1019"/>
      <c r="AO94" s="1019"/>
      <c r="AP94" s="422"/>
      <c r="AQ94" s="419"/>
      <c r="AR94" s="421"/>
      <c r="AS94" s="416">
        <f t="shared" si="18"/>
        <v>0</v>
      </c>
      <c r="AT94" s="1018"/>
      <c r="AU94" s="1019"/>
      <c r="AV94" s="1019"/>
      <c r="AW94" s="422"/>
      <c r="AX94" s="419"/>
      <c r="AY94" s="421"/>
      <c r="AZ94" s="417">
        <f t="shared" si="19"/>
        <v>0</v>
      </c>
    </row>
    <row r="95" spans="4:52" x14ac:dyDescent="0.25">
      <c r="D95" s="1018"/>
      <c r="E95" s="1019"/>
      <c r="F95" s="1020"/>
      <c r="G95" s="422"/>
      <c r="H95" s="419"/>
      <c r="I95" s="421"/>
      <c r="J95" s="416">
        <f t="shared" si="14"/>
        <v>0</v>
      </c>
      <c r="K95" s="1018"/>
      <c r="L95" s="1019"/>
      <c r="M95" s="1019"/>
      <c r="N95" s="422"/>
      <c r="O95" s="419"/>
      <c r="P95" s="421"/>
      <c r="Q95" s="416">
        <f t="shared" si="13"/>
        <v>0</v>
      </c>
      <c r="R95" s="1018"/>
      <c r="S95" s="1019"/>
      <c r="T95" s="1019"/>
      <c r="U95" s="422"/>
      <c r="V95" s="419"/>
      <c r="W95" s="421"/>
      <c r="X95" s="416">
        <f t="shared" si="15"/>
        <v>0</v>
      </c>
      <c r="Y95" s="1018"/>
      <c r="Z95" s="1019"/>
      <c r="AA95" s="1019"/>
      <c r="AB95" s="422"/>
      <c r="AC95" s="419"/>
      <c r="AD95" s="421"/>
      <c r="AE95" s="416">
        <f t="shared" si="16"/>
        <v>0</v>
      </c>
      <c r="AF95" s="1018"/>
      <c r="AG95" s="1019"/>
      <c r="AH95" s="1019"/>
      <c r="AI95" s="422"/>
      <c r="AJ95" s="419"/>
      <c r="AK95" s="421"/>
      <c r="AL95" s="416">
        <f t="shared" si="17"/>
        <v>0</v>
      </c>
      <c r="AM95" s="1018"/>
      <c r="AN95" s="1019"/>
      <c r="AO95" s="1019"/>
      <c r="AP95" s="422"/>
      <c r="AQ95" s="419"/>
      <c r="AR95" s="421"/>
      <c r="AS95" s="416">
        <f t="shared" si="18"/>
        <v>0</v>
      </c>
      <c r="AT95" s="1018"/>
      <c r="AU95" s="1019"/>
      <c r="AV95" s="1019"/>
      <c r="AW95" s="422"/>
      <c r="AX95" s="419"/>
      <c r="AY95" s="421"/>
      <c r="AZ95" s="417">
        <f t="shared" si="19"/>
        <v>0</v>
      </c>
    </row>
    <row r="96" spans="4:52" x14ac:dyDescent="0.25">
      <c r="D96" s="1018"/>
      <c r="E96" s="1019"/>
      <c r="F96" s="1020"/>
      <c r="G96" s="422"/>
      <c r="H96" s="419"/>
      <c r="I96" s="421"/>
      <c r="J96" s="416">
        <f t="shared" si="14"/>
        <v>0</v>
      </c>
      <c r="K96" s="1018"/>
      <c r="L96" s="1019"/>
      <c r="M96" s="1019"/>
      <c r="N96" s="422"/>
      <c r="O96" s="419"/>
      <c r="P96" s="421"/>
      <c r="Q96" s="416">
        <f t="shared" si="13"/>
        <v>0</v>
      </c>
      <c r="R96" s="1018"/>
      <c r="S96" s="1019"/>
      <c r="T96" s="1019"/>
      <c r="U96" s="422"/>
      <c r="V96" s="419"/>
      <c r="W96" s="421"/>
      <c r="X96" s="416">
        <f t="shared" si="15"/>
        <v>0</v>
      </c>
      <c r="Y96" s="1018"/>
      <c r="Z96" s="1019"/>
      <c r="AA96" s="1019"/>
      <c r="AB96" s="422"/>
      <c r="AC96" s="419"/>
      <c r="AD96" s="421"/>
      <c r="AE96" s="416">
        <f t="shared" si="16"/>
        <v>0</v>
      </c>
      <c r="AF96" s="1018"/>
      <c r="AG96" s="1019"/>
      <c r="AH96" s="1019"/>
      <c r="AI96" s="422"/>
      <c r="AJ96" s="419"/>
      <c r="AK96" s="421"/>
      <c r="AL96" s="416">
        <f t="shared" si="17"/>
        <v>0</v>
      </c>
      <c r="AM96" s="1018"/>
      <c r="AN96" s="1019"/>
      <c r="AO96" s="1019"/>
      <c r="AP96" s="422"/>
      <c r="AQ96" s="419"/>
      <c r="AR96" s="421"/>
      <c r="AS96" s="416">
        <f t="shared" si="18"/>
        <v>0</v>
      </c>
      <c r="AT96" s="1018"/>
      <c r="AU96" s="1019"/>
      <c r="AV96" s="1019"/>
      <c r="AW96" s="422"/>
      <c r="AX96" s="419"/>
      <c r="AY96" s="421"/>
      <c r="AZ96" s="417">
        <f t="shared" si="19"/>
        <v>0</v>
      </c>
    </row>
    <row r="97" spans="4:52" x14ac:dyDescent="0.25">
      <c r="D97" s="1018"/>
      <c r="E97" s="1019"/>
      <c r="F97" s="1020"/>
      <c r="G97" s="422"/>
      <c r="H97" s="419"/>
      <c r="I97" s="421"/>
      <c r="J97" s="416">
        <f t="shared" si="14"/>
        <v>0</v>
      </c>
      <c r="K97" s="1018"/>
      <c r="L97" s="1019"/>
      <c r="M97" s="1019"/>
      <c r="N97" s="422"/>
      <c r="O97" s="419"/>
      <c r="P97" s="421"/>
      <c r="Q97" s="416">
        <f t="shared" si="13"/>
        <v>0</v>
      </c>
      <c r="R97" s="1018"/>
      <c r="S97" s="1019"/>
      <c r="T97" s="1019"/>
      <c r="U97" s="422"/>
      <c r="V97" s="419"/>
      <c r="W97" s="421"/>
      <c r="X97" s="416">
        <f t="shared" si="15"/>
        <v>0</v>
      </c>
      <c r="Y97" s="1018"/>
      <c r="Z97" s="1019"/>
      <c r="AA97" s="1019"/>
      <c r="AB97" s="422"/>
      <c r="AC97" s="419"/>
      <c r="AD97" s="421"/>
      <c r="AE97" s="416">
        <f t="shared" si="16"/>
        <v>0</v>
      </c>
      <c r="AF97" s="1018"/>
      <c r="AG97" s="1019"/>
      <c r="AH97" s="1019"/>
      <c r="AI97" s="422"/>
      <c r="AJ97" s="419"/>
      <c r="AK97" s="421"/>
      <c r="AL97" s="416">
        <f t="shared" si="17"/>
        <v>0</v>
      </c>
      <c r="AM97" s="1018"/>
      <c r="AN97" s="1019"/>
      <c r="AO97" s="1019"/>
      <c r="AP97" s="422"/>
      <c r="AQ97" s="419"/>
      <c r="AR97" s="421"/>
      <c r="AS97" s="416">
        <f t="shared" si="18"/>
        <v>0</v>
      </c>
      <c r="AT97" s="1018"/>
      <c r="AU97" s="1019"/>
      <c r="AV97" s="1019"/>
      <c r="AW97" s="422"/>
      <c r="AX97" s="419"/>
      <c r="AY97" s="421"/>
      <c r="AZ97" s="417">
        <f t="shared" si="19"/>
        <v>0</v>
      </c>
    </row>
    <row r="98" spans="4:52" x14ac:dyDescent="0.25">
      <c r="D98" s="1018"/>
      <c r="E98" s="1019"/>
      <c r="F98" s="1020"/>
      <c r="G98" s="422"/>
      <c r="H98" s="419"/>
      <c r="I98" s="421"/>
      <c r="J98" s="416">
        <f t="shared" si="14"/>
        <v>0</v>
      </c>
      <c r="K98" s="1018"/>
      <c r="L98" s="1019"/>
      <c r="M98" s="1019"/>
      <c r="N98" s="422"/>
      <c r="O98" s="419"/>
      <c r="P98" s="421"/>
      <c r="Q98" s="416">
        <f t="shared" si="13"/>
        <v>0</v>
      </c>
      <c r="R98" s="1018"/>
      <c r="S98" s="1019"/>
      <c r="T98" s="1019"/>
      <c r="U98" s="422"/>
      <c r="V98" s="419"/>
      <c r="W98" s="421"/>
      <c r="X98" s="416">
        <f t="shared" si="15"/>
        <v>0</v>
      </c>
      <c r="Y98" s="1018"/>
      <c r="Z98" s="1019"/>
      <c r="AA98" s="1019"/>
      <c r="AB98" s="422"/>
      <c r="AC98" s="419"/>
      <c r="AD98" s="421"/>
      <c r="AE98" s="416">
        <f t="shared" si="16"/>
        <v>0</v>
      </c>
      <c r="AF98" s="1018"/>
      <c r="AG98" s="1019"/>
      <c r="AH98" s="1019"/>
      <c r="AI98" s="422"/>
      <c r="AJ98" s="419"/>
      <c r="AK98" s="421"/>
      <c r="AL98" s="416">
        <f t="shared" si="17"/>
        <v>0</v>
      </c>
      <c r="AM98" s="1018"/>
      <c r="AN98" s="1019"/>
      <c r="AO98" s="1019"/>
      <c r="AP98" s="422"/>
      <c r="AQ98" s="419"/>
      <c r="AR98" s="421"/>
      <c r="AS98" s="416">
        <f t="shared" si="18"/>
        <v>0</v>
      </c>
      <c r="AT98" s="1018"/>
      <c r="AU98" s="1019"/>
      <c r="AV98" s="1019"/>
      <c r="AW98" s="422"/>
      <c r="AX98" s="419"/>
      <c r="AY98" s="421"/>
      <c r="AZ98" s="417">
        <f t="shared" si="19"/>
        <v>0</v>
      </c>
    </row>
    <row r="99" spans="4:52" x14ac:dyDescent="0.25">
      <c r="D99" s="1018"/>
      <c r="E99" s="1019"/>
      <c r="F99" s="1020"/>
      <c r="G99" s="422"/>
      <c r="H99" s="419"/>
      <c r="I99" s="421"/>
      <c r="J99" s="416">
        <f t="shared" si="14"/>
        <v>0</v>
      </c>
      <c r="K99" s="1018"/>
      <c r="L99" s="1019"/>
      <c r="M99" s="1019"/>
      <c r="N99" s="422"/>
      <c r="O99" s="419"/>
      <c r="P99" s="421"/>
      <c r="Q99" s="416">
        <f t="shared" si="13"/>
        <v>0</v>
      </c>
      <c r="R99" s="1018"/>
      <c r="S99" s="1019"/>
      <c r="T99" s="1019"/>
      <c r="U99" s="422"/>
      <c r="V99" s="419"/>
      <c r="W99" s="421"/>
      <c r="X99" s="416">
        <f t="shared" si="15"/>
        <v>0</v>
      </c>
      <c r="Y99" s="1018"/>
      <c r="Z99" s="1019"/>
      <c r="AA99" s="1019"/>
      <c r="AB99" s="422"/>
      <c r="AC99" s="419"/>
      <c r="AD99" s="421"/>
      <c r="AE99" s="416">
        <f t="shared" si="16"/>
        <v>0</v>
      </c>
      <c r="AF99" s="1018"/>
      <c r="AG99" s="1019"/>
      <c r="AH99" s="1019"/>
      <c r="AI99" s="422"/>
      <c r="AJ99" s="419"/>
      <c r="AK99" s="421"/>
      <c r="AL99" s="416">
        <f t="shared" si="17"/>
        <v>0</v>
      </c>
      <c r="AM99" s="1018"/>
      <c r="AN99" s="1019"/>
      <c r="AO99" s="1019"/>
      <c r="AP99" s="422"/>
      <c r="AQ99" s="419"/>
      <c r="AR99" s="421"/>
      <c r="AS99" s="416">
        <f t="shared" si="18"/>
        <v>0</v>
      </c>
      <c r="AT99" s="1018"/>
      <c r="AU99" s="1019"/>
      <c r="AV99" s="1019"/>
      <c r="AW99" s="422"/>
      <c r="AX99" s="419"/>
      <c r="AY99" s="421"/>
      <c r="AZ99" s="417">
        <f t="shared" si="19"/>
        <v>0</v>
      </c>
    </row>
    <row r="100" spans="4:52" x14ac:dyDescent="0.25">
      <c r="D100" s="1018"/>
      <c r="E100" s="1019"/>
      <c r="F100" s="1020"/>
      <c r="G100" s="422"/>
      <c r="H100" s="419"/>
      <c r="I100" s="421"/>
      <c r="J100" s="416">
        <f t="shared" si="14"/>
        <v>0</v>
      </c>
      <c r="K100" s="1018"/>
      <c r="L100" s="1019"/>
      <c r="M100" s="1019"/>
      <c r="N100" s="422"/>
      <c r="O100" s="419"/>
      <c r="P100" s="421"/>
      <c r="Q100" s="416">
        <f t="shared" si="13"/>
        <v>0</v>
      </c>
      <c r="R100" s="1018"/>
      <c r="S100" s="1019"/>
      <c r="T100" s="1019"/>
      <c r="U100" s="422"/>
      <c r="V100" s="419"/>
      <c r="W100" s="421"/>
      <c r="X100" s="416">
        <f t="shared" si="15"/>
        <v>0</v>
      </c>
      <c r="Y100" s="1018"/>
      <c r="Z100" s="1019"/>
      <c r="AA100" s="1019"/>
      <c r="AB100" s="422"/>
      <c r="AC100" s="419"/>
      <c r="AD100" s="421"/>
      <c r="AE100" s="416">
        <f t="shared" si="16"/>
        <v>0</v>
      </c>
      <c r="AF100" s="1018"/>
      <c r="AG100" s="1019"/>
      <c r="AH100" s="1019"/>
      <c r="AI100" s="422"/>
      <c r="AJ100" s="419"/>
      <c r="AK100" s="421"/>
      <c r="AL100" s="416">
        <f t="shared" si="17"/>
        <v>0</v>
      </c>
      <c r="AM100" s="1018"/>
      <c r="AN100" s="1019"/>
      <c r="AO100" s="1019"/>
      <c r="AP100" s="422"/>
      <c r="AQ100" s="419"/>
      <c r="AR100" s="421"/>
      <c r="AS100" s="416">
        <f t="shared" si="18"/>
        <v>0</v>
      </c>
      <c r="AT100" s="1018"/>
      <c r="AU100" s="1019"/>
      <c r="AV100" s="1019"/>
      <c r="AW100" s="422"/>
      <c r="AX100" s="419"/>
      <c r="AY100" s="421"/>
      <c r="AZ100" s="417">
        <f t="shared" si="19"/>
        <v>0</v>
      </c>
    </row>
    <row r="101" spans="4:52" x14ac:dyDescent="0.25">
      <c r="D101" s="1018"/>
      <c r="E101" s="1019"/>
      <c r="F101" s="1020"/>
      <c r="G101" s="422"/>
      <c r="H101" s="419"/>
      <c r="I101" s="421"/>
      <c r="J101" s="416">
        <f t="shared" si="14"/>
        <v>0</v>
      </c>
      <c r="K101" s="1018"/>
      <c r="L101" s="1019"/>
      <c r="M101" s="1019"/>
      <c r="N101" s="422"/>
      <c r="O101" s="419"/>
      <c r="P101" s="421"/>
      <c r="Q101" s="416">
        <f t="shared" si="13"/>
        <v>0</v>
      </c>
      <c r="R101" s="1018"/>
      <c r="S101" s="1019"/>
      <c r="T101" s="1019"/>
      <c r="U101" s="422"/>
      <c r="V101" s="419"/>
      <c r="W101" s="421"/>
      <c r="X101" s="416">
        <f t="shared" si="15"/>
        <v>0</v>
      </c>
      <c r="Y101" s="1018"/>
      <c r="Z101" s="1019"/>
      <c r="AA101" s="1019"/>
      <c r="AB101" s="422"/>
      <c r="AC101" s="419"/>
      <c r="AD101" s="421"/>
      <c r="AE101" s="416">
        <f t="shared" si="16"/>
        <v>0</v>
      </c>
      <c r="AF101" s="1018"/>
      <c r="AG101" s="1019"/>
      <c r="AH101" s="1019"/>
      <c r="AI101" s="422"/>
      <c r="AJ101" s="419"/>
      <c r="AK101" s="421"/>
      <c r="AL101" s="416">
        <f t="shared" si="17"/>
        <v>0</v>
      </c>
      <c r="AM101" s="1018"/>
      <c r="AN101" s="1019"/>
      <c r="AO101" s="1019"/>
      <c r="AP101" s="422"/>
      <c r="AQ101" s="419"/>
      <c r="AR101" s="421"/>
      <c r="AS101" s="416">
        <f t="shared" si="18"/>
        <v>0</v>
      </c>
      <c r="AT101" s="1018"/>
      <c r="AU101" s="1019"/>
      <c r="AV101" s="1019"/>
      <c r="AW101" s="422"/>
      <c r="AX101" s="419"/>
      <c r="AY101" s="421"/>
      <c r="AZ101" s="417">
        <f t="shared" si="19"/>
        <v>0</v>
      </c>
    </row>
    <row r="102" spans="4:52" x14ac:dyDescent="0.25">
      <c r="D102" s="1018"/>
      <c r="E102" s="1019"/>
      <c r="F102" s="1020"/>
      <c r="G102" s="422"/>
      <c r="H102" s="419"/>
      <c r="I102" s="421"/>
      <c r="J102" s="416">
        <f t="shared" si="14"/>
        <v>0</v>
      </c>
      <c r="K102" s="1018"/>
      <c r="L102" s="1019"/>
      <c r="M102" s="1019"/>
      <c r="N102" s="422"/>
      <c r="O102" s="419"/>
      <c r="P102" s="421"/>
      <c r="Q102" s="416">
        <f t="shared" si="13"/>
        <v>0</v>
      </c>
      <c r="R102" s="1018"/>
      <c r="S102" s="1019"/>
      <c r="T102" s="1019"/>
      <c r="U102" s="422"/>
      <c r="V102" s="419"/>
      <c r="W102" s="421"/>
      <c r="X102" s="416">
        <f t="shared" si="15"/>
        <v>0</v>
      </c>
      <c r="Y102" s="1018"/>
      <c r="Z102" s="1019"/>
      <c r="AA102" s="1019"/>
      <c r="AB102" s="422"/>
      <c r="AC102" s="419"/>
      <c r="AD102" s="421"/>
      <c r="AE102" s="416">
        <f t="shared" si="16"/>
        <v>0</v>
      </c>
      <c r="AF102" s="1018"/>
      <c r="AG102" s="1019"/>
      <c r="AH102" s="1019"/>
      <c r="AI102" s="422"/>
      <c r="AJ102" s="419"/>
      <c r="AK102" s="421"/>
      <c r="AL102" s="416">
        <f t="shared" si="17"/>
        <v>0</v>
      </c>
      <c r="AM102" s="1018"/>
      <c r="AN102" s="1019"/>
      <c r="AO102" s="1019"/>
      <c r="AP102" s="422"/>
      <c r="AQ102" s="419"/>
      <c r="AR102" s="421"/>
      <c r="AS102" s="416">
        <f t="shared" si="18"/>
        <v>0</v>
      </c>
      <c r="AT102" s="1018"/>
      <c r="AU102" s="1019"/>
      <c r="AV102" s="1019"/>
      <c r="AW102" s="422"/>
      <c r="AX102" s="419"/>
      <c r="AY102" s="421"/>
      <c r="AZ102" s="417">
        <f t="shared" si="19"/>
        <v>0</v>
      </c>
    </row>
    <row r="103" spans="4:52" x14ac:dyDescent="0.25">
      <c r="D103" s="1018"/>
      <c r="E103" s="1019"/>
      <c r="F103" s="1020"/>
      <c r="G103" s="422"/>
      <c r="H103" s="419"/>
      <c r="I103" s="421"/>
      <c r="J103" s="416">
        <f t="shared" si="14"/>
        <v>0</v>
      </c>
      <c r="K103" s="1018"/>
      <c r="L103" s="1019"/>
      <c r="M103" s="1019"/>
      <c r="N103" s="422"/>
      <c r="O103" s="419"/>
      <c r="P103" s="421"/>
      <c r="Q103" s="416">
        <f t="shared" si="13"/>
        <v>0</v>
      </c>
      <c r="R103" s="1018"/>
      <c r="S103" s="1019"/>
      <c r="T103" s="1019"/>
      <c r="U103" s="422"/>
      <c r="V103" s="419"/>
      <c r="W103" s="421"/>
      <c r="X103" s="416">
        <f t="shared" si="15"/>
        <v>0</v>
      </c>
      <c r="Y103" s="1018"/>
      <c r="Z103" s="1019"/>
      <c r="AA103" s="1019"/>
      <c r="AB103" s="422"/>
      <c r="AC103" s="419"/>
      <c r="AD103" s="421"/>
      <c r="AE103" s="416">
        <f t="shared" si="16"/>
        <v>0</v>
      </c>
      <c r="AF103" s="1018"/>
      <c r="AG103" s="1019"/>
      <c r="AH103" s="1019"/>
      <c r="AI103" s="422"/>
      <c r="AJ103" s="419"/>
      <c r="AK103" s="421"/>
      <c r="AL103" s="416">
        <f t="shared" si="17"/>
        <v>0</v>
      </c>
      <c r="AM103" s="1018"/>
      <c r="AN103" s="1019"/>
      <c r="AO103" s="1019"/>
      <c r="AP103" s="422"/>
      <c r="AQ103" s="419"/>
      <c r="AR103" s="421"/>
      <c r="AS103" s="416">
        <f t="shared" si="18"/>
        <v>0</v>
      </c>
      <c r="AT103" s="1018"/>
      <c r="AU103" s="1019"/>
      <c r="AV103" s="1019"/>
      <c r="AW103" s="422"/>
      <c r="AX103" s="419"/>
      <c r="AY103" s="421"/>
      <c r="AZ103" s="417">
        <f t="shared" si="19"/>
        <v>0</v>
      </c>
    </row>
    <row r="104" spans="4:52" x14ac:dyDescent="0.25">
      <c r="D104" s="1018"/>
      <c r="E104" s="1019"/>
      <c r="F104" s="1020"/>
      <c r="G104" s="422"/>
      <c r="H104" s="419"/>
      <c r="I104" s="421"/>
      <c r="J104" s="416">
        <f t="shared" si="14"/>
        <v>0</v>
      </c>
      <c r="K104" s="1018"/>
      <c r="L104" s="1019"/>
      <c r="M104" s="1019"/>
      <c r="N104" s="422"/>
      <c r="O104" s="419"/>
      <c r="P104" s="421"/>
      <c r="Q104" s="416">
        <f t="shared" si="13"/>
        <v>0</v>
      </c>
      <c r="R104" s="1018"/>
      <c r="S104" s="1019"/>
      <c r="T104" s="1019"/>
      <c r="U104" s="422"/>
      <c r="V104" s="419"/>
      <c r="W104" s="421"/>
      <c r="X104" s="416">
        <f t="shared" si="15"/>
        <v>0</v>
      </c>
      <c r="Y104" s="1018"/>
      <c r="Z104" s="1019"/>
      <c r="AA104" s="1019"/>
      <c r="AB104" s="422"/>
      <c r="AC104" s="419"/>
      <c r="AD104" s="421"/>
      <c r="AE104" s="416">
        <f t="shared" si="16"/>
        <v>0</v>
      </c>
      <c r="AF104" s="1018"/>
      <c r="AG104" s="1019"/>
      <c r="AH104" s="1019"/>
      <c r="AI104" s="422"/>
      <c r="AJ104" s="419"/>
      <c r="AK104" s="421"/>
      <c r="AL104" s="416">
        <f t="shared" si="17"/>
        <v>0</v>
      </c>
      <c r="AM104" s="1018"/>
      <c r="AN104" s="1019"/>
      <c r="AO104" s="1019"/>
      <c r="AP104" s="422"/>
      <c r="AQ104" s="419"/>
      <c r="AR104" s="421"/>
      <c r="AS104" s="416">
        <f t="shared" si="18"/>
        <v>0</v>
      </c>
      <c r="AT104" s="1018"/>
      <c r="AU104" s="1019"/>
      <c r="AV104" s="1019"/>
      <c r="AW104" s="422"/>
      <c r="AX104" s="419"/>
      <c r="AY104" s="421"/>
      <c r="AZ104" s="417">
        <f t="shared" si="19"/>
        <v>0</v>
      </c>
    </row>
    <row r="105" spans="4:52" x14ac:dyDescent="0.25">
      <c r="D105" s="1018"/>
      <c r="E105" s="1019"/>
      <c r="F105" s="1020"/>
      <c r="G105" s="422"/>
      <c r="H105" s="419"/>
      <c r="I105" s="421"/>
      <c r="J105" s="416">
        <f t="shared" si="14"/>
        <v>0</v>
      </c>
      <c r="K105" s="1018"/>
      <c r="L105" s="1019"/>
      <c r="M105" s="1019"/>
      <c r="N105" s="422"/>
      <c r="O105" s="419"/>
      <c r="P105" s="421"/>
      <c r="Q105" s="416">
        <f t="shared" si="13"/>
        <v>0</v>
      </c>
      <c r="R105" s="1018"/>
      <c r="S105" s="1019"/>
      <c r="T105" s="1019"/>
      <c r="U105" s="422"/>
      <c r="V105" s="419"/>
      <c r="W105" s="421"/>
      <c r="X105" s="416">
        <f t="shared" si="15"/>
        <v>0</v>
      </c>
      <c r="Y105" s="1018"/>
      <c r="Z105" s="1019"/>
      <c r="AA105" s="1019"/>
      <c r="AB105" s="422"/>
      <c r="AC105" s="419"/>
      <c r="AD105" s="421"/>
      <c r="AE105" s="416">
        <f t="shared" si="16"/>
        <v>0</v>
      </c>
      <c r="AF105" s="1018"/>
      <c r="AG105" s="1019"/>
      <c r="AH105" s="1019"/>
      <c r="AI105" s="422"/>
      <c r="AJ105" s="419"/>
      <c r="AK105" s="421"/>
      <c r="AL105" s="416">
        <f t="shared" si="17"/>
        <v>0</v>
      </c>
      <c r="AM105" s="1018"/>
      <c r="AN105" s="1019"/>
      <c r="AO105" s="1019"/>
      <c r="AP105" s="422"/>
      <c r="AQ105" s="419"/>
      <c r="AR105" s="421"/>
      <c r="AS105" s="416">
        <f t="shared" si="18"/>
        <v>0</v>
      </c>
      <c r="AT105" s="1018"/>
      <c r="AU105" s="1019"/>
      <c r="AV105" s="1019"/>
      <c r="AW105" s="422"/>
      <c r="AX105" s="419"/>
      <c r="AY105" s="421"/>
      <c r="AZ105" s="417">
        <f t="shared" si="19"/>
        <v>0</v>
      </c>
    </row>
    <row r="106" spans="4:52" x14ac:dyDescent="0.25">
      <c r="D106" s="1018"/>
      <c r="E106" s="1019"/>
      <c r="F106" s="1020"/>
      <c r="G106" s="422"/>
      <c r="H106" s="419"/>
      <c r="I106" s="421"/>
      <c r="J106" s="416">
        <f t="shared" si="14"/>
        <v>0</v>
      </c>
      <c r="K106" s="1018"/>
      <c r="L106" s="1019"/>
      <c r="M106" s="1019"/>
      <c r="N106" s="422"/>
      <c r="O106" s="419"/>
      <c r="P106" s="421"/>
      <c r="Q106" s="416">
        <f t="shared" si="13"/>
        <v>0</v>
      </c>
      <c r="R106" s="1018"/>
      <c r="S106" s="1019"/>
      <c r="T106" s="1019"/>
      <c r="U106" s="422"/>
      <c r="V106" s="419"/>
      <c r="W106" s="421"/>
      <c r="X106" s="416">
        <f t="shared" si="15"/>
        <v>0</v>
      </c>
      <c r="Y106" s="1018"/>
      <c r="Z106" s="1019"/>
      <c r="AA106" s="1019"/>
      <c r="AB106" s="422"/>
      <c r="AC106" s="419"/>
      <c r="AD106" s="421"/>
      <c r="AE106" s="416">
        <f t="shared" si="16"/>
        <v>0</v>
      </c>
      <c r="AF106" s="1018"/>
      <c r="AG106" s="1019"/>
      <c r="AH106" s="1019"/>
      <c r="AI106" s="422"/>
      <c r="AJ106" s="419"/>
      <c r="AK106" s="421"/>
      <c r="AL106" s="416">
        <f t="shared" si="17"/>
        <v>0</v>
      </c>
      <c r="AM106" s="1018"/>
      <c r="AN106" s="1019"/>
      <c r="AO106" s="1019"/>
      <c r="AP106" s="422"/>
      <c r="AQ106" s="419"/>
      <c r="AR106" s="421"/>
      <c r="AS106" s="416">
        <f t="shared" si="18"/>
        <v>0</v>
      </c>
      <c r="AT106" s="1018"/>
      <c r="AU106" s="1019"/>
      <c r="AV106" s="1019"/>
      <c r="AW106" s="422"/>
      <c r="AX106" s="419"/>
      <c r="AY106" s="421"/>
      <c r="AZ106" s="417">
        <f t="shared" si="19"/>
        <v>0</v>
      </c>
    </row>
    <row r="107" spans="4:52" x14ac:dyDescent="0.25">
      <c r="D107" s="1018"/>
      <c r="E107" s="1019"/>
      <c r="F107" s="1020"/>
      <c r="G107" s="422"/>
      <c r="H107" s="419"/>
      <c r="I107" s="421"/>
      <c r="J107" s="416">
        <f t="shared" si="14"/>
        <v>0</v>
      </c>
      <c r="K107" s="1018"/>
      <c r="L107" s="1019"/>
      <c r="M107" s="1019"/>
      <c r="N107" s="422"/>
      <c r="O107" s="419"/>
      <c r="P107" s="421"/>
      <c r="Q107" s="416">
        <f t="shared" si="13"/>
        <v>0</v>
      </c>
      <c r="R107" s="1018"/>
      <c r="S107" s="1019"/>
      <c r="T107" s="1019"/>
      <c r="U107" s="422"/>
      <c r="V107" s="419"/>
      <c r="W107" s="421"/>
      <c r="X107" s="416">
        <f t="shared" si="15"/>
        <v>0</v>
      </c>
      <c r="Y107" s="1018"/>
      <c r="Z107" s="1019"/>
      <c r="AA107" s="1019"/>
      <c r="AB107" s="422"/>
      <c r="AC107" s="419"/>
      <c r="AD107" s="421"/>
      <c r="AE107" s="416">
        <f t="shared" si="16"/>
        <v>0</v>
      </c>
      <c r="AF107" s="1018"/>
      <c r="AG107" s="1019"/>
      <c r="AH107" s="1019"/>
      <c r="AI107" s="422"/>
      <c r="AJ107" s="419"/>
      <c r="AK107" s="421"/>
      <c r="AL107" s="416">
        <f t="shared" si="17"/>
        <v>0</v>
      </c>
      <c r="AM107" s="1018"/>
      <c r="AN107" s="1019"/>
      <c r="AO107" s="1019"/>
      <c r="AP107" s="422"/>
      <c r="AQ107" s="419"/>
      <c r="AR107" s="421"/>
      <c r="AS107" s="416">
        <f t="shared" si="18"/>
        <v>0</v>
      </c>
      <c r="AT107" s="1018"/>
      <c r="AU107" s="1019"/>
      <c r="AV107" s="1019"/>
      <c r="AW107" s="422"/>
      <c r="AX107" s="419"/>
      <c r="AY107" s="421"/>
      <c r="AZ107" s="417">
        <f t="shared" si="19"/>
        <v>0</v>
      </c>
    </row>
    <row r="108" spans="4:52" x14ac:dyDescent="0.25">
      <c r="D108" s="1018"/>
      <c r="E108" s="1019"/>
      <c r="F108" s="1020"/>
      <c r="G108" s="422"/>
      <c r="H108" s="419"/>
      <c r="I108" s="421"/>
      <c r="J108" s="416">
        <f t="shared" si="14"/>
        <v>0</v>
      </c>
      <c r="K108" s="1018"/>
      <c r="L108" s="1019"/>
      <c r="M108" s="1019"/>
      <c r="N108" s="422"/>
      <c r="O108" s="419"/>
      <c r="P108" s="421"/>
      <c r="Q108" s="416">
        <f t="shared" si="13"/>
        <v>0</v>
      </c>
      <c r="R108" s="1018"/>
      <c r="S108" s="1019"/>
      <c r="T108" s="1019"/>
      <c r="U108" s="422"/>
      <c r="V108" s="419"/>
      <c r="W108" s="421"/>
      <c r="X108" s="416">
        <f t="shared" si="15"/>
        <v>0</v>
      </c>
      <c r="Y108" s="1018"/>
      <c r="Z108" s="1019"/>
      <c r="AA108" s="1019"/>
      <c r="AB108" s="422"/>
      <c r="AC108" s="419"/>
      <c r="AD108" s="421"/>
      <c r="AE108" s="416">
        <f t="shared" si="16"/>
        <v>0</v>
      </c>
      <c r="AF108" s="1018"/>
      <c r="AG108" s="1019"/>
      <c r="AH108" s="1019"/>
      <c r="AI108" s="422"/>
      <c r="AJ108" s="419"/>
      <c r="AK108" s="421"/>
      <c r="AL108" s="416">
        <f t="shared" si="17"/>
        <v>0</v>
      </c>
      <c r="AM108" s="1018"/>
      <c r="AN108" s="1019"/>
      <c r="AO108" s="1019"/>
      <c r="AP108" s="422"/>
      <c r="AQ108" s="419"/>
      <c r="AR108" s="421"/>
      <c r="AS108" s="416">
        <f t="shared" si="18"/>
        <v>0</v>
      </c>
      <c r="AT108" s="1018"/>
      <c r="AU108" s="1019"/>
      <c r="AV108" s="1019"/>
      <c r="AW108" s="422"/>
      <c r="AX108" s="419"/>
      <c r="AY108" s="421"/>
      <c r="AZ108" s="417">
        <f t="shared" si="19"/>
        <v>0</v>
      </c>
    </row>
    <row r="109" spans="4:52" x14ac:dyDescent="0.25">
      <c r="D109" s="1018"/>
      <c r="E109" s="1019"/>
      <c r="F109" s="1020"/>
      <c r="G109" s="422"/>
      <c r="H109" s="419"/>
      <c r="I109" s="421"/>
      <c r="J109" s="416">
        <f t="shared" si="14"/>
        <v>0</v>
      </c>
      <c r="K109" s="1018"/>
      <c r="L109" s="1019"/>
      <c r="M109" s="1019"/>
      <c r="N109" s="422"/>
      <c r="O109" s="419"/>
      <c r="P109" s="421"/>
      <c r="Q109" s="416">
        <f t="shared" si="13"/>
        <v>0</v>
      </c>
      <c r="R109" s="1018"/>
      <c r="S109" s="1019"/>
      <c r="T109" s="1019"/>
      <c r="U109" s="422"/>
      <c r="V109" s="419"/>
      <c r="W109" s="421"/>
      <c r="X109" s="416">
        <f t="shared" si="15"/>
        <v>0</v>
      </c>
      <c r="Y109" s="1018"/>
      <c r="Z109" s="1019"/>
      <c r="AA109" s="1019"/>
      <c r="AB109" s="422"/>
      <c r="AC109" s="419"/>
      <c r="AD109" s="421"/>
      <c r="AE109" s="416">
        <f t="shared" si="16"/>
        <v>0</v>
      </c>
      <c r="AF109" s="1018"/>
      <c r="AG109" s="1019"/>
      <c r="AH109" s="1019"/>
      <c r="AI109" s="422"/>
      <c r="AJ109" s="419"/>
      <c r="AK109" s="421"/>
      <c r="AL109" s="416">
        <f t="shared" si="17"/>
        <v>0</v>
      </c>
      <c r="AM109" s="1018"/>
      <c r="AN109" s="1019"/>
      <c r="AO109" s="1019"/>
      <c r="AP109" s="422"/>
      <c r="AQ109" s="419"/>
      <c r="AR109" s="421"/>
      <c r="AS109" s="416">
        <f t="shared" si="18"/>
        <v>0</v>
      </c>
      <c r="AT109" s="1018"/>
      <c r="AU109" s="1019"/>
      <c r="AV109" s="1019"/>
      <c r="AW109" s="422"/>
      <c r="AX109" s="419"/>
      <c r="AY109" s="421"/>
      <c r="AZ109" s="417">
        <f t="shared" si="19"/>
        <v>0</v>
      </c>
    </row>
    <row r="110" spans="4:52" x14ac:dyDescent="0.25">
      <c r="D110" s="1018"/>
      <c r="E110" s="1019"/>
      <c r="F110" s="1020"/>
      <c r="G110" s="422"/>
      <c r="H110" s="419"/>
      <c r="I110" s="421"/>
      <c r="J110" s="416">
        <f t="shared" si="14"/>
        <v>0</v>
      </c>
      <c r="K110" s="1018"/>
      <c r="L110" s="1019"/>
      <c r="M110" s="1019"/>
      <c r="N110" s="422"/>
      <c r="O110" s="419"/>
      <c r="P110" s="421"/>
      <c r="Q110" s="416">
        <f t="shared" si="13"/>
        <v>0</v>
      </c>
      <c r="R110" s="1018"/>
      <c r="S110" s="1019"/>
      <c r="T110" s="1019"/>
      <c r="U110" s="422"/>
      <c r="V110" s="419"/>
      <c r="W110" s="421"/>
      <c r="X110" s="416">
        <f t="shared" si="15"/>
        <v>0</v>
      </c>
      <c r="Y110" s="1018"/>
      <c r="Z110" s="1019"/>
      <c r="AA110" s="1019"/>
      <c r="AB110" s="422"/>
      <c r="AC110" s="419"/>
      <c r="AD110" s="421"/>
      <c r="AE110" s="416">
        <f t="shared" si="16"/>
        <v>0</v>
      </c>
      <c r="AF110" s="1018"/>
      <c r="AG110" s="1019"/>
      <c r="AH110" s="1019"/>
      <c r="AI110" s="422"/>
      <c r="AJ110" s="419"/>
      <c r="AK110" s="421"/>
      <c r="AL110" s="416">
        <f t="shared" si="17"/>
        <v>0</v>
      </c>
      <c r="AM110" s="1018"/>
      <c r="AN110" s="1019"/>
      <c r="AO110" s="1019"/>
      <c r="AP110" s="422"/>
      <c r="AQ110" s="419"/>
      <c r="AR110" s="421"/>
      <c r="AS110" s="416">
        <f t="shared" si="18"/>
        <v>0</v>
      </c>
      <c r="AT110" s="1018"/>
      <c r="AU110" s="1019"/>
      <c r="AV110" s="1019"/>
      <c r="AW110" s="422"/>
      <c r="AX110" s="419"/>
      <c r="AY110" s="421"/>
      <c r="AZ110" s="417">
        <f t="shared" si="19"/>
        <v>0</v>
      </c>
    </row>
    <row r="111" spans="4:52" x14ac:dyDescent="0.25">
      <c r="D111" s="1018"/>
      <c r="E111" s="1019"/>
      <c r="F111" s="1020"/>
      <c r="G111" s="422"/>
      <c r="H111" s="419"/>
      <c r="I111" s="421"/>
      <c r="J111" s="416">
        <f t="shared" si="14"/>
        <v>0</v>
      </c>
      <c r="K111" s="1018"/>
      <c r="L111" s="1019"/>
      <c r="M111" s="1019"/>
      <c r="N111" s="422"/>
      <c r="O111" s="419"/>
      <c r="P111" s="421"/>
      <c r="Q111" s="416">
        <f t="shared" si="13"/>
        <v>0</v>
      </c>
      <c r="R111" s="1018"/>
      <c r="S111" s="1019"/>
      <c r="T111" s="1019"/>
      <c r="U111" s="422"/>
      <c r="V111" s="419"/>
      <c r="W111" s="421"/>
      <c r="X111" s="416">
        <f t="shared" si="15"/>
        <v>0</v>
      </c>
      <c r="Y111" s="1018"/>
      <c r="Z111" s="1019"/>
      <c r="AA111" s="1019"/>
      <c r="AB111" s="422"/>
      <c r="AC111" s="419"/>
      <c r="AD111" s="421"/>
      <c r="AE111" s="416">
        <f t="shared" si="16"/>
        <v>0</v>
      </c>
      <c r="AF111" s="1018"/>
      <c r="AG111" s="1019"/>
      <c r="AH111" s="1019"/>
      <c r="AI111" s="422"/>
      <c r="AJ111" s="419"/>
      <c r="AK111" s="421"/>
      <c r="AL111" s="416">
        <f t="shared" si="17"/>
        <v>0</v>
      </c>
      <c r="AM111" s="1018"/>
      <c r="AN111" s="1019"/>
      <c r="AO111" s="1019"/>
      <c r="AP111" s="422"/>
      <c r="AQ111" s="419"/>
      <c r="AR111" s="421"/>
      <c r="AS111" s="416">
        <f t="shared" si="18"/>
        <v>0</v>
      </c>
      <c r="AT111" s="1018"/>
      <c r="AU111" s="1019"/>
      <c r="AV111" s="1019"/>
      <c r="AW111" s="422"/>
      <c r="AX111" s="419"/>
      <c r="AY111" s="421"/>
      <c r="AZ111" s="417">
        <f t="shared" si="19"/>
        <v>0</v>
      </c>
    </row>
    <row r="112" spans="4:52" x14ac:dyDescent="0.25">
      <c r="D112" s="1018"/>
      <c r="E112" s="1019"/>
      <c r="F112" s="1020"/>
      <c r="G112" s="422"/>
      <c r="H112" s="419"/>
      <c r="I112" s="421"/>
      <c r="J112" s="416">
        <f t="shared" si="14"/>
        <v>0</v>
      </c>
      <c r="K112" s="1018"/>
      <c r="L112" s="1019"/>
      <c r="M112" s="1019"/>
      <c r="N112" s="422"/>
      <c r="O112" s="419"/>
      <c r="P112" s="421"/>
      <c r="Q112" s="416">
        <f t="shared" si="13"/>
        <v>0</v>
      </c>
      <c r="R112" s="1018"/>
      <c r="S112" s="1019"/>
      <c r="T112" s="1019"/>
      <c r="U112" s="422"/>
      <c r="V112" s="419"/>
      <c r="W112" s="421"/>
      <c r="X112" s="416">
        <f t="shared" si="15"/>
        <v>0</v>
      </c>
      <c r="Y112" s="1018"/>
      <c r="Z112" s="1019"/>
      <c r="AA112" s="1019"/>
      <c r="AB112" s="422"/>
      <c r="AC112" s="419"/>
      <c r="AD112" s="421"/>
      <c r="AE112" s="416">
        <f t="shared" si="16"/>
        <v>0</v>
      </c>
      <c r="AF112" s="1018"/>
      <c r="AG112" s="1019"/>
      <c r="AH112" s="1019"/>
      <c r="AI112" s="422"/>
      <c r="AJ112" s="419"/>
      <c r="AK112" s="421"/>
      <c r="AL112" s="416">
        <f t="shared" si="17"/>
        <v>0</v>
      </c>
      <c r="AM112" s="1018"/>
      <c r="AN112" s="1019"/>
      <c r="AO112" s="1019"/>
      <c r="AP112" s="422"/>
      <c r="AQ112" s="419"/>
      <c r="AR112" s="421"/>
      <c r="AS112" s="416">
        <f t="shared" si="18"/>
        <v>0</v>
      </c>
      <c r="AT112" s="1018"/>
      <c r="AU112" s="1019"/>
      <c r="AV112" s="1019"/>
      <c r="AW112" s="422"/>
      <c r="AX112" s="419"/>
      <c r="AY112" s="421"/>
      <c r="AZ112" s="417">
        <f t="shared" si="19"/>
        <v>0</v>
      </c>
    </row>
    <row r="113" spans="4:52" x14ac:dyDescent="0.25">
      <c r="D113" s="1018"/>
      <c r="E113" s="1019"/>
      <c r="F113" s="1020"/>
      <c r="G113" s="422"/>
      <c r="H113" s="419"/>
      <c r="I113" s="421"/>
      <c r="J113" s="416">
        <f t="shared" si="14"/>
        <v>0</v>
      </c>
      <c r="K113" s="1018"/>
      <c r="L113" s="1019"/>
      <c r="M113" s="1019"/>
      <c r="N113" s="422"/>
      <c r="O113" s="419"/>
      <c r="P113" s="421"/>
      <c r="Q113" s="416">
        <f t="shared" si="13"/>
        <v>0</v>
      </c>
      <c r="R113" s="1018"/>
      <c r="S113" s="1019"/>
      <c r="T113" s="1019"/>
      <c r="U113" s="422"/>
      <c r="V113" s="419"/>
      <c r="W113" s="421"/>
      <c r="X113" s="416">
        <f t="shared" si="15"/>
        <v>0</v>
      </c>
      <c r="Y113" s="1018"/>
      <c r="Z113" s="1019"/>
      <c r="AA113" s="1019"/>
      <c r="AB113" s="422"/>
      <c r="AC113" s="419"/>
      <c r="AD113" s="421"/>
      <c r="AE113" s="416">
        <f t="shared" si="16"/>
        <v>0</v>
      </c>
      <c r="AF113" s="1018"/>
      <c r="AG113" s="1019"/>
      <c r="AH113" s="1019"/>
      <c r="AI113" s="422"/>
      <c r="AJ113" s="419"/>
      <c r="AK113" s="421"/>
      <c r="AL113" s="416">
        <f t="shared" si="17"/>
        <v>0</v>
      </c>
      <c r="AM113" s="1018"/>
      <c r="AN113" s="1019"/>
      <c r="AO113" s="1019"/>
      <c r="AP113" s="422"/>
      <c r="AQ113" s="419"/>
      <c r="AR113" s="421"/>
      <c r="AS113" s="416">
        <f t="shared" si="18"/>
        <v>0</v>
      </c>
      <c r="AT113" s="1018"/>
      <c r="AU113" s="1019"/>
      <c r="AV113" s="1019"/>
      <c r="AW113" s="422"/>
      <c r="AX113" s="419"/>
      <c r="AY113" s="421"/>
      <c r="AZ113" s="417">
        <f t="shared" si="19"/>
        <v>0</v>
      </c>
    </row>
    <row r="114" spans="4:52" x14ac:dyDescent="0.25">
      <c r="D114" s="1018"/>
      <c r="E114" s="1019"/>
      <c r="F114" s="1020"/>
      <c r="G114" s="422"/>
      <c r="H114" s="419"/>
      <c r="I114" s="421"/>
      <c r="J114" s="416">
        <f t="shared" si="14"/>
        <v>0</v>
      </c>
      <c r="K114" s="1018"/>
      <c r="L114" s="1019"/>
      <c r="M114" s="1019"/>
      <c r="N114" s="422"/>
      <c r="O114" s="419"/>
      <c r="P114" s="421"/>
      <c r="Q114" s="416">
        <f t="shared" si="13"/>
        <v>0</v>
      </c>
      <c r="R114" s="1018"/>
      <c r="S114" s="1019"/>
      <c r="T114" s="1019"/>
      <c r="U114" s="422"/>
      <c r="V114" s="419"/>
      <c r="W114" s="421"/>
      <c r="X114" s="416">
        <f t="shared" si="15"/>
        <v>0</v>
      </c>
      <c r="Y114" s="1018"/>
      <c r="Z114" s="1019"/>
      <c r="AA114" s="1019"/>
      <c r="AB114" s="422"/>
      <c r="AC114" s="419"/>
      <c r="AD114" s="421"/>
      <c r="AE114" s="416">
        <f t="shared" si="16"/>
        <v>0</v>
      </c>
      <c r="AF114" s="1018"/>
      <c r="AG114" s="1019"/>
      <c r="AH114" s="1019"/>
      <c r="AI114" s="422"/>
      <c r="AJ114" s="419"/>
      <c r="AK114" s="421"/>
      <c r="AL114" s="416">
        <f t="shared" si="17"/>
        <v>0</v>
      </c>
      <c r="AM114" s="1018"/>
      <c r="AN114" s="1019"/>
      <c r="AO114" s="1019"/>
      <c r="AP114" s="422"/>
      <c r="AQ114" s="419"/>
      <c r="AR114" s="421"/>
      <c r="AS114" s="416">
        <f t="shared" si="18"/>
        <v>0</v>
      </c>
      <c r="AT114" s="1018"/>
      <c r="AU114" s="1019"/>
      <c r="AV114" s="1019"/>
      <c r="AW114" s="422"/>
      <c r="AX114" s="419"/>
      <c r="AY114" s="421"/>
      <c r="AZ114" s="417">
        <f t="shared" si="19"/>
        <v>0</v>
      </c>
    </row>
    <row r="115" spans="4:52" x14ac:dyDescent="0.25">
      <c r="D115" s="1018"/>
      <c r="E115" s="1019"/>
      <c r="F115" s="1020"/>
      <c r="G115" s="422"/>
      <c r="H115" s="419"/>
      <c r="I115" s="421"/>
      <c r="J115" s="416">
        <f t="shared" si="14"/>
        <v>0</v>
      </c>
      <c r="K115" s="1018"/>
      <c r="L115" s="1019"/>
      <c r="M115" s="1019"/>
      <c r="N115" s="422"/>
      <c r="O115" s="419"/>
      <c r="P115" s="421"/>
      <c r="Q115" s="416">
        <f t="shared" si="13"/>
        <v>0</v>
      </c>
      <c r="R115" s="1018"/>
      <c r="S115" s="1019"/>
      <c r="T115" s="1019"/>
      <c r="U115" s="422"/>
      <c r="V115" s="419"/>
      <c r="W115" s="421"/>
      <c r="X115" s="416">
        <f t="shared" si="15"/>
        <v>0</v>
      </c>
      <c r="Y115" s="1018"/>
      <c r="Z115" s="1019"/>
      <c r="AA115" s="1019"/>
      <c r="AB115" s="422"/>
      <c r="AC115" s="419"/>
      <c r="AD115" s="421"/>
      <c r="AE115" s="416">
        <f t="shared" si="16"/>
        <v>0</v>
      </c>
      <c r="AF115" s="1018"/>
      <c r="AG115" s="1019"/>
      <c r="AH115" s="1019"/>
      <c r="AI115" s="422"/>
      <c r="AJ115" s="419"/>
      <c r="AK115" s="421"/>
      <c r="AL115" s="416">
        <f t="shared" si="17"/>
        <v>0</v>
      </c>
      <c r="AM115" s="1018"/>
      <c r="AN115" s="1019"/>
      <c r="AO115" s="1019"/>
      <c r="AP115" s="422"/>
      <c r="AQ115" s="419"/>
      <c r="AR115" s="421"/>
      <c r="AS115" s="416">
        <f t="shared" si="18"/>
        <v>0</v>
      </c>
      <c r="AT115" s="1018"/>
      <c r="AU115" s="1019"/>
      <c r="AV115" s="1019"/>
      <c r="AW115" s="422"/>
      <c r="AX115" s="419"/>
      <c r="AY115" s="421"/>
      <c r="AZ115" s="417">
        <f t="shared" si="19"/>
        <v>0</v>
      </c>
    </row>
    <row r="116" spans="4:52" x14ac:dyDescent="0.25">
      <c r="D116" s="1018"/>
      <c r="E116" s="1019"/>
      <c r="F116" s="1020"/>
      <c r="G116" s="422"/>
      <c r="H116" s="419"/>
      <c r="I116" s="421"/>
      <c r="J116" s="416">
        <f t="shared" si="14"/>
        <v>0</v>
      </c>
      <c r="K116" s="1018"/>
      <c r="L116" s="1019"/>
      <c r="M116" s="1019"/>
      <c r="N116" s="422"/>
      <c r="O116" s="419"/>
      <c r="P116" s="421"/>
      <c r="Q116" s="416">
        <f t="shared" si="13"/>
        <v>0</v>
      </c>
      <c r="R116" s="1018"/>
      <c r="S116" s="1019"/>
      <c r="T116" s="1019"/>
      <c r="U116" s="422"/>
      <c r="V116" s="419"/>
      <c r="W116" s="421"/>
      <c r="X116" s="416">
        <f t="shared" si="15"/>
        <v>0</v>
      </c>
      <c r="Y116" s="1018"/>
      <c r="Z116" s="1019"/>
      <c r="AA116" s="1019"/>
      <c r="AB116" s="422"/>
      <c r="AC116" s="419"/>
      <c r="AD116" s="421"/>
      <c r="AE116" s="416">
        <f t="shared" si="16"/>
        <v>0</v>
      </c>
      <c r="AF116" s="1018"/>
      <c r="AG116" s="1019"/>
      <c r="AH116" s="1019"/>
      <c r="AI116" s="422"/>
      <c r="AJ116" s="419"/>
      <c r="AK116" s="421"/>
      <c r="AL116" s="416">
        <f t="shared" si="17"/>
        <v>0</v>
      </c>
      <c r="AM116" s="1018"/>
      <c r="AN116" s="1019"/>
      <c r="AO116" s="1019"/>
      <c r="AP116" s="422"/>
      <c r="AQ116" s="419"/>
      <c r="AR116" s="421"/>
      <c r="AS116" s="416">
        <f t="shared" si="18"/>
        <v>0</v>
      </c>
      <c r="AT116" s="1018"/>
      <c r="AU116" s="1019"/>
      <c r="AV116" s="1019"/>
      <c r="AW116" s="422"/>
      <c r="AX116" s="419"/>
      <c r="AY116" s="421"/>
      <c r="AZ116" s="417">
        <f t="shared" si="19"/>
        <v>0</v>
      </c>
    </row>
    <row r="117" spans="4:52" x14ac:dyDescent="0.25">
      <c r="D117" s="1018"/>
      <c r="E117" s="1019"/>
      <c r="F117" s="1020"/>
      <c r="G117" s="422"/>
      <c r="H117" s="419"/>
      <c r="I117" s="421"/>
      <c r="J117" s="416">
        <f t="shared" si="14"/>
        <v>0</v>
      </c>
      <c r="K117" s="1018"/>
      <c r="L117" s="1019"/>
      <c r="M117" s="1019"/>
      <c r="N117" s="422"/>
      <c r="O117" s="419"/>
      <c r="P117" s="421"/>
      <c r="Q117" s="416">
        <f t="shared" si="13"/>
        <v>0</v>
      </c>
      <c r="R117" s="1018"/>
      <c r="S117" s="1019"/>
      <c r="T117" s="1019"/>
      <c r="U117" s="422"/>
      <c r="V117" s="419"/>
      <c r="W117" s="421"/>
      <c r="X117" s="416">
        <f t="shared" si="15"/>
        <v>0</v>
      </c>
      <c r="Y117" s="1018"/>
      <c r="Z117" s="1019"/>
      <c r="AA117" s="1019"/>
      <c r="AB117" s="422"/>
      <c r="AC117" s="419"/>
      <c r="AD117" s="421"/>
      <c r="AE117" s="416">
        <f t="shared" si="16"/>
        <v>0</v>
      </c>
      <c r="AF117" s="1018"/>
      <c r="AG117" s="1019"/>
      <c r="AH117" s="1019"/>
      <c r="AI117" s="422"/>
      <c r="AJ117" s="419"/>
      <c r="AK117" s="421"/>
      <c r="AL117" s="416">
        <f t="shared" si="17"/>
        <v>0</v>
      </c>
      <c r="AM117" s="1018"/>
      <c r="AN117" s="1019"/>
      <c r="AO117" s="1019"/>
      <c r="AP117" s="422"/>
      <c r="AQ117" s="419"/>
      <c r="AR117" s="421"/>
      <c r="AS117" s="416">
        <f t="shared" si="18"/>
        <v>0</v>
      </c>
      <c r="AT117" s="1018"/>
      <c r="AU117" s="1019"/>
      <c r="AV117" s="1019"/>
      <c r="AW117" s="422"/>
      <c r="AX117" s="419"/>
      <c r="AY117" s="421"/>
      <c r="AZ117" s="417">
        <f t="shared" si="19"/>
        <v>0</v>
      </c>
    </row>
    <row r="118" spans="4:52" x14ac:dyDescent="0.25">
      <c r="D118" s="1018"/>
      <c r="E118" s="1019"/>
      <c r="F118" s="1020"/>
      <c r="G118" s="422"/>
      <c r="H118" s="419"/>
      <c r="I118" s="421"/>
      <c r="J118" s="416">
        <f t="shared" si="14"/>
        <v>0</v>
      </c>
      <c r="K118" s="1018"/>
      <c r="L118" s="1019"/>
      <c r="M118" s="1019"/>
      <c r="N118" s="422"/>
      <c r="O118" s="419"/>
      <c r="P118" s="421"/>
      <c r="Q118" s="416">
        <f t="shared" si="13"/>
        <v>0</v>
      </c>
      <c r="R118" s="1018"/>
      <c r="S118" s="1019"/>
      <c r="T118" s="1019"/>
      <c r="U118" s="422"/>
      <c r="V118" s="419"/>
      <c r="W118" s="421"/>
      <c r="X118" s="416">
        <f t="shared" si="15"/>
        <v>0</v>
      </c>
      <c r="Y118" s="1018"/>
      <c r="Z118" s="1019"/>
      <c r="AA118" s="1019"/>
      <c r="AB118" s="422"/>
      <c r="AC118" s="419"/>
      <c r="AD118" s="421"/>
      <c r="AE118" s="416">
        <f t="shared" si="16"/>
        <v>0</v>
      </c>
      <c r="AF118" s="1018"/>
      <c r="AG118" s="1019"/>
      <c r="AH118" s="1019"/>
      <c r="AI118" s="422"/>
      <c r="AJ118" s="419"/>
      <c r="AK118" s="421"/>
      <c r="AL118" s="416">
        <f t="shared" si="17"/>
        <v>0</v>
      </c>
      <c r="AM118" s="1018"/>
      <c r="AN118" s="1019"/>
      <c r="AO118" s="1019"/>
      <c r="AP118" s="422"/>
      <c r="AQ118" s="419"/>
      <c r="AR118" s="421"/>
      <c r="AS118" s="416">
        <f t="shared" si="18"/>
        <v>0</v>
      </c>
      <c r="AT118" s="1018"/>
      <c r="AU118" s="1019"/>
      <c r="AV118" s="1019"/>
      <c r="AW118" s="422"/>
      <c r="AX118" s="419"/>
      <c r="AY118" s="421"/>
      <c r="AZ118" s="417">
        <f t="shared" si="19"/>
        <v>0</v>
      </c>
    </row>
    <row r="119" spans="4:52" x14ac:dyDescent="0.25">
      <c r="D119" s="1018"/>
      <c r="E119" s="1019"/>
      <c r="F119" s="1020"/>
      <c r="G119" s="422"/>
      <c r="H119" s="419"/>
      <c r="I119" s="421"/>
      <c r="J119" s="416">
        <f t="shared" si="14"/>
        <v>0</v>
      </c>
      <c r="K119" s="1018"/>
      <c r="L119" s="1019"/>
      <c r="M119" s="1019"/>
      <c r="N119" s="422"/>
      <c r="O119" s="419"/>
      <c r="P119" s="421"/>
      <c r="Q119" s="416">
        <f t="shared" si="13"/>
        <v>0</v>
      </c>
      <c r="R119" s="1018"/>
      <c r="S119" s="1019"/>
      <c r="T119" s="1019"/>
      <c r="U119" s="422"/>
      <c r="V119" s="419"/>
      <c r="W119" s="421"/>
      <c r="X119" s="416">
        <f t="shared" si="15"/>
        <v>0</v>
      </c>
      <c r="Y119" s="1018"/>
      <c r="Z119" s="1019"/>
      <c r="AA119" s="1019"/>
      <c r="AB119" s="422"/>
      <c r="AC119" s="419"/>
      <c r="AD119" s="421"/>
      <c r="AE119" s="416">
        <f t="shared" si="16"/>
        <v>0</v>
      </c>
      <c r="AF119" s="1018"/>
      <c r="AG119" s="1019"/>
      <c r="AH119" s="1019"/>
      <c r="AI119" s="422"/>
      <c r="AJ119" s="419"/>
      <c r="AK119" s="421"/>
      <c r="AL119" s="416">
        <f t="shared" si="17"/>
        <v>0</v>
      </c>
      <c r="AM119" s="1018"/>
      <c r="AN119" s="1019"/>
      <c r="AO119" s="1019"/>
      <c r="AP119" s="422"/>
      <c r="AQ119" s="419"/>
      <c r="AR119" s="421"/>
      <c r="AS119" s="416">
        <f t="shared" si="18"/>
        <v>0</v>
      </c>
      <c r="AT119" s="1018"/>
      <c r="AU119" s="1019"/>
      <c r="AV119" s="1019"/>
      <c r="AW119" s="422"/>
      <c r="AX119" s="419"/>
      <c r="AY119" s="421"/>
      <c r="AZ119" s="417">
        <f t="shared" si="19"/>
        <v>0</v>
      </c>
    </row>
    <row r="120" spans="4:52" x14ac:dyDescent="0.25">
      <c r="D120" s="1018"/>
      <c r="E120" s="1019"/>
      <c r="F120" s="1020"/>
      <c r="G120" s="422"/>
      <c r="H120" s="419"/>
      <c r="I120" s="421"/>
      <c r="J120" s="416">
        <f t="shared" si="14"/>
        <v>0</v>
      </c>
      <c r="K120" s="1018"/>
      <c r="L120" s="1019"/>
      <c r="M120" s="1019"/>
      <c r="N120" s="422"/>
      <c r="O120" s="419"/>
      <c r="P120" s="421"/>
      <c r="Q120" s="416">
        <f t="shared" si="13"/>
        <v>0</v>
      </c>
      <c r="R120" s="1018"/>
      <c r="S120" s="1019"/>
      <c r="T120" s="1019"/>
      <c r="U120" s="422"/>
      <c r="V120" s="419"/>
      <c r="W120" s="421"/>
      <c r="X120" s="416">
        <f t="shared" si="15"/>
        <v>0</v>
      </c>
      <c r="Y120" s="1018"/>
      <c r="Z120" s="1019"/>
      <c r="AA120" s="1019"/>
      <c r="AB120" s="422"/>
      <c r="AC120" s="419"/>
      <c r="AD120" s="421"/>
      <c r="AE120" s="416">
        <f t="shared" si="16"/>
        <v>0</v>
      </c>
      <c r="AF120" s="1018"/>
      <c r="AG120" s="1019"/>
      <c r="AH120" s="1019"/>
      <c r="AI120" s="422"/>
      <c r="AJ120" s="419"/>
      <c r="AK120" s="421"/>
      <c r="AL120" s="416">
        <f t="shared" si="17"/>
        <v>0</v>
      </c>
      <c r="AM120" s="1018"/>
      <c r="AN120" s="1019"/>
      <c r="AO120" s="1019"/>
      <c r="AP120" s="422"/>
      <c r="AQ120" s="419"/>
      <c r="AR120" s="421"/>
      <c r="AS120" s="416">
        <f t="shared" si="18"/>
        <v>0</v>
      </c>
      <c r="AT120" s="1018"/>
      <c r="AU120" s="1019"/>
      <c r="AV120" s="1019"/>
      <c r="AW120" s="422"/>
      <c r="AX120" s="419"/>
      <c r="AY120" s="421"/>
      <c r="AZ120" s="417">
        <f t="shared" si="19"/>
        <v>0</v>
      </c>
    </row>
    <row r="121" spans="4:52" x14ac:dyDescent="0.25">
      <c r="D121" s="1018"/>
      <c r="E121" s="1019"/>
      <c r="F121" s="1020"/>
      <c r="G121" s="422"/>
      <c r="H121" s="419"/>
      <c r="I121" s="421"/>
      <c r="J121" s="416">
        <f t="shared" si="14"/>
        <v>0</v>
      </c>
      <c r="K121" s="1018"/>
      <c r="L121" s="1019"/>
      <c r="M121" s="1019"/>
      <c r="N121" s="422"/>
      <c r="O121" s="419"/>
      <c r="P121" s="421"/>
      <c r="Q121" s="416">
        <f t="shared" si="13"/>
        <v>0</v>
      </c>
      <c r="R121" s="1018"/>
      <c r="S121" s="1019"/>
      <c r="T121" s="1019"/>
      <c r="U121" s="422"/>
      <c r="V121" s="419"/>
      <c r="W121" s="421"/>
      <c r="X121" s="416">
        <f t="shared" si="15"/>
        <v>0</v>
      </c>
      <c r="Y121" s="1018"/>
      <c r="Z121" s="1019"/>
      <c r="AA121" s="1019"/>
      <c r="AB121" s="422"/>
      <c r="AC121" s="419"/>
      <c r="AD121" s="421"/>
      <c r="AE121" s="416">
        <f t="shared" si="16"/>
        <v>0</v>
      </c>
      <c r="AF121" s="1018"/>
      <c r="AG121" s="1019"/>
      <c r="AH121" s="1019"/>
      <c r="AI121" s="422"/>
      <c r="AJ121" s="419"/>
      <c r="AK121" s="421"/>
      <c r="AL121" s="416">
        <f t="shared" si="17"/>
        <v>0</v>
      </c>
      <c r="AM121" s="1018"/>
      <c r="AN121" s="1019"/>
      <c r="AO121" s="1019"/>
      <c r="AP121" s="422"/>
      <c r="AQ121" s="419"/>
      <c r="AR121" s="421"/>
      <c r="AS121" s="416">
        <f t="shared" si="18"/>
        <v>0</v>
      </c>
      <c r="AT121" s="1018"/>
      <c r="AU121" s="1019"/>
      <c r="AV121" s="1019"/>
      <c r="AW121" s="422"/>
      <c r="AX121" s="419"/>
      <c r="AY121" s="421"/>
      <c r="AZ121" s="417">
        <f t="shared" si="19"/>
        <v>0</v>
      </c>
    </row>
    <row r="122" spans="4:52" x14ac:dyDescent="0.25">
      <c r="D122" s="1018"/>
      <c r="E122" s="1019"/>
      <c r="F122" s="1020"/>
      <c r="G122" s="422"/>
      <c r="H122" s="419"/>
      <c r="I122" s="421"/>
      <c r="J122" s="416">
        <f t="shared" si="14"/>
        <v>0</v>
      </c>
      <c r="K122" s="1018"/>
      <c r="L122" s="1019"/>
      <c r="M122" s="1019"/>
      <c r="N122" s="422"/>
      <c r="O122" s="419"/>
      <c r="P122" s="421"/>
      <c r="Q122" s="416">
        <f t="shared" si="13"/>
        <v>0</v>
      </c>
      <c r="R122" s="1018"/>
      <c r="S122" s="1019"/>
      <c r="T122" s="1019"/>
      <c r="U122" s="422"/>
      <c r="V122" s="419"/>
      <c r="W122" s="421"/>
      <c r="X122" s="416">
        <f t="shared" si="15"/>
        <v>0</v>
      </c>
      <c r="Y122" s="1018"/>
      <c r="Z122" s="1019"/>
      <c r="AA122" s="1019"/>
      <c r="AB122" s="422"/>
      <c r="AC122" s="419"/>
      <c r="AD122" s="421"/>
      <c r="AE122" s="416">
        <f t="shared" si="16"/>
        <v>0</v>
      </c>
      <c r="AF122" s="1018"/>
      <c r="AG122" s="1019"/>
      <c r="AH122" s="1019"/>
      <c r="AI122" s="422"/>
      <c r="AJ122" s="419"/>
      <c r="AK122" s="421"/>
      <c r="AL122" s="416">
        <f t="shared" si="17"/>
        <v>0</v>
      </c>
      <c r="AM122" s="1018"/>
      <c r="AN122" s="1019"/>
      <c r="AO122" s="1019"/>
      <c r="AP122" s="422"/>
      <c r="AQ122" s="419"/>
      <c r="AR122" s="421"/>
      <c r="AS122" s="416">
        <f t="shared" si="18"/>
        <v>0</v>
      </c>
      <c r="AT122" s="1018"/>
      <c r="AU122" s="1019"/>
      <c r="AV122" s="1019"/>
      <c r="AW122" s="422"/>
      <c r="AX122" s="419"/>
      <c r="AY122" s="421"/>
      <c r="AZ122" s="417">
        <f t="shared" si="19"/>
        <v>0</v>
      </c>
    </row>
  </sheetData>
  <sheetProtection sheet="1" objects="1" scenarios="1"/>
  <mergeCells count="838">
    <mergeCell ref="D122:F122"/>
    <mergeCell ref="K122:M122"/>
    <mergeCell ref="R122:T122"/>
    <mergeCell ref="AM122:AO122"/>
    <mergeCell ref="AT122:AV122"/>
    <mergeCell ref="D120:F120"/>
    <mergeCell ref="K120:M120"/>
    <mergeCell ref="R120:T120"/>
    <mergeCell ref="AM120:AO120"/>
    <mergeCell ref="AT120:AV120"/>
    <mergeCell ref="D121:F121"/>
    <mergeCell ref="K121:M121"/>
    <mergeCell ref="R121:T121"/>
    <mergeCell ref="AM121:AO121"/>
    <mergeCell ref="AT121:AV121"/>
    <mergeCell ref="Y120:AA120"/>
    <mergeCell ref="Y121:AA121"/>
    <mergeCell ref="Y122:AA122"/>
    <mergeCell ref="AF120:AH120"/>
    <mergeCell ref="AF121:AH121"/>
    <mergeCell ref="AF122:AH122"/>
    <mergeCell ref="D118:F118"/>
    <mergeCell ref="K118:M118"/>
    <mergeCell ref="R118:T118"/>
    <mergeCell ref="AM118:AO118"/>
    <mergeCell ref="AT118:AV118"/>
    <mergeCell ref="D119:F119"/>
    <mergeCell ref="K119:M119"/>
    <mergeCell ref="R119:T119"/>
    <mergeCell ref="AM119:AO119"/>
    <mergeCell ref="AT119:AV119"/>
    <mergeCell ref="Y118:AA118"/>
    <mergeCell ref="Y119:AA119"/>
    <mergeCell ref="AF118:AH118"/>
    <mergeCell ref="AF119:AH119"/>
    <mergeCell ref="D116:F116"/>
    <mergeCell ref="K116:M116"/>
    <mergeCell ref="R116:T116"/>
    <mergeCell ref="AM116:AO116"/>
    <mergeCell ref="AT116:AV116"/>
    <mergeCell ref="D117:F117"/>
    <mergeCell ref="K117:M117"/>
    <mergeCell ref="R117:T117"/>
    <mergeCell ref="AM117:AO117"/>
    <mergeCell ref="AT117:AV117"/>
    <mergeCell ref="Y116:AA116"/>
    <mergeCell ref="Y117:AA117"/>
    <mergeCell ref="AF116:AH116"/>
    <mergeCell ref="AF117:AH117"/>
    <mergeCell ref="D114:F114"/>
    <mergeCell ref="K114:M114"/>
    <mergeCell ref="R114:T114"/>
    <mergeCell ref="AM114:AO114"/>
    <mergeCell ref="AT114:AV114"/>
    <mergeCell ref="D115:F115"/>
    <mergeCell ref="K115:M115"/>
    <mergeCell ref="R115:T115"/>
    <mergeCell ref="AM115:AO115"/>
    <mergeCell ref="AT115:AV115"/>
    <mergeCell ref="Y114:AA114"/>
    <mergeCell ref="Y115:AA115"/>
    <mergeCell ref="AF114:AH114"/>
    <mergeCell ref="AF115:AH115"/>
    <mergeCell ref="D112:F112"/>
    <mergeCell ref="K112:M112"/>
    <mergeCell ref="R112:T112"/>
    <mergeCell ref="AM112:AO112"/>
    <mergeCell ref="AT112:AV112"/>
    <mergeCell ref="D113:F113"/>
    <mergeCell ref="K113:M113"/>
    <mergeCell ref="R113:T113"/>
    <mergeCell ref="AM113:AO113"/>
    <mergeCell ref="AT113:AV113"/>
    <mergeCell ref="Y112:AA112"/>
    <mergeCell ref="Y113:AA113"/>
    <mergeCell ref="AF112:AH112"/>
    <mergeCell ref="AF113:AH113"/>
    <mergeCell ref="D110:F110"/>
    <mergeCell ref="K110:M110"/>
    <mergeCell ref="R110:T110"/>
    <mergeCell ref="AM110:AO110"/>
    <mergeCell ref="AT110:AV110"/>
    <mergeCell ref="D111:F111"/>
    <mergeCell ref="K111:M111"/>
    <mergeCell ref="R111:T111"/>
    <mergeCell ref="AM111:AO111"/>
    <mergeCell ref="AT111:AV111"/>
    <mergeCell ref="Y110:AA110"/>
    <mergeCell ref="Y111:AA111"/>
    <mergeCell ref="AF110:AH110"/>
    <mergeCell ref="AF111:AH111"/>
    <mergeCell ref="D108:F108"/>
    <mergeCell ref="K108:M108"/>
    <mergeCell ref="R108:T108"/>
    <mergeCell ref="AM108:AO108"/>
    <mergeCell ref="AT108:AV108"/>
    <mergeCell ref="D109:F109"/>
    <mergeCell ref="K109:M109"/>
    <mergeCell ref="R109:T109"/>
    <mergeCell ref="AM109:AO109"/>
    <mergeCell ref="AT109:AV109"/>
    <mergeCell ref="Y108:AA108"/>
    <mergeCell ref="Y109:AA109"/>
    <mergeCell ref="AF108:AH108"/>
    <mergeCell ref="AF109:AH109"/>
    <mergeCell ref="D106:F106"/>
    <mergeCell ref="K106:M106"/>
    <mergeCell ref="R106:T106"/>
    <mergeCell ref="AM106:AO106"/>
    <mergeCell ref="AT106:AV106"/>
    <mergeCell ref="D107:F107"/>
    <mergeCell ref="K107:M107"/>
    <mergeCell ref="R107:T107"/>
    <mergeCell ref="AM107:AO107"/>
    <mergeCell ref="AT107:AV107"/>
    <mergeCell ref="Y106:AA106"/>
    <mergeCell ref="Y107:AA107"/>
    <mergeCell ref="AF106:AH106"/>
    <mergeCell ref="AF107:AH107"/>
    <mergeCell ref="D104:F104"/>
    <mergeCell ref="K104:M104"/>
    <mergeCell ref="R104:T104"/>
    <mergeCell ref="AM104:AO104"/>
    <mergeCell ref="AT104:AV104"/>
    <mergeCell ref="D105:F105"/>
    <mergeCell ref="K105:M105"/>
    <mergeCell ref="R105:T105"/>
    <mergeCell ref="AM105:AO105"/>
    <mergeCell ref="AT105:AV105"/>
    <mergeCell ref="Y104:AA104"/>
    <mergeCell ref="Y105:AA105"/>
    <mergeCell ref="AF104:AH104"/>
    <mergeCell ref="AF105:AH105"/>
    <mergeCell ref="D102:F102"/>
    <mergeCell ref="K102:M102"/>
    <mergeCell ref="R102:T102"/>
    <mergeCell ref="AM102:AO102"/>
    <mergeCell ref="AT102:AV102"/>
    <mergeCell ref="D103:F103"/>
    <mergeCell ref="K103:M103"/>
    <mergeCell ref="R103:T103"/>
    <mergeCell ref="AM103:AO103"/>
    <mergeCell ref="AT103:AV103"/>
    <mergeCell ref="Y102:AA102"/>
    <mergeCell ref="Y103:AA103"/>
    <mergeCell ref="AF102:AH102"/>
    <mergeCell ref="AF103:AH103"/>
    <mergeCell ref="D100:F100"/>
    <mergeCell ref="K100:M100"/>
    <mergeCell ref="R100:T100"/>
    <mergeCell ref="AM100:AO100"/>
    <mergeCell ref="AT100:AV100"/>
    <mergeCell ref="D101:F101"/>
    <mergeCell ref="K101:M101"/>
    <mergeCell ref="R101:T101"/>
    <mergeCell ref="AM101:AO101"/>
    <mergeCell ref="AT101:AV101"/>
    <mergeCell ref="Y100:AA100"/>
    <mergeCell ref="Y101:AA101"/>
    <mergeCell ref="AF100:AH100"/>
    <mergeCell ref="AF101:AH101"/>
    <mergeCell ref="D98:F98"/>
    <mergeCell ref="K98:M98"/>
    <mergeCell ref="R98:T98"/>
    <mergeCell ref="AM98:AO98"/>
    <mergeCell ref="AT98:AV98"/>
    <mergeCell ref="D99:F99"/>
    <mergeCell ref="K99:M99"/>
    <mergeCell ref="R99:T99"/>
    <mergeCell ref="AM99:AO99"/>
    <mergeCell ref="AT99:AV99"/>
    <mergeCell ref="Y98:AA98"/>
    <mergeCell ref="Y99:AA99"/>
    <mergeCell ref="AF98:AH98"/>
    <mergeCell ref="AF99:AH99"/>
    <mergeCell ref="D96:F96"/>
    <mergeCell ref="K96:M96"/>
    <mergeCell ref="R96:T96"/>
    <mergeCell ref="AM96:AO96"/>
    <mergeCell ref="AT96:AV96"/>
    <mergeCell ref="D97:F97"/>
    <mergeCell ref="K97:M97"/>
    <mergeCell ref="R97:T97"/>
    <mergeCell ref="AM97:AO97"/>
    <mergeCell ref="AT97:AV97"/>
    <mergeCell ref="Y96:AA96"/>
    <mergeCell ref="Y97:AA97"/>
    <mergeCell ref="AF96:AH96"/>
    <mergeCell ref="AF97:AH97"/>
    <mergeCell ref="D94:F94"/>
    <mergeCell ref="K94:M94"/>
    <mergeCell ref="R94:T94"/>
    <mergeCell ref="AM94:AO94"/>
    <mergeCell ref="AT94:AV94"/>
    <mergeCell ref="D95:F95"/>
    <mergeCell ref="K95:M95"/>
    <mergeCell ref="R95:T95"/>
    <mergeCell ref="AM95:AO95"/>
    <mergeCell ref="AT95:AV95"/>
    <mergeCell ref="Y94:AA94"/>
    <mergeCell ref="Y95:AA95"/>
    <mergeCell ref="AF94:AH94"/>
    <mergeCell ref="AF95:AH95"/>
    <mergeCell ref="D92:F92"/>
    <mergeCell ref="K92:M92"/>
    <mergeCell ref="R92:T92"/>
    <mergeCell ref="AM92:AO92"/>
    <mergeCell ref="AT92:AV92"/>
    <mergeCell ref="D93:F93"/>
    <mergeCell ref="K93:M93"/>
    <mergeCell ref="R93:T93"/>
    <mergeCell ref="AM93:AO93"/>
    <mergeCell ref="AT93:AV93"/>
    <mergeCell ref="Y92:AA92"/>
    <mergeCell ref="Y93:AA93"/>
    <mergeCell ref="AF92:AH92"/>
    <mergeCell ref="AF93:AH93"/>
    <mergeCell ref="D90:F90"/>
    <mergeCell ref="K90:M90"/>
    <mergeCell ref="R90:T90"/>
    <mergeCell ref="AM90:AO90"/>
    <mergeCell ref="AT90:AV90"/>
    <mergeCell ref="D91:F91"/>
    <mergeCell ref="K91:M91"/>
    <mergeCell ref="R91:T91"/>
    <mergeCell ref="AM91:AO91"/>
    <mergeCell ref="AT91:AV91"/>
    <mergeCell ref="Y90:AA90"/>
    <mergeCell ref="Y91:AA91"/>
    <mergeCell ref="AF90:AH90"/>
    <mergeCell ref="AF91:AH91"/>
    <mergeCell ref="D88:F88"/>
    <mergeCell ref="K88:M88"/>
    <mergeCell ref="R88:T88"/>
    <mergeCell ref="AM88:AO88"/>
    <mergeCell ref="AT88:AV88"/>
    <mergeCell ref="D89:F89"/>
    <mergeCell ref="K89:M89"/>
    <mergeCell ref="R89:T89"/>
    <mergeCell ref="AM89:AO89"/>
    <mergeCell ref="AT89:AV89"/>
    <mergeCell ref="Y88:AA88"/>
    <mergeCell ref="Y89:AA89"/>
    <mergeCell ref="AF88:AH88"/>
    <mergeCell ref="AF89:AH89"/>
    <mergeCell ref="D86:F86"/>
    <mergeCell ref="K86:M86"/>
    <mergeCell ref="R86:T86"/>
    <mergeCell ref="AM86:AO86"/>
    <mergeCell ref="AT86:AV86"/>
    <mergeCell ref="D87:F87"/>
    <mergeCell ref="K87:M87"/>
    <mergeCell ref="R87:T87"/>
    <mergeCell ref="AM87:AO87"/>
    <mergeCell ref="AT87:AV87"/>
    <mergeCell ref="Y86:AA86"/>
    <mergeCell ref="Y87:AA87"/>
    <mergeCell ref="AF86:AH86"/>
    <mergeCell ref="AF87:AH87"/>
    <mergeCell ref="D84:F84"/>
    <mergeCell ref="K84:M84"/>
    <mergeCell ref="R84:T84"/>
    <mergeCell ref="AM84:AO84"/>
    <mergeCell ref="AT84:AV84"/>
    <mergeCell ref="D85:F85"/>
    <mergeCell ref="K85:M85"/>
    <mergeCell ref="R85:T85"/>
    <mergeCell ref="AM85:AO85"/>
    <mergeCell ref="AT85:AV85"/>
    <mergeCell ref="Y84:AA84"/>
    <mergeCell ref="Y85:AA85"/>
    <mergeCell ref="AF84:AH84"/>
    <mergeCell ref="AF85:AH85"/>
    <mergeCell ref="D82:F82"/>
    <mergeCell ref="K82:M82"/>
    <mergeCell ref="R82:T82"/>
    <mergeCell ref="AM82:AO82"/>
    <mergeCell ref="AT82:AV82"/>
    <mergeCell ref="D83:F83"/>
    <mergeCell ref="K83:M83"/>
    <mergeCell ref="R83:T83"/>
    <mergeCell ref="AM83:AO83"/>
    <mergeCell ref="AT83:AV83"/>
    <mergeCell ref="Y82:AA82"/>
    <mergeCell ref="Y83:AA83"/>
    <mergeCell ref="AF82:AH82"/>
    <mergeCell ref="AF83:AH83"/>
    <mergeCell ref="D80:F80"/>
    <mergeCell ref="K80:M80"/>
    <mergeCell ref="R80:T80"/>
    <mergeCell ref="AM80:AO80"/>
    <mergeCell ref="AT80:AV80"/>
    <mergeCell ref="D81:F81"/>
    <mergeCell ref="K81:M81"/>
    <mergeCell ref="R81:T81"/>
    <mergeCell ref="AM81:AO81"/>
    <mergeCell ref="AT81:AV81"/>
    <mergeCell ref="Y80:AA80"/>
    <mergeCell ref="Y81:AA81"/>
    <mergeCell ref="AF80:AH80"/>
    <mergeCell ref="AF81:AH81"/>
    <mergeCell ref="D78:F78"/>
    <mergeCell ref="K78:M78"/>
    <mergeCell ref="R78:T78"/>
    <mergeCell ref="AM78:AO78"/>
    <mergeCell ref="AT78:AV78"/>
    <mergeCell ref="D79:F79"/>
    <mergeCell ref="K79:M79"/>
    <mergeCell ref="R79:T79"/>
    <mergeCell ref="AM79:AO79"/>
    <mergeCell ref="AT79:AV79"/>
    <mergeCell ref="Y78:AA78"/>
    <mergeCell ref="Y79:AA79"/>
    <mergeCell ref="AF78:AH78"/>
    <mergeCell ref="AF79:AH79"/>
    <mergeCell ref="D76:F76"/>
    <mergeCell ref="K76:M76"/>
    <mergeCell ref="R76:T76"/>
    <mergeCell ref="AM76:AO76"/>
    <mergeCell ref="AT76:AV76"/>
    <mergeCell ref="D77:F77"/>
    <mergeCell ref="K77:M77"/>
    <mergeCell ref="R77:T77"/>
    <mergeCell ref="AM77:AO77"/>
    <mergeCell ref="AT77:AV77"/>
    <mergeCell ref="Y76:AA76"/>
    <mergeCell ref="Y77:AA77"/>
    <mergeCell ref="AF76:AH76"/>
    <mergeCell ref="AF77:AH77"/>
    <mergeCell ref="D74:F74"/>
    <mergeCell ref="K74:M74"/>
    <mergeCell ref="R74:T74"/>
    <mergeCell ref="AM74:AO74"/>
    <mergeCell ref="AT74:AV74"/>
    <mergeCell ref="D75:F75"/>
    <mergeCell ref="K75:M75"/>
    <mergeCell ref="R75:T75"/>
    <mergeCell ref="AM75:AO75"/>
    <mergeCell ref="AT75:AV75"/>
    <mergeCell ref="Y74:AA74"/>
    <mergeCell ref="Y75:AA75"/>
    <mergeCell ref="AF74:AH74"/>
    <mergeCell ref="AF75:AH75"/>
    <mergeCell ref="D72:F72"/>
    <mergeCell ref="K72:M72"/>
    <mergeCell ref="R72:T72"/>
    <mergeCell ref="AM72:AO72"/>
    <mergeCell ref="AT72:AV72"/>
    <mergeCell ref="D73:F73"/>
    <mergeCell ref="K73:M73"/>
    <mergeCell ref="R73:T73"/>
    <mergeCell ref="AM73:AO73"/>
    <mergeCell ref="AT73:AV73"/>
    <mergeCell ref="Y72:AA72"/>
    <mergeCell ref="Y73:AA73"/>
    <mergeCell ref="AF72:AH72"/>
    <mergeCell ref="AF73:AH73"/>
    <mergeCell ref="D70:F70"/>
    <mergeCell ref="K70:M70"/>
    <mergeCell ref="R70:T70"/>
    <mergeCell ref="AM70:AO70"/>
    <mergeCell ref="AT70:AV70"/>
    <mergeCell ref="D71:F71"/>
    <mergeCell ref="K71:M71"/>
    <mergeCell ref="R71:T71"/>
    <mergeCell ref="AM71:AO71"/>
    <mergeCell ref="AT71:AV71"/>
    <mergeCell ref="Y70:AA70"/>
    <mergeCell ref="Y71:AA71"/>
    <mergeCell ref="AF70:AH70"/>
    <mergeCell ref="AF71:AH71"/>
    <mergeCell ref="D68:F68"/>
    <mergeCell ref="K68:M68"/>
    <mergeCell ref="R68:T68"/>
    <mergeCell ref="AM68:AO68"/>
    <mergeCell ref="AT68:AV68"/>
    <mergeCell ref="D69:F69"/>
    <mergeCell ref="K69:M69"/>
    <mergeCell ref="R69:T69"/>
    <mergeCell ref="AM69:AO69"/>
    <mergeCell ref="AT69:AV69"/>
    <mergeCell ref="Y68:AA68"/>
    <mergeCell ref="Y69:AA69"/>
    <mergeCell ref="AF68:AH68"/>
    <mergeCell ref="AF69:AH69"/>
    <mergeCell ref="D66:F66"/>
    <mergeCell ref="K66:M66"/>
    <mergeCell ref="R66:T66"/>
    <mergeCell ref="AM66:AO66"/>
    <mergeCell ref="AT66:AV66"/>
    <mergeCell ref="D67:F67"/>
    <mergeCell ref="K67:M67"/>
    <mergeCell ref="R67:T67"/>
    <mergeCell ref="AM67:AO67"/>
    <mergeCell ref="AT67:AV67"/>
    <mergeCell ref="Y66:AA66"/>
    <mergeCell ref="Y67:AA67"/>
    <mergeCell ref="AF66:AH66"/>
    <mergeCell ref="AF67:AH67"/>
    <mergeCell ref="D64:F64"/>
    <mergeCell ref="K64:M64"/>
    <mergeCell ref="R64:T64"/>
    <mergeCell ref="AM64:AO64"/>
    <mergeCell ref="AT64:AV64"/>
    <mergeCell ref="D65:F65"/>
    <mergeCell ref="K65:M65"/>
    <mergeCell ref="R65:T65"/>
    <mergeCell ref="AM65:AO65"/>
    <mergeCell ref="AT65:AV65"/>
    <mergeCell ref="Y64:AA64"/>
    <mergeCell ref="Y65:AA65"/>
    <mergeCell ref="AF64:AH64"/>
    <mergeCell ref="AF65:AH65"/>
    <mergeCell ref="D62:F62"/>
    <mergeCell ref="K62:M62"/>
    <mergeCell ref="R62:T62"/>
    <mergeCell ref="AM62:AO62"/>
    <mergeCell ref="AT62:AV62"/>
    <mergeCell ref="D63:F63"/>
    <mergeCell ref="K63:M63"/>
    <mergeCell ref="R63:T63"/>
    <mergeCell ref="AM63:AO63"/>
    <mergeCell ref="AT63:AV63"/>
    <mergeCell ref="Y62:AA62"/>
    <mergeCell ref="Y63:AA63"/>
    <mergeCell ref="AF62:AH62"/>
    <mergeCell ref="AF63:AH63"/>
    <mergeCell ref="D60:F60"/>
    <mergeCell ref="K60:M60"/>
    <mergeCell ref="R60:T60"/>
    <mergeCell ref="AM60:AO60"/>
    <mergeCell ref="AT60:AV60"/>
    <mergeCell ref="D61:F61"/>
    <mergeCell ref="K61:M61"/>
    <mergeCell ref="R61:T61"/>
    <mergeCell ref="AM61:AO61"/>
    <mergeCell ref="AT61:AV61"/>
    <mergeCell ref="Y60:AA60"/>
    <mergeCell ref="Y61:AA61"/>
    <mergeCell ref="AF60:AH60"/>
    <mergeCell ref="AF61:AH61"/>
    <mergeCell ref="D58:F58"/>
    <mergeCell ref="K58:M58"/>
    <mergeCell ref="R58:T58"/>
    <mergeCell ref="AM58:AO58"/>
    <mergeCell ref="AT58:AV58"/>
    <mergeCell ref="D59:F59"/>
    <mergeCell ref="K59:M59"/>
    <mergeCell ref="R59:T59"/>
    <mergeCell ref="AM59:AO59"/>
    <mergeCell ref="AT59:AV59"/>
    <mergeCell ref="Y58:AA58"/>
    <mergeCell ref="Y59:AA59"/>
    <mergeCell ref="AF58:AH58"/>
    <mergeCell ref="AF59:AH59"/>
    <mergeCell ref="D56:F56"/>
    <mergeCell ref="K56:M56"/>
    <mergeCell ref="R56:T56"/>
    <mergeCell ref="AM56:AO56"/>
    <mergeCell ref="AT56:AV56"/>
    <mergeCell ref="D57:F57"/>
    <mergeCell ref="K57:M57"/>
    <mergeCell ref="R57:T57"/>
    <mergeCell ref="AM57:AO57"/>
    <mergeCell ref="AT57:AV57"/>
    <mergeCell ref="Y56:AA56"/>
    <mergeCell ref="Y57:AA57"/>
    <mergeCell ref="AF56:AH56"/>
    <mergeCell ref="AF57:AH57"/>
    <mergeCell ref="D54:F54"/>
    <mergeCell ref="K54:M54"/>
    <mergeCell ref="R54:T54"/>
    <mergeCell ref="AM54:AO54"/>
    <mergeCell ref="AT54:AV54"/>
    <mergeCell ref="D55:F55"/>
    <mergeCell ref="K55:M55"/>
    <mergeCell ref="R55:T55"/>
    <mergeCell ref="AM55:AO55"/>
    <mergeCell ref="AT55:AV55"/>
    <mergeCell ref="Y54:AA54"/>
    <mergeCell ref="Y55:AA55"/>
    <mergeCell ref="AF54:AH54"/>
    <mergeCell ref="AF55:AH55"/>
    <mergeCell ref="D52:F52"/>
    <mergeCell ref="K52:M52"/>
    <mergeCell ref="R52:T52"/>
    <mergeCell ref="AM52:AO52"/>
    <mergeCell ref="AT52:AV52"/>
    <mergeCell ref="D53:F53"/>
    <mergeCell ref="K53:M53"/>
    <mergeCell ref="R53:T53"/>
    <mergeCell ref="AM53:AO53"/>
    <mergeCell ref="AT53:AV53"/>
    <mergeCell ref="Y52:AA52"/>
    <mergeCell ref="Y53:AA53"/>
    <mergeCell ref="AF52:AH52"/>
    <mergeCell ref="AF53:AH53"/>
    <mergeCell ref="D50:F50"/>
    <mergeCell ref="K50:M50"/>
    <mergeCell ref="R50:T50"/>
    <mergeCell ref="AM50:AO50"/>
    <mergeCell ref="AT50:AV50"/>
    <mergeCell ref="D51:F51"/>
    <mergeCell ref="K51:M51"/>
    <mergeCell ref="R51:T51"/>
    <mergeCell ref="AM51:AO51"/>
    <mergeCell ref="AT51:AV51"/>
    <mergeCell ref="Y50:AA50"/>
    <mergeCell ref="Y51:AA51"/>
    <mergeCell ref="AF50:AH50"/>
    <mergeCell ref="AF51:AH51"/>
    <mergeCell ref="D48:F48"/>
    <mergeCell ref="K48:M48"/>
    <mergeCell ref="R48:T48"/>
    <mergeCell ref="AM48:AO48"/>
    <mergeCell ref="AT48:AV48"/>
    <mergeCell ref="D49:F49"/>
    <mergeCell ref="K49:M49"/>
    <mergeCell ref="R49:T49"/>
    <mergeCell ref="AM49:AO49"/>
    <mergeCell ref="AT49:AV49"/>
    <mergeCell ref="Y48:AA48"/>
    <mergeCell ref="Y49:AA49"/>
    <mergeCell ref="AF48:AH48"/>
    <mergeCell ref="AF49:AH49"/>
    <mergeCell ref="D46:F46"/>
    <mergeCell ref="K46:M46"/>
    <mergeCell ref="R46:T46"/>
    <mergeCell ref="AM46:AO46"/>
    <mergeCell ref="AT46:AV46"/>
    <mergeCell ref="D47:F47"/>
    <mergeCell ref="K47:M47"/>
    <mergeCell ref="R47:T47"/>
    <mergeCell ref="AM47:AO47"/>
    <mergeCell ref="AT47:AV47"/>
    <mergeCell ref="Y46:AA46"/>
    <mergeCell ref="Y47:AA47"/>
    <mergeCell ref="AF46:AH46"/>
    <mergeCell ref="AF47:AH47"/>
    <mergeCell ref="D44:F44"/>
    <mergeCell ref="K44:M44"/>
    <mergeCell ref="R44:T44"/>
    <mergeCell ref="AM44:AO44"/>
    <mergeCell ref="AT44:AV44"/>
    <mergeCell ref="D45:F45"/>
    <mergeCell ref="K45:M45"/>
    <mergeCell ref="R45:T45"/>
    <mergeCell ref="AM45:AO45"/>
    <mergeCell ref="AT45:AV45"/>
    <mergeCell ref="Y44:AA44"/>
    <mergeCell ref="Y45:AA45"/>
    <mergeCell ref="AF44:AH44"/>
    <mergeCell ref="AF45:AH45"/>
    <mergeCell ref="D42:F42"/>
    <mergeCell ref="K42:M42"/>
    <mergeCell ref="R42:T42"/>
    <mergeCell ref="AM42:AO42"/>
    <mergeCell ref="AT42:AV42"/>
    <mergeCell ref="D43:F43"/>
    <mergeCell ref="K43:M43"/>
    <mergeCell ref="R43:T43"/>
    <mergeCell ref="AM43:AO43"/>
    <mergeCell ref="AT43:AV43"/>
    <mergeCell ref="Y42:AA42"/>
    <mergeCell ref="Y43:AA43"/>
    <mergeCell ref="AF42:AH42"/>
    <mergeCell ref="AF43:AH43"/>
    <mergeCell ref="D40:F40"/>
    <mergeCell ref="K40:M40"/>
    <mergeCell ref="R40:T40"/>
    <mergeCell ref="AM40:AO40"/>
    <mergeCell ref="AT40:AV40"/>
    <mergeCell ref="D41:F41"/>
    <mergeCell ref="K41:M41"/>
    <mergeCell ref="R41:T41"/>
    <mergeCell ref="AM41:AO41"/>
    <mergeCell ref="AT41:AV41"/>
    <mergeCell ref="Y40:AA40"/>
    <mergeCell ref="Y41:AA41"/>
    <mergeCell ref="AF40:AH40"/>
    <mergeCell ref="AF41:AH41"/>
    <mergeCell ref="D38:F38"/>
    <mergeCell ref="K38:M38"/>
    <mergeCell ref="R38:T38"/>
    <mergeCell ref="AM38:AO38"/>
    <mergeCell ref="AT38:AV38"/>
    <mergeCell ref="D39:F39"/>
    <mergeCell ref="K39:M39"/>
    <mergeCell ref="R39:T39"/>
    <mergeCell ref="AM39:AO39"/>
    <mergeCell ref="AT39:AV39"/>
    <mergeCell ref="Y38:AA38"/>
    <mergeCell ref="Y39:AA39"/>
    <mergeCell ref="AF38:AH38"/>
    <mergeCell ref="AF39:AH39"/>
    <mergeCell ref="D36:F36"/>
    <mergeCell ref="K36:M36"/>
    <mergeCell ref="R36:T36"/>
    <mergeCell ref="AM36:AO36"/>
    <mergeCell ref="AT36:AV36"/>
    <mergeCell ref="D37:F37"/>
    <mergeCell ref="K37:M37"/>
    <mergeCell ref="R37:T37"/>
    <mergeCell ref="AM37:AO37"/>
    <mergeCell ref="AT37:AV37"/>
    <mergeCell ref="Y36:AA36"/>
    <mergeCell ref="Y37:AA37"/>
    <mergeCell ref="AF36:AH36"/>
    <mergeCell ref="AF37:AH37"/>
    <mergeCell ref="D34:F34"/>
    <mergeCell ref="K34:M34"/>
    <mergeCell ref="R34:T34"/>
    <mergeCell ref="AM34:AO34"/>
    <mergeCell ref="AT34:AV34"/>
    <mergeCell ref="D35:F35"/>
    <mergeCell ref="K35:M35"/>
    <mergeCell ref="R35:T35"/>
    <mergeCell ref="AM35:AO35"/>
    <mergeCell ref="AT35:AV35"/>
    <mergeCell ref="Y34:AA34"/>
    <mergeCell ref="Y35:AA35"/>
    <mergeCell ref="AF34:AH34"/>
    <mergeCell ref="AF35:AH35"/>
    <mergeCell ref="D32:F32"/>
    <mergeCell ref="K32:M32"/>
    <mergeCell ref="R32:T32"/>
    <mergeCell ref="AM32:AO32"/>
    <mergeCell ref="AT32:AV32"/>
    <mergeCell ref="D33:F33"/>
    <mergeCell ref="K33:M33"/>
    <mergeCell ref="R33:T33"/>
    <mergeCell ref="AM33:AO33"/>
    <mergeCell ref="AT33:AV33"/>
    <mergeCell ref="Y32:AA32"/>
    <mergeCell ref="Y33:AA33"/>
    <mergeCell ref="AF32:AH32"/>
    <mergeCell ref="AF33:AH33"/>
    <mergeCell ref="D30:F30"/>
    <mergeCell ref="K30:M30"/>
    <mergeCell ref="R30:T30"/>
    <mergeCell ref="AM30:AO30"/>
    <mergeCell ref="AT30:AV30"/>
    <mergeCell ref="D31:F31"/>
    <mergeCell ref="K31:M31"/>
    <mergeCell ref="R31:T31"/>
    <mergeCell ref="AM31:AO31"/>
    <mergeCell ref="AT31:AV31"/>
    <mergeCell ref="Y30:AA30"/>
    <mergeCell ref="Y31:AA31"/>
    <mergeCell ref="AF30:AH30"/>
    <mergeCell ref="AF31:AH31"/>
    <mergeCell ref="D28:F28"/>
    <mergeCell ref="K28:M28"/>
    <mergeCell ref="R28:T28"/>
    <mergeCell ref="AM28:AO28"/>
    <mergeCell ref="AT28:AV28"/>
    <mergeCell ref="D29:F29"/>
    <mergeCell ref="K29:M29"/>
    <mergeCell ref="R29:T29"/>
    <mergeCell ref="AM29:AO29"/>
    <mergeCell ref="AT29:AV29"/>
    <mergeCell ref="Y28:AA28"/>
    <mergeCell ref="Y29:AA29"/>
    <mergeCell ref="AF28:AH28"/>
    <mergeCell ref="AF29:AH29"/>
    <mergeCell ref="D26:F26"/>
    <mergeCell ref="K26:M26"/>
    <mergeCell ref="R26:T26"/>
    <mergeCell ref="AM26:AO26"/>
    <mergeCell ref="AT26:AV26"/>
    <mergeCell ref="D27:F27"/>
    <mergeCell ref="K27:M27"/>
    <mergeCell ref="R27:T27"/>
    <mergeCell ref="AM27:AO27"/>
    <mergeCell ref="AT27:AV27"/>
    <mergeCell ref="Y26:AA26"/>
    <mergeCell ref="Y27:AA27"/>
    <mergeCell ref="AF26:AH26"/>
    <mergeCell ref="AF27:AH27"/>
    <mergeCell ref="D24:F24"/>
    <mergeCell ref="K24:M24"/>
    <mergeCell ref="R24:T24"/>
    <mergeCell ref="AM24:AO24"/>
    <mergeCell ref="AT24:AV24"/>
    <mergeCell ref="D25:F25"/>
    <mergeCell ref="K25:M25"/>
    <mergeCell ref="R25:T25"/>
    <mergeCell ref="AM25:AO25"/>
    <mergeCell ref="AT25:AV25"/>
    <mergeCell ref="Y24:AA24"/>
    <mergeCell ref="Y25:AA25"/>
    <mergeCell ref="AF24:AH24"/>
    <mergeCell ref="AF25:AH25"/>
    <mergeCell ref="D23:F23"/>
    <mergeCell ref="K23:M23"/>
    <mergeCell ref="R23:T23"/>
    <mergeCell ref="AM23:AO23"/>
    <mergeCell ref="AT23:AV23"/>
    <mergeCell ref="Y22:AA22"/>
    <mergeCell ref="Y23:AA23"/>
    <mergeCell ref="AF22:AH22"/>
    <mergeCell ref="AF23:AH23"/>
    <mergeCell ref="AT21:AV21"/>
    <mergeCell ref="Y20:AA20"/>
    <mergeCell ref="Y21:AA21"/>
    <mergeCell ref="AF20:AH20"/>
    <mergeCell ref="AF21:AH21"/>
    <mergeCell ref="D22:F22"/>
    <mergeCell ref="K22:M22"/>
    <mergeCell ref="R22:T22"/>
    <mergeCell ref="AM22:AO22"/>
    <mergeCell ref="AT22:AV22"/>
    <mergeCell ref="AT18:AV18"/>
    <mergeCell ref="D19:F19"/>
    <mergeCell ref="K19:M19"/>
    <mergeCell ref="R19:T19"/>
    <mergeCell ref="AM19:AO19"/>
    <mergeCell ref="AT19:AV19"/>
    <mergeCell ref="A22:A23"/>
    <mergeCell ref="B22:B23"/>
    <mergeCell ref="D18:F18"/>
    <mergeCell ref="K18:M18"/>
    <mergeCell ref="R18:T18"/>
    <mergeCell ref="AM18:AO18"/>
    <mergeCell ref="Y18:AA18"/>
    <mergeCell ref="Y19:AA19"/>
    <mergeCell ref="AF18:AH18"/>
    <mergeCell ref="AF19:AH19"/>
    <mergeCell ref="D20:F20"/>
    <mergeCell ref="K20:M20"/>
    <mergeCell ref="R20:T20"/>
    <mergeCell ref="AM20:AO20"/>
    <mergeCell ref="AT20:AV20"/>
    <mergeCell ref="D21:F21"/>
    <mergeCell ref="K21:M21"/>
    <mergeCell ref="R21:T21"/>
    <mergeCell ref="A20:A21"/>
    <mergeCell ref="B20:B21"/>
    <mergeCell ref="D16:F16"/>
    <mergeCell ref="K16:M16"/>
    <mergeCell ref="R16:T16"/>
    <mergeCell ref="AM16:AO16"/>
    <mergeCell ref="A16:A17"/>
    <mergeCell ref="B16:B17"/>
    <mergeCell ref="Y16:AA16"/>
    <mergeCell ref="Y17:AA17"/>
    <mergeCell ref="AF16:AH16"/>
    <mergeCell ref="AF17:AH17"/>
    <mergeCell ref="AM21:AO21"/>
    <mergeCell ref="AT14:AV14"/>
    <mergeCell ref="D15:F15"/>
    <mergeCell ref="K15:M15"/>
    <mergeCell ref="R15:T15"/>
    <mergeCell ref="AM15:AO15"/>
    <mergeCell ref="AT15:AV15"/>
    <mergeCell ref="A18:A19"/>
    <mergeCell ref="B18:B19"/>
    <mergeCell ref="D14:F14"/>
    <mergeCell ref="K14:M14"/>
    <mergeCell ref="R14:T14"/>
    <mergeCell ref="AM14:AO14"/>
    <mergeCell ref="A14:A15"/>
    <mergeCell ref="B14:B15"/>
    <mergeCell ref="Y14:AA14"/>
    <mergeCell ref="Y15:AA15"/>
    <mergeCell ref="AF14:AH14"/>
    <mergeCell ref="AF15:AH15"/>
    <mergeCell ref="AT16:AV16"/>
    <mergeCell ref="D17:F17"/>
    <mergeCell ref="K17:M17"/>
    <mergeCell ref="R17:T17"/>
    <mergeCell ref="AM17:AO17"/>
    <mergeCell ref="AT17:AV17"/>
    <mergeCell ref="AT12:AV12"/>
    <mergeCell ref="D13:F13"/>
    <mergeCell ref="K13:M13"/>
    <mergeCell ref="R13:T13"/>
    <mergeCell ref="AM13:AO13"/>
    <mergeCell ref="AT13:AV13"/>
    <mergeCell ref="A12:A13"/>
    <mergeCell ref="B12:B13"/>
    <mergeCell ref="D12:F12"/>
    <mergeCell ref="K12:M12"/>
    <mergeCell ref="R12:T12"/>
    <mergeCell ref="AM12:AO12"/>
    <mergeCell ref="Y12:AA12"/>
    <mergeCell ref="Y13:AA13"/>
    <mergeCell ref="AF12:AH12"/>
    <mergeCell ref="AF13:AH13"/>
    <mergeCell ref="AT10:AV10"/>
    <mergeCell ref="D11:F11"/>
    <mergeCell ref="K11:M11"/>
    <mergeCell ref="R11:T11"/>
    <mergeCell ref="AM11:AO11"/>
    <mergeCell ref="AT11:AV11"/>
    <mergeCell ref="A10:A11"/>
    <mergeCell ref="B10:B11"/>
    <mergeCell ref="D10:F10"/>
    <mergeCell ref="K10:M10"/>
    <mergeCell ref="R10:T10"/>
    <mergeCell ref="AM10:AO10"/>
    <mergeCell ref="Y10:AA10"/>
    <mergeCell ref="Y11:AA11"/>
    <mergeCell ref="AF10:AH10"/>
    <mergeCell ref="AF11:AH11"/>
    <mergeCell ref="AT8:AV8"/>
    <mergeCell ref="D9:F9"/>
    <mergeCell ref="K9:M9"/>
    <mergeCell ref="R9:T9"/>
    <mergeCell ref="AM9:AO9"/>
    <mergeCell ref="AT9:AV9"/>
    <mergeCell ref="A8:A9"/>
    <mergeCell ref="B8:B9"/>
    <mergeCell ref="D8:F8"/>
    <mergeCell ref="K8:M8"/>
    <mergeCell ref="R8:T8"/>
    <mergeCell ref="AM8:AO8"/>
    <mergeCell ref="Y8:AA8"/>
    <mergeCell ref="Y9:AA9"/>
    <mergeCell ref="AF8:AH8"/>
    <mergeCell ref="AF9:AH9"/>
    <mergeCell ref="AP6:AQ6"/>
    <mergeCell ref="AW6:AX6"/>
    <mergeCell ref="D7:F7"/>
    <mergeCell ref="K7:M7"/>
    <mergeCell ref="R7:T7"/>
    <mergeCell ref="AM7:AO7"/>
    <mergeCell ref="AT7:AV7"/>
    <mergeCell ref="A3:B4"/>
    <mergeCell ref="A6:A7"/>
    <mergeCell ref="B6:B7"/>
    <mergeCell ref="G6:H6"/>
    <mergeCell ref="N6:O6"/>
    <mergeCell ref="U6:V6"/>
    <mergeCell ref="AB6:AC6"/>
    <mergeCell ref="Y7:AA7"/>
    <mergeCell ref="AI6:AJ6"/>
    <mergeCell ref="AF7:AH7"/>
  </mergeCells>
  <phoneticPr fontId="5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5241-DBDD-48F5-8F1C-0D6D0566BD16}">
  <sheetPr codeName="Sheet15">
    <tabColor rgb="FFFFFF00"/>
  </sheetPr>
  <dimension ref="A1:AZ122"/>
  <sheetViews>
    <sheetView zoomScale="85" zoomScaleNormal="85" workbookViewId="0">
      <pane xSplit="2" ySplit="7" topLeftCell="K8" activePane="bottomRight" state="frozen"/>
      <selection activeCell="K57" sqref="K57:Q70"/>
      <selection pane="topRight" activeCell="K57" sqref="K57:Q70"/>
      <selection pane="bottomLeft" activeCell="K57" sqref="K57:Q70"/>
      <selection pane="bottomRight" activeCell="K57" sqref="K57:Q70"/>
    </sheetView>
  </sheetViews>
  <sheetFormatPr defaultColWidth="9.140625" defaultRowHeight="16.5" x14ac:dyDescent="0.25"/>
  <cols>
    <col min="1" max="1" width="21.7109375" style="399" customWidth="1"/>
    <col min="2" max="2" width="15.85546875" style="399" customWidth="1"/>
    <col min="3" max="3" width="1.28515625" style="399" customWidth="1"/>
    <col min="4" max="4" width="8.7109375" style="399" customWidth="1"/>
    <col min="5" max="5" width="9.85546875" style="399" customWidth="1"/>
    <col min="6" max="6" width="8.7109375" style="399" customWidth="1"/>
    <col min="7" max="8" width="9.140625" style="399"/>
    <col min="9" max="9" width="10.85546875" style="399" bestFit="1" customWidth="1"/>
    <col min="10" max="10" width="14.42578125" style="399" customWidth="1"/>
    <col min="11" max="11" width="8.7109375" style="399" customWidth="1"/>
    <col min="12" max="12" width="9.85546875" style="399" customWidth="1"/>
    <col min="13" max="13" width="8.7109375" style="399" customWidth="1"/>
    <col min="14" max="16" width="9.140625" style="399"/>
    <col min="17" max="17" width="14.42578125" style="399" customWidth="1"/>
    <col min="18" max="18" width="8.7109375" style="399" customWidth="1"/>
    <col min="19" max="19" width="9.85546875" style="399" customWidth="1"/>
    <col min="20" max="20" width="8.7109375" style="399" customWidth="1"/>
    <col min="21" max="23" width="9.140625" style="399"/>
    <col min="24" max="24" width="14.42578125" style="399" customWidth="1"/>
    <col min="25" max="25" width="8.7109375" style="399" customWidth="1"/>
    <col min="26" max="26" width="9.85546875" style="399" customWidth="1"/>
    <col min="27" max="27" width="8.7109375" style="399" customWidth="1"/>
    <col min="28" max="30" width="9.140625" style="399"/>
    <col min="31" max="31" width="14.42578125" style="399" customWidth="1"/>
    <col min="32" max="32" width="8.7109375" style="399" customWidth="1"/>
    <col min="33" max="33" width="9.85546875" style="399" customWidth="1"/>
    <col min="34" max="34" width="8.7109375" style="399" customWidth="1"/>
    <col min="35" max="37" width="9.140625" style="399"/>
    <col min="38" max="38" width="14.42578125" style="399" customWidth="1"/>
    <col min="39" max="39" width="8.7109375" style="399" customWidth="1"/>
    <col min="40" max="40" width="9.85546875" style="399" customWidth="1"/>
    <col min="41" max="41" width="8.7109375" style="399" customWidth="1"/>
    <col min="42" max="44" width="9.140625" style="399"/>
    <col min="45" max="45" width="14.42578125" style="399" customWidth="1"/>
    <col min="46" max="46" width="8.7109375" style="399" customWidth="1"/>
    <col min="47" max="47" width="9.85546875" style="399" customWidth="1"/>
    <col min="48" max="48" width="8.7109375" style="399" customWidth="1"/>
    <col min="49" max="51" width="9.140625" style="399"/>
    <col min="52" max="52" width="14.42578125" style="399" customWidth="1"/>
    <col min="53" max="16384" width="9.140625" style="399"/>
  </cols>
  <sheetData>
    <row r="1" spans="1:52" ht="26.25" x14ac:dyDescent="0.25">
      <c r="A1" s="395" t="s">
        <v>244</v>
      </c>
      <c r="B1" s="396" t="s">
        <v>242</v>
      </c>
      <c r="C1" s="397"/>
      <c r="D1" s="397"/>
      <c r="E1" s="398"/>
      <c r="F1" s="398"/>
      <c r="G1" s="398"/>
      <c r="H1" s="397"/>
      <c r="I1" s="397"/>
      <c r="J1" s="397"/>
      <c r="K1" s="397"/>
      <c r="L1" s="398"/>
      <c r="M1" s="398"/>
      <c r="N1" s="398"/>
      <c r="O1" s="397"/>
      <c r="P1" s="397"/>
      <c r="Q1" s="397"/>
      <c r="R1" s="397"/>
      <c r="S1" s="398"/>
      <c r="T1" s="398"/>
      <c r="U1" s="398"/>
      <c r="V1" s="397"/>
      <c r="W1" s="397"/>
      <c r="X1" s="397"/>
      <c r="Y1" s="397"/>
      <c r="Z1" s="398"/>
      <c r="AA1" s="398"/>
      <c r="AB1" s="398"/>
      <c r="AC1" s="397"/>
      <c r="AD1" s="397"/>
      <c r="AE1" s="397"/>
      <c r="AF1" s="397"/>
      <c r="AG1" s="398"/>
      <c r="AH1" s="398"/>
      <c r="AI1" s="398"/>
      <c r="AJ1" s="397"/>
      <c r="AK1" s="397"/>
      <c r="AL1" s="397"/>
      <c r="AM1" s="397"/>
      <c r="AN1" s="398"/>
      <c r="AO1" s="398"/>
      <c r="AP1" s="398"/>
      <c r="AQ1" s="397"/>
      <c r="AR1" s="397"/>
      <c r="AS1" s="397"/>
      <c r="AT1" s="397"/>
      <c r="AU1" s="398"/>
      <c r="AV1" s="398"/>
      <c r="AW1" s="398"/>
      <c r="AX1" s="397"/>
      <c r="AY1" s="397"/>
      <c r="AZ1" s="397"/>
    </row>
    <row r="2" spans="1:52" ht="5.25" customHeight="1" x14ac:dyDescent="0.25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397"/>
      <c r="AG2" s="397"/>
      <c r="AH2" s="397"/>
      <c r="AI2" s="397"/>
      <c r="AJ2" s="397"/>
      <c r="AK2" s="397"/>
      <c r="AL2" s="397"/>
      <c r="AM2" s="397"/>
      <c r="AN2" s="397"/>
      <c r="AO2" s="397"/>
      <c r="AP2" s="397"/>
      <c r="AQ2" s="397"/>
      <c r="AR2" s="397"/>
      <c r="AS2" s="397"/>
      <c r="AT2" s="397"/>
      <c r="AU2" s="397"/>
      <c r="AV2" s="397"/>
      <c r="AW2" s="397"/>
      <c r="AX2" s="397"/>
      <c r="AY2" s="397"/>
      <c r="AZ2" s="397"/>
    </row>
    <row r="3" spans="1:52" ht="17.25" customHeight="1" x14ac:dyDescent="0.25">
      <c r="A3" s="1010" t="str">
        <f>'0.기초및고정비'!C4&amp;'0.기초및고정비'!D4&amp;A1</f>
        <v>2026년4월월말</v>
      </c>
      <c r="B3" s="1010"/>
      <c r="C3" s="397"/>
      <c r="D3" s="397"/>
      <c r="E3" s="397"/>
      <c r="F3" s="400"/>
      <c r="G3" s="400"/>
      <c r="H3" s="397"/>
      <c r="I3" s="397"/>
      <c r="J3" s="397"/>
      <c r="K3" s="397"/>
      <c r="L3" s="397"/>
      <c r="M3" s="400"/>
      <c r="N3" s="400"/>
      <c r="O3" s="397"/>
      <c r="P3" s="397"/>
      <c r="Q3" s="397"/>
      <c r="R3" s="397"/>
      <c r="S3" s="397"/>
      <c r="T3" s="400"/>
      <c r="U3" s="400"/>
      <c r="V3" s="397"/>
      <c r="W3" s="397"/>
      <c r="X3" s="397"/>
      <c r="Y3" s="397"/>
      <c r="Z3" s="397"/>
      <c r="AA3" s="400"/>
      <c r="AB3" s="400"/>
      <c r="AC3" s="397"/>
      <c r="AD3" s="397"/>
      <c r="AE3" s="397"/>
      <c r="AF3" s="397"/>
      <c r="AG3" s="397"/>
      <c r="AH3" s="400"/>
      <c r="AI3" s="400"/>
      <c r="AJ3" s="397"/>
      <c r="AK3" s="397"/>
      <c r="AL3" s="397"/>
      <c r="AM3" s="397"/>
      <c r="AN3" s="397"/>
      <c r="AO3" s="400"/>
      <c r="AP3" s="400"/>
      <c r="AQ3" s="397"/>
      <c r="AR3" s="397"/>
      <c r="AS3" s="397"/>
      <c r="AT3" s="397"/>
      <c r="AU3" s="397"/>
      <c r="AV3" s="400"/>
      <c r="AW3" s="400"/>
      <c r="AX3" s="397"/>
      <c r="AY3" s="397"/>
      <c r="AZ3" s="397"/>
    </row>
    <row r="4" spans="1:52" ht="17.25" customHeight="1" x14ac:dyDescent="0.25">
      <c r="A4" s="1010"/>
      <c r="B4" s="1010"/>
      <c r="C4" s="397"/>
      <c r="D4" s="397"/>
      <c r="E4" s="397"/>
      <c r="F4" s="400"/>
      <c r="G4" s="400"/>
      <c r="H4" s="397"/>
      <c r="I4" s="397"/>
      <c r="J4" s="397"/>
      <c r="K4" s="397"/>
      <c r="L4" s="397"/>
      <c r="M4" s="400"/>
      <c r="N4" s="400"/>
      <c r="O4" s="397"/>
      <c r="P4" s="397"/>
      <c r="Q4" s="397"/>
      <c r="R4" s="397"/>
      <c r="S4" s="397"/>
      <c r="T4" s="400"/>
      <c r="U4" s="400"/>
      <c r="V4" s="397"/>
      <c r="W4" s="397"/>
      <c r="X4" s="397"/>
      <c r="Y4" s="397"/>
      <c r="Z4" s="397"/>
      <c r="AA4" s="400"/>
      <c r="AB4" s="400"/>
      <c r="AC4" s="397"/>
      <c r="AD4" s="397"/>
      <c r="AE4" s="397"/>
      <c r="AF4" s="397"/>
      <c r="AG4" s="397"/>
      <c r="AH4" s="400"/>
      <c r="AI4" s="400"/>
      <c r="AJ4" s="397"/>
      <c r="AK4" s="397"/>
      <c r="AL4" s="397"/>
      <c r="AM4" s="397"/>
      <c r="AN4" s="397"/>
      <c r="AO4" s="400"/>
      <c r="AP4" s="400"/>
      <c r="AQ4" s="397"/>
      <c r="AR4" s="397"/>
      <c r="AS4" s="397"/>
      <c r="AT4" s="397"/>
      <c r="AU4" s="397"/>
      <c r="AV4" s="400"/>
      <c r="AW4" s="400"/>
      <c r="AX4" s="397"/>
      <c r="AY4" s="397"/>
      <c r="AZ4" s="397"/>
    </row>
    <row r="5" spans="1:52" ht="6" customHeight="1" thickBot="1" x14ac:dyDescent="0.3">
      <c r="A5" s="397"/>
      <c r="B5" s="397"/>
      <c r="C5" s="397"/>
      <c r="D5" s="401"/>
      <c r="E5" s="401"/>
      <c r="F5" s="401"/>
      <c r="G5" s="401"/>
      <c r="H5" s="397"/>
      <c r="I5" s="397"/>
      <c r="J5" s="397"/>
      <c r="K5" s="401"/>
      <c r="L5" s="401"/>
      <c r="M5" s="401"/>
      <c r="N5" s="401"/>
      <c r="O5" s="397"/>
      <c r="P5" s="397"/>
      <c r="Q5" s="397"/>
      <c r="R5" s="401"/>
      <c r="S5" s="401"/>
      <c r="T5" s="401"/>
      <c r="U5" s="401"/>
      <c r="V5" s="397"/>
      <c r="W5" s="397"/>
      <c r="X5" s="397"/>
      <c r="Y5" s="401"/>
      <c r="Z5" s="401"/>
      <c r="AA5" s="401"/>
      <c r="AB5" s="401"/>
      <c r="AC5" s="397"/>
      <c r="AD5" s="397"/>
      <c r="AE5" s="397"/>
      <c r="AF5" s="401"/>
      <c r="AG5" s="401"/>
      <c r="AH5" s="401"/>
      <c r="AI5" s="401"/>
      <c r="AJ5" s="397"/>
      <c r="AK5" s="397"/>
      <c r="AL5" s="397"/>
      <c r="AM5" s="401"/>
      <c r="AN5" s="401"/>
      <c r="AO5" s="401"/>
      <c r="AP5" s="401"/>
      <c r="AQ5" s="397"/>
      <c r="AR5" s="397"/>
      <c r="AS5" s="397"/>
      <c r="AT5" s="401"/>
      <c r="AU5" s="401"/>
      <c r="AV5" s="401"/>
      <c r="AW5" s="401"/>
      <c r="AX5" s="397"/>
      <c r="AY5" s="397"/>
      <c r="AZ5" s="397"/>
    </row>
    <row r="6" spans="1:52" ht="21" customHeight="1" x14ac:dyDescent="0.25">
      <c r="A6" s="1011" t="s">
        <v>207</v>
      </c>
      <c r="B6" s="1013" t="s">
        <v>208</v>
      </c>
      <c r="C6" s="397"/>
      <c r="D6" s="402" t="s">
        <v>209</v>
      </c>
      <c r="E6" s="403" t="s">
        <v>248</v>
      </c>
      <c r="F6" s="402" t="s">
        <v>210</v>
      </c>
      <c r="G6" s="1006" t="s">
        <v>249</v>
      </c>
      <c r="H6" s="1006"/>
      <c r="I6" s="404"/>
      <c r="J6" s="405">
        <f>SUM(J8:J122)</f>
        <v>0</v>
      </c>
      <c r="K6" s="406" t="s">
        <v>209</v>
      </c>
      <c r="L6" s="403" t="s">
        <v>250</v>
      </c>
      <c r="M6" s="402" t="s">
        <v>210</v>
      </c>
      <c r="N6" s="1006" t="s">
        <v>252</v>
      </c>
      <c r="O6" s="1006"/>
      <c r="P6" s="404"/>
      <c r="Q6" s="405">
        <f>SUM(Q8:Q122)</f>
        <v>0</v>
      </c>
      <c r="R6" s="406" t="s">
        <v>209</v>
      </c>
      <c r="S6" s="403" t="s">
        <v>251</v>
      </c>
      <c r="T6" s="402" t="s">
        <v>210</v>
      </c>
      <c r="U6" s="1006" t="s">
        <v>211</v>
      </c>
      <c r="V6" s="1006"/>
      <c r="W6" s="404"/>
      <c r="X6" s="405">
        <f>SUM(X8:X122)</f>
        <v>0</v>
      </c>
      <c r="Y6" s="406" t="s">
        <v>209</v>
      </c>
      <c r="Z6" s="403">
        <f>'4.데일리단가원재료'!H1</f>
        <v>0</v>
      </c>
      <c r="AA6" s="402" t="s">
        <v>210</v>
      </c>
      <c r="AB6" s="1006">
        <f>'4.데일리단가원재료'!L1</f>
        <v>0</v>
      </c>
      <c r="AC6" s="1006"/>
      <c r="AD6" s="404"/>
      <c r="AE6" s="405">
        <f>SUM(AE8:AE122)</f>
        <v>0</v>
      </c>
      <c r="AF6" s="406" t="s">
        <v>209</v>
      </c>
      <c r="AG6" s="403">
        <f>'4.데일리단가원재료2'!H1</f>
        <v>0</v>
      </c>
      <c r="AH6" s="402" t="s">
        <v>210</v>
      </c>
      <c r="AI6" s="1006">
        <f>'4.데일리단가원재료2'!L1</f>
        <v>0</v>
      </c>
      <c r="AJ6" s="1006"/>
      <c r="AK6" s="404"/>
      <c r="AL6" s="405">
        <f>SUM(AL8:AL122)</f>
        <v>0</v>
      </c>
      <c r="AM6" s="406" t="s">
        <v>209</v>
      </c>
      <c r="AN6" s="403" t="s">
        <v>212</v>
      </c>
      <c r="AO6" s="402" t="s">
        <v>210</v>
      </c>
      <c r="AP6" s="1006" t="s">
        <v>213</v>
      </c>
      <c r="AQ6" s="1006"/>
      <c r="AR6" s="404"/>
      <c r="AS6" s="405">
        <f>SUM(AS8:AS122)</f>
        <v>0</v>
      </c>
      <c r="AT6" s="406" t="s">
        <v>209</v>
      </c>
      <c r="AU6" s="403" t="s">
        <v>214</v>
      </c>
      <c r="AV6" s="402" t="s">
        <v>210</v>
      </c>
      <c r="AW6" s="1006" t="s">
        <v>215</v>
      </c>
      <c r="AX6" s="1006"/>
      <c r="AY6" s="404"/>
      <c r="AZ6" s="407">
        <f>SUM(AZ8:AZ122)</f>
        <v>0</v>
      </c>
    </row>
    <row r="7" spans="1:52" ht="17.25" customHeight="1" thickBot="1" x14ac:dyDescent="0.3">
      <c r="A7" s="1012"/>
      <c r="B7" s="1014"/>
      <c r="C7" s="397"/>
      <c r="D7" s="1007" t="s">
        <v>216</v>
      </c>
      <c r="E7" s="1008"/>
      <c r="F7" s="1009"/>
      <c r="G7" s="409" t="s">
        <v>217</v>
      </c>
      <c r="H7" s="408" t="s">
        <v>218</v>
      </c>
      <c r="I7" s="410" t="s">
        <v>219</v>
      </c>
      <c r="J7" s="411" t="s">
        <v>178</v>
      </c>
      <c r="K7" s="1007" t="s">
        <v>216</v>
      </c>
      <c r="L7" s="1008"/>
      <c r="M7" s="1008"/>
      <c r="N7" s="409" t="s">
        <v>217</v>
      </c>
      <c r="O7" s="408" t="s">
        <v>218</v>
      </c>
      <c r="P7" s="410" t="s">
        <v>219</v>
      </c>
      <c r="Q7" s="411" t="s">
        <v>178</v>
      </c>
      <c r="R7" s="1007" t="s">
        <v>216</v>
      </c>
      <c r="S7" s="1008"/>
      <c r="T7" s="1008"/>
      <c r="U7" s="409" t="s">
        <v>217</v>
      </c>
      <c r="V7" s="408" t="s">
        <v>218</v>
      </c>
      <c r="W7" s="410" t="s">
        <v>219</v>
      </c>
      <c r="X7" s="411" t="s">
        <v>178</v>
      </c>
      <c r="Y7" s="1007" t="s">
        <v>216</v>
      </c>
      <c r="Z7" s="1008"/>
      <c r="AA7" s="1008"/>
      <c r="AB7" s="409" t="s">
        <v>217</v>
      </c>
      <c r="AC7" s="408" t="s">
        <v>218</v>
      </c>
      <c r="AD7" s="410" t="s">
        <v>219</v>
      </c>
      <c r="AE7" s="411" t="s">
        <v>178</v>
      </c>
      <c r="AF7" s="1007" t="s">
        <v>216</v>
      </c>
      <c r="AG7" s="1008"/>
      <c r="AH7" s="1008"/>
      <c r="AI7" s="409" t="s">
        <v>217</v>
      </c>
      <c r="AJ7" s="408" t="s">
        <v>218</v>
      </c>
      <c r="AK7" s="410" t="s">
        <v>219</v>
      </c>
      <c r="AL7" s="411" t="s">
        <v>178</v>
      </c>
      <c r="AM7" s="1007" t="s">
        <v>216</v>
      </c>
      <c r="AN7" s="1008"/>
      <c r="AO7" s="1008"/>
      <c r="AP7" s="409" t="s">
        <v>217</v>
      </c>
      <c r="AQ7" s="408" t="s">
        <v>218</v>
      </c>
      <c r="AR7" s="410" t="s">
        <v>219</v>
      </c>
      <c r="AS7" s="411" t="s">
        <v>178</v>
      </c>
      <c r="AT7" s="1007" t="s">
        <v>216</v>
      </c>
      <c r="AU7" s="1008"/>
      <c r="AV7" s="1008"/>
      <c r="AW7" s="409" t="s">
        <v>217</v>
      </c>
      <c r="AX7" s="408" t="s">
        <v>218</v>
      </c>
      <c r="AY7" s="410" t="s">
        <v>219</v>
      </c>
      <c r="AZ7" s="412" t="s">
        <v>178</v>
      </c>
    </row>
    <row r="8" spans="1:52" ht="16.5" customHeight="1" x14ac:dyDescent="0.25">
      <c r="A8" s="1023" t="s">
        <v>245</v>
      </c>
      <c r="B8" s="1025">
        <f>J6</f>
        <v>0</v>
      </c>
      <c r="C8" s="397"/>
      <c r="D8" s="1017" t="s">
        <v>291</v>
      </c>
      <c r="E8" s="1027"/>
      <c r="F8" s="1028"/>
      <c r="G8" s="413" t="s">
        <v>374</v>
      </c>
      <c r="H8" s="414"/>
      <c r="I8" s="415"/>
      <c r="J8" s="416">
        <f>H8*I8</f>
        <v>0</v>
      </c>
      <c r="K8" s="1015" t="s">
        <v>376</v>
      </c>
      <c r="L8" s="1016"/>
      <c r="M8" s="1017"/>
      <c r="N8" s="413" t="s">
        <v>292</v>
      </c>
      <c r="O8" s="414"/>
      <c r="P8" s="415"/>
      <c r="Q8" s="416">
        <f t="shared" ref="Q8:Q46" si="0">O8*P8</f>
        <v>0</v>
      </c>
      <c r="R8" s="1015"/>
      <c r="S8" s="1016"/>
      <c r="T8" s="1017"/>
      <c r="U8" s="413"/>
      <c r="V8" s="414"/>
      <c r="W8" s="415"/>
      <c r="X8" s="416">
        <f>V8*W8</f>
        <v>0</v>
      </c>
      <c r="Y8" s="1015"/>
      <c r="Z8" s="1016"/>
      <c r="AA8" s="1017"/>
      <c r="AB8" s="413"/>
      <c r="AC8" s="414"/>
      <c r="AD8" s="415"/>
      <c r="AE8" s="416">
        <f>AC8*AD8</f>
        <v>0</v>
      </c>
      <c r="AF8" s="1015"/>
      <c r="AG8" s="1016"/>
      <c r="AH8" s="1017"/>
      <c r="AI8" s="413"/>
      <c r="AJ8" s="414"/>
      <c r="AK8" s="415"/>
      <c r="AL8" s="416">
        <f>AJ8*AK8</f>
        <v>0</v>
      </c>
      <c r="AM8" s="1015" t="s">
        <v>260</v>
      </c>
      <c r="AN8" s="1016"/>
      <c r="AO8" s="1017"/>
      <c r="AP8" s="413" t="s">
        <v>261</v>
      </c>
      <c r="AQ8" s="414"/>
      <c r="AR8" s="415">
        <v>43700</v>
      </c>
      <c r="AS8" s="416">
        <f>AQ8*AR8</f>
        <v>0</v>
      </c>
      <c r="AT8" s="1015" t="s">
        <v>286</v>
      </c>
      <c r="AU8" s="1016"/>
      <c r="AV8" s="1017"/>
      <c r="AW8" s="413" t="s">
        <v>261</v>
      </c>
      <c r="AX8" s="414"/>
      <c r="AY8" s="415">
        <v>20000</v>
      </c>
      <c r="AZ8" s="417">
        <f>AX8*AY8</f>
        <v>0</v>
      </c>
    </row>
    <row r="9" spans="1:52" ht="16.5" customHeight="1" x14ac:dyDescent="0.25">
      <c r="A9" s="1024"/>
      <c r="B9" s="1026"/>
      <c r="C9" s="397"/>
      <c r="D9" s="1018" t="s">
        <v>293</v>
      </c>
      <c r="E9" s="1019"/>
      <c r="F9" s="1020"/>
      <c r="G9" s="418" t="s">
        <v>374</v>
      </c>
      <c r="H9" s="419"/>
      <c r="I9" s="420"/>
      <c r="J9" s="416">
        <f t="shared" ref="J9:J72" si="1">H9*I9</f>
        <v>0</v>
      </c>
      <c r="K9" s="1021" t="s">
        <v>377</v>
      </c>
      <c r="L9" s="1022"/>
      <c r="M9" s="1018"/>
      <c r="N9" s="418" t="s">
        <v>292</v>
      </c>
      <c r="O9" s="419"/>
      <c r="P9" s="420"/>
      <c r="Q9" s="416">
        <f t="shared" si="0"/>
        <v>0</v>
      </c>
      <c r="R9" s="1021"/>
      <c r="S9" s="1022"/>
      <c r="T9" s="1018"/>
      <c r="U9" s="418"/>
      <c r="V9" s="419"/>
      <c r="W9" s="420"/>
      <c r="X9" s="416">
        <f t="shared" ref="X9:X72" si="2">V9*W9</f>
        <v>0</v>
      </c>
      <c r="Y9" s="1021"/>
      <c r="Z9" s="1022"/>
      <c r="AA9" s="1018"/>
      <c r="AB9" s="418"/>
      <c r="AC9" s="419"/>
      <c r="AD9" s="420"/>
      <c r="AE9" s="416">
        <f t="shared" ref="AE9:AE72" si="3">AC9*AD9</f>
        <v>0</v>
      </c>
      <c r="AF9" s="1021"/>
      <c r="AG9" s="1022"/>
      <c r="AH9" s="1018"/>
      <c r="AI9" s="418"/>
      <c r="AJ9" s="419"/>
      <c r="AK9" s="420"/>
      <c r="AL9" s="416">
        <f t="shared" ref="AL9:AL72" si="4">AJ9*AK9</f>
        <v>0</v>
      </c>
      <c r="AM9" s="1021" t="s">
        <v>262</v>
      </c>
      <c r="AN9" s="1022"/>
      <c r="AO9" s="1018"/>
      <c r="AP9" s="418" t="s">
        <v>261</v>
      </c>
      <c r="AQ9" s="419"/>
      <c r="AR9" s="420">
        <v>43700</v>
      </c>
      <c r="AS9" s="416">
        <f t="shared" ref="AS9:AS72" si="5">AQ9*AR9</f>
        <v>0</v>
      </c>
      <c r="AT9" s="1021" t="s">
        <v>287</v>
      </c>
      <c r="AU9" s="1022"/>
      <c r="AV9" s="1018"/>
      <c r="AW9" s="418" t="s">
        <v>288</v>
      </c>
      <c r="AX9" s="419"/>
      <c r="AY9" s="420">
        <v>20000</v>
      </c>
      <c r="AZ9" s="417">
        <f t="shared" ref="AZ9:AZ72" si="6">AX9*AY9</f>
        <v>0</v>
      </c>
    </row>
    <row r="10" spans="1:52" ht="16.5" customHeight="1" x14ac:dyDescent="0.25">
      <c r="A10" s="1024" t="s">
        <v>246</v>
      </c>
      <c r="B10" s="1029">
        <f>Q6</f>
        <v>0</v>
      </c>
      <c r="C10" s="397"/>
      <c r="D10" s="1018" t="s">
        <v>294</v>
      </c>
      <c r="E10" s="1019"/>
      <c r="F10" s="1020"/>
      <c r="G10" s="418" t="s">
        <v>295</v>
      </c>
      <c r="H10" s="419"/>
      <c r="I10" s="420"/>
      <c r="J10" s="416">
        <f t="shared" si="1"/>
        <v>0</v>
      </c>
      <c r="K10" s="1021" t="s">
        <v>378</v>
      </c>
      <c r="L10" s="1022"/>
      <c r="M10" s="1018"/>
      <c r="N10" s="418" t="s">
        <v>315</v>
      </c>
      <c r="O10" s="419"/>
      <c r="P10" s="420"/>
      <c r="Q10" s="416">
        <f t="shared" si="0"/>
        <v>0</v>
      </c>
      <c r="R10" s="1021"/>
      <c r="S10" s="1022"/>
      <c r="T10" s="1018"/>
      <c r="U10" s="418"/>
      <c r="V10" s="419"/>
      <c r="W10" s="420"/>
      <c r="X10" s="416">
        <f t="shared" si="2"/>
        <v>0</v>
      </c>
      <c r="Y10" s="1021"/>
      <c r="Z10" s="1022"/>
      <c r="AA10" s="1018"/>
      <c r="AB10" s="418"/>
      <c r="AC10" s="419"/>
      <c r="AD10" s="420"/>
      <c r="AE10" s="416">
        <f t="shared" si="3"/>
        <v>0</v>
      </c>
      <c r="AF10" s="1021"/>
      <c r="AG10" s="1022"/>
      <c r="AH10" s="1018"/>
      <c r="AI10" s="418"/>
      <c r="AJ10" s="419"/>
      <c r="AK10" s="420"/>
      <c r="AL10" s="416">
        <f t="shared" si="4"/>
        <v>0</v>
      </c>
      <c r="AM10" s="1021" t="s">
        <v>263</v>
      </c>
      <c r="AN10" s="1022"/>
      <c r="AO10" s="1018"/>
      <c r="AP10" s="418" t="s">
        <v>261</v>
      </c>
      <c r="AQ10" s="419"/>
      <c r="AR10" s="420">
        <v>43900</v>
      </c>
      <c r="AS10" s="416">
        <f t="shared" si="5"/>
        <v>0</v>
      </c>
      <c r="AT10" s="1021" t="s">
        <v>289</v>
      </c>
      <c r="AU10" s="1022"/>
      <c r="AV10" s="1018"/>
      <c r="AW10" s="418" t="s">
        <v>288</v>
      </c>
      <c r="AX10" s="419"/>
      <c r="AY10" s="420">
        <v>17000</v>
      </c>
      <c r="AZ10" s="417">
        <f t="shared" si="6"/>
        <v>0</v>
      </c>
    </row>
    <row r="11" spans="1:52" ht="16.5" customHeight="1" x14ac:dyDescent="0.25">
      <c r="A11" s="1024"/>
      <c r="B11" s="1026"/>
      <c r="C11" s="397"/>
      <c r="D11" s="1018" t="s">
        <v>421</v>
      </c>
      <c r="E11" s="1019"/>
      <c r="F11" s="1020"/>
      <c r="G11" s="418" t="s">
        <v>374</v>
      </c>
      <c r="H11" s="419"/>
      <c r="I11" s="420"/>
      <c r="J11" s="416">
        <f t="shared" si="1"/>
        <v>0</v>
      </c>
      <c r="K11" s="1018" t="s">
        <v>379</v>
      </c>
      <c r="L11" s="1019"/>
      <c r="M11" s="1019"/>
      <c r="N11" s="418" t="s">
        <v>315</v>
      </c>
      <c r="O11" s="419"/>
      <c r="P11" s="420"/>
      <c r="Q11" s="416">
        <f t="shared" si="0"/>
        <v>0</v>
      </c>
      <c r="R11" s="1018"/>
      <c r="S11" s="1019"/>
      <c r="T11" s="1019"/>
      <c r="U11" s="418"/>
      <c r="V11" s="419"/>
      <c r="W11" s="420"/>
      <c r="X11" s="416">
        <f t="shared" si="2"/>
        <v>0</v>
      </c>
      <c r="Y11" s="1018"/>
      <c r="Z11" s="1019"/>
      <c r="AA11" s="1019"/>
      <c r="AB11" s="418"/>
      <c r="AC11" s="419"/>
      <c r="AD11" s="420"/>
      <c r="AE11" s="416">
        <f t="shared" si="3"/>
        <v>0</v>
      </c>
      <c r="AF11" s="1018"/>
      <c r="AG11" s="1019"/>
      <c r="AH11" s="1019"/>
      <c r="AI11" s="418"/>
      <c r="AJ11" s="419"/>
      <c r="AK11" s="420"/>
      <c r="AL11" s="416">
        <f t="shared" si="4"/>
        <v>0</v>
      </c>
      <c r="AM11" s="1018" t="s">
        <v>264</v>
      </c>
      <c r="AN11" s="1019"/>
      <c r="AO11" s="1019"/>
      <c r="AP11" s="418" t="s">
        <v>261</v>
      </c>
      <c r="AQ11" s="419"/>
      <c r="AR11" s="420">
        <v>43900</v>
      </c>
      <c r="AS11" s="416">
        <f t="shared" si="5"/>
        <v>0</v>
      </c>
      <c r="AT11" s="1018" t="s">
        <v>290</v>
      </c>
      <c r="AU11" s="1019"/>
      <c r="AV11" s="1019"/>
      <c r="AW11" s="418" t="s">
        <v>288</v>
      </c>
      <c r="AX11" s="419"/>
      <c r="AY11" s="420">
        <v>16000</v>
      </c>
      <c r="AZ11" s="417">
        <f t="shared" si="6"/>
        <v>0</v>
      </c>
    </row>
    <row r="12" spans="1:52" ht="16.5" customHeight="1" x14ac:dyDescent="0.25">
      <c r="A12" s="1024" t="s">
        <v>247</v>
      </c>
      <c r="B12" s="1029">
        <f>X6</f>
        <v>0</v>
      </c>
      <c r="C12" s="397"/>
      <c r="D12" s="1018" t="s">
        <v>296</v>
      </c>
      <c r="E12" s="1019"/>
      <c r="F12" s="1020"/>
      <c r="G12" s="418" t="s">
        <v>295</v>
      </c>
      <c r="H12" s="419"/>
      <c r="I12" s="420"/>
      <c r="J12" s="416">
        <f t="shared" si="1"/>
        <v>0</v>
      </c>
      <c r="K12" s="1018" t="s">
        <v>380</v>
      </c>
      <c r="L12" s="1019"/>
      <c r="M12" s="1019"/>
      <c r="N12" s="418" t="s">
        <v>315</v>
      </c>
      <c r="O12" s="419"/>
      <c r="P12" s="420"/>
      <c r="Q12" s="416">
        <f t="shared" si="0"/>
        <v>0</v>
      </c>
      <c r="R12" s="1018"/>
      <c r="S12" s="1019"/>
      <c r="T12" s="1019"/>
      <c r="U12" s="418"/>
      <c r="V12" s="419"/>
      <c r="W12" s="420"/>
      <c r="X12" s="416">
        <f t="shared" si="2"/>
        <v>0</v>
      </c>
      <c r="Y12" s="1018"/>
      <c r="Z12" s="1019"/>
      <c r="AA12" s="1019"/>
      <c r="AB12" s="418"/>
      <c r="AC12" s="419"/>
      <c r="AD12" s="420"/>
      <c r="AE12" s="416">
        <f t="shared" si="3"/>
        <v>0</v>
      </c>
      <c r="AF12" s="1018"/>
      <c r="AG12" s="1019"/>
      <c r="AH12" s="1019"/>
      <c r="AI12" s="418"/>
      <c r="AJ12" s="419"/>
      <c r="AK12" s="420"/>
      <c r="AL12" s="416">
        <f t="shared" si="4"/>
        <v>0</v>
      </c>
      <c r="AM12" s="1018" t="s">
        <v>265</v>
      </c>
      <c r="AN12" s="1019"/>
      <c r="AO12" s="1019"/>
      <c r="AP12" s="418" t="s">
        <v>266</v>
      </c>
      <c r="AQ12" s="419"/>
      <c r="AR12" s="420">
        <v>57500</v>
      </c>
      <c r="AS12" s="416">
        <f t="shared" si="5"/>
        <v>0</v>
      </c>
      <c r="AT12" s="1018"/>
      <c r="AU12" s="1019"/>
      <c r="AV12" s="1019"/>
      <c r="AW12" s="418"/>
      <c r="AX12" s="419"/>
      <c r="AY12" s="420"/>
      <c r="AZ12" s="417">
        <f t="shared" si="6"/>
        <v>0</v>
      </c>
    </row>
    <row r="13" spans="1:52" ht="16.5" customHeight="1" x14ac:dyDescent="0.25">
      <c r="A13" s="1024"/>
      <c r="B13" s="1026"/>
      <c r="C13" s="397"/>
      <c r="D13" s="1018" t="s">
        <v>297</v>
      </c>
      <c r="E13" s="1019"/>
      <c r="F13" s="1020"/>
      <c r="G13" s="418" t="s">
        <v>295</v>
      </c>
      <c r="H13" s="419"/>
      <c r="I13" s="420"/>
      <c r="J13" s="416">
        <f t="shared" si="1"/>
        <v>0</v>
      </c>
      <c r="K13" s="1018" t="s">
        <v>381</v>
      </c>
      <c r="L13" s="1019"/>
      <c r="M13" s="1019"/>
      <c r="N13" s="418" t="s">
        <v>382</v>
      </c>
      <c r="O13" s="419"/>
      <c r="P13" s="420"/>
      <c r="Q13" s="416">
        <f t="shared" si="0"/>
        <v>0</v>
      </c>
      <c r="R13" s="1018"/>
      <c r="S13" s="1019"/>
      <c r="T13" s="1019"/>
      <c r="U13" s="418"/>
      <c r="V13" s="419"/>
      <c r="W13" s="420"/>
      <c r="X13" s="416">
        <f t="shared" si="2"/>
        <v>0</v>
      </c>
      <c r="Y13" s="1018"/>
      <c r="Z13" s="1019"/>
      <c r="AA13" s="1019"/>
      <c r="AB13" s="418"/>
      <c r="AC13" s="419"/>
      <c r="AD13" s="420"/>
      <c r="AE13" s="416">
        <f t="shared" si="3"/>
        <v>0</v>
      </c>
      <c r="AF13" s="1018"/>
      <c r="AG13" s="1019"/>
      <c r="AH13" s="1019"/>
      <c r="AI13" s="418"/>
      <c r="AJ13" s="419"/>
      <c r="AK13" s="420"/>
      <c r="AL13" s="416">
        <f t="shared" si="4"/>
        <v>0</v>
      </c>
      <c r="AM13" s="1018" t="s">
        <v>267</v>
      </c>
      <c r="AN13" s="1019"/>
      <c r="AO13" s="1019"/>
      <c r="AP13" s="418" t="s">
        <v>266</v>
      </c>
      <c r="AQ13" s="419"/>
      <c r="AR13" s="420">
        <v>77660</v>
      </c>
      <c r="AS13" s="416">
        <f t="shared" si="5"/>
        <v>0</v>
      </c>
      <c r="AT13" s="1018"/>
      <c r="AU13" s="1019"/>
      <c r="AV13" s="1019"/>
      <c r="AW13" s="418"/>
      <c r="AX13" s="419"/>
      <c r="AY13" s="420"/>
      <c r="AZ13" s="417">
        <f t="shared" si="6"/>
        <v>0</v>
      </c>
    </row>
    <row r="14" spans="1:52" ht="16.5" customHeight="1" x14ac:dyDescent="0.25">
      <c r="A14" s="1024">
        <f>AN2</f>
        <v>0</v>
      </c>
      <c r="B14" s="1029">
        <f>AE6</f>
        <v>0</v>
      </c>
      <c r="C14" s="397"/>
      <c r="D14" s="1018" t="s">
        <v>298</v>
      </c>
      <c r="E14" s="1019"/>
      <c r="F14" s="1020"/>
      <c r="G14" s="418" t="s">
        <v>292</v>
      </c>
      <c r="H14" s="419"/>
      <c r="I14" s="420"/>
      <c r="J14" s="416">
        <f t="shared" si="1"/>
        <v>0</v>
      </c>
      <c r="K14" s="1018" t="s">
        <v>383</v>
      </c>
      <c r="L14" s="1019"/>
      <c r="M14" s="1019"/>
      <c r="N14" s="418" t="s">
        <v>292</v>
      </c>
      <c r="O14" s="419"/>
      <c r="P14" s="420"/>
      <c r="Q14" s="416">
        <f t="shared" si="0"/>
        <v>0</v>
      </c>
      <c r="R14" s="1018"/>
      <c r="S14" s="1019"/>
      <c r="T14" s="1019"/>
      <c r="U14" s="418"/>
      <c r="V14" s="419"/>
      <c r="W14" s="420"/>
      <c r="X14" s="416">
        <f t="shared" si="2"/>
        <v>0</v>
      </c>
      <c r="Y14" s="1018"/>
      <c r="Z14" s="1019"/>
      <c r="AA14" s="1019"/>
      <c r="AB14" s="418"/>
      <c r="AC14" s="419"/>
      <c r="AD14" s="420"/>
      <c r="AE14" s="416">
        <f t="shared" si="3"/>
        <v>0</v>
      </c>
      <c r="AF14" s="1018"/>
      <c r="AG14" s="1019"/>
      <c r="AH14" s="1019"/>
      <c r="AI14" s="418"/>
      <c r="AJ14" s="419"/>
      <c r="AK14" s="420"/>
      <c r="AL14" s="416">
        <f t="shared" si="4"/>
        <v>0</v>
      </c>
      <c r="AM14" s="1018" t="s">
        <v>268</v>
      </c>
      <c r="AN14" s="1019"/>
      <c r="AO14" s="1019"/>
      <c r="AP14" s="418" t="s">
        <v>269</v>
      </c>
      <c r="AQ14" s="419"/>
      <c r="AR14" s="420">
        <v>29000</v>
      </c>
      <c r="AS14" s="416">
        <f t="shared" si="5"/>
        <v>0</v>
      </c>
      <c r="AT14" s="1018"/>
      <c r="AU14" s="1019"/>
      <c r="AV14" s="1019"/>
      <c r="AW14" s="418"/>
      <c r="AX14" s="419"/>
      <c r="AY14" s="420"/>
      <c r="AZ14" s="417">
        <f t="shared" si="6"/>
        <v>0</v>
      </c>
    </row>
    <row r="15" spans="1:52" ht="16.5" customHeight="1" x14ac:dyDescent="0.25">
      <c r="A15" s="1024"/>
      <c r="B15" s="1026"/>
      <c r="C15" s="397"/>
      <c r="D15" s="1018" t="s">
        <v>299</v>
      </c>
      <c r="E15" s="1019"/>
      <c r="F15" s="1020"/>
      <c r="G15" s="418" t="s">
        <v>292</v>
      </c>
      <c r="H15" s="419"/>
      <c r="I15" s="420"/>
      <c r="J15" s="416">
        <f t="shared" si="1"/>
        <v>0</v>
      </c>
      <c r="K15" s="1018" t="s">
        <v>384</v>
      </c>
      <c r="L15" s="1019"/>
      <c r="M15" s="1019"/>
      <c r="N15" s="418" t="s">
        <v>288</v>
      </c>
      <c r="O15" s="419"/>
      <c r="P15" s="420"/>
      <c r="Q15" s="416">
        <f t="shared" si="0"/>
        <v>0</v>
      </c>
      <c r="R15" s="1018"/>
      <c r="S15" s="1019"/>
      <c r="T15" s="1019"/>
      <c r="U15" s="418"/>
      <c r="V15" s="419"/>
      <c r="W15" s="420"/>
      <c r="X15" s="416">
        <f t="shared" si="2"/>
        <v>0</v>
      </c>
      <c r="Y15" s="1018"/>
      <c r="Z15" s="1019"/>
      <c r="AA15" s="1019"/>
      <c r="AB15" s="418"/>
      <c r="AC15" s="419"/>
      <c r="AD15" s="420"/>
      <c r="AE15" s="416">
        <f t="shared" si="3"/>
        <v>0</v>
      </c>
      <c r="AF15" s="1018"/>
      <c r="AG15" s="1019"/>
      <c r="AH15" s="1019"/>
      <c r="AI15" s="418"/>
      <c r="AJ15" s="419"/>
      <c r="AK15" s="420"/>
      <c r="AL15" s="416">
        <f t="shared" si="4"/>
        <v>0</v>
      </c>
      <c r="AM15" s="1018" t="s">
        <v>270</v>
      </c>
      <c r="AN15" s="1019"/>
      <c r="AO15" s="1019"/>
      <c r="AP15" s="418" t="s">
        <v>269</v>
      </c>
      <c r="AQ15" s="419"/>
      <c r="AR15" s="420">
        <v>29150</v>
      </c>
      <c r="AS15" s="416">
        <f t="shared" si="5"/>
        <v>0</v>
      </c>
      <c r="AT15" s="1018"/>
      <c r="AU15" s="1019"/>
      <c r="AV15" s="1019"/>
      <c r="AW15" s="418"/>
      <c r="AX15" s="419"/>
      <c r="AY15" s="420"/>
      <c r="AZ15" s="417">
        <f t="shared" si="6"/>
        <v>0</v>
      </c>
    </row>
    <row r="16" spans="1:52" ht="16.5" customHeight="1" x14ac:dyDescent="0.25">
      <c r="A16" s="1024">
        <f>AN4</f>
        <v>0</v>
      </c>
      <c r="B16" s="1029">
        <f>AL6</f>
        <v>0</v>
      </c>
      <c r="C16" s="397"/>
      <c r="D16" s="1018" t="s">
        <v>300</v>
      </c>
      <c r="E16" s="1019"/>
      <c r="F16" s="1020"/>
      <c r="G16" s="418" t="s">
        <v>292</v>
      </c>
      <c r="H16" s="419"/>
      <c r="I16" s="420"/>
      <c r="J16" s="416">
        <f t="shared" si="1"/>
        <v>0</v>
      </c>
      <c r="K16" s="1018" t="s">
        <v>385</v>
      </c>
      <c r="L16" s="1019" t="s">
        <v>386</v>
      </c>
      <c r="M16" s="1019"/>
      <c r="N16" s="418" t="s">
        <v>292</v>
      </c>
      <c r="O16" s="419"/>
      <c r="P16" s="420"/>
      <c r="Q16" s="416">
        <f t="shared" si="0"/>
        <v>0</v>
      </c>
      <c r="R16" s="1018"/>
      <c r="S16" s="1019"/>
      <c r="T16" s="1019"/>
      <c r="U16" s="418"/>
      <c r="V16" s="419"/>
      <c r="W16" s="420"/>
      <c r="X16" s="416">
        <f t="shared" si="2"/>
        <v>0</v>
      </c>
      <c r="Y16" s="1018"/>
      <c r="Z16" s="1019"/>
      <c r="AA16" s="1019"/>
      <c r="AB16" s="418"/>
      <c r="AC16" s="419"/>
      <c r="AD16" s="420"/>
      <c r="AE16" s="416">
        <f t="shared" si="3"/>
        <v>0</v>
      </c>
      <c r="AF16" s="1018"/>
      <c r="AG16" s="1019"/>
      <c r="AH16" s="1019"/>
      <c r="AI16" s="418"/>
      <c r="AJ16" s="419"/>
      <c r="AK16" s="420"/>
      <c r="AL16" s="416">
        <f t="shared" si="4"/>
        <v>0</v>
      </c>
      <c r="AM16" s="1018" t="s">
        <v>271</v>
      </c>
      <c r="AN16" s="1019"/>
      <c r="AO16" s="1019"/>
      <c r="AP16" s="418" t="s">
        <v>269</v>
      </c>
      <c r="AQ16" s="419"/>
      <c r="AR16" s="420">
        <v>40150</v>
      </c>
      <c r="AS16" s="416">
        <f t="shared" si="5"/>
        <v>0</v>
      </c>
      <c r="AT16" s="1018"/>
      <c r="AU16" s="1019"/>
      <c r="AV16" s="1019"/>
      <c r="AW16" s="418"/>
      <c r="AX16" s="419"/>
      <c r="AY16" s="420"/>
      <c r="AZ16" s="417">
        <f t="shared" si="6"/>
        <v>0</v>
      </c>
    </row>
    <row r="17" spans="1:52" ht="17.25" customHeight="1" x14ac:dyDescent="0.25">
      <c r="A17" s="1024"/>
      <c r="B17" s="1026"/>
      <c r="C17" s="397"/>
      <c r="D17" s="1018" t="s">
        <v>301</v>
      </c>
      <c r="E17" s="1019"/>
      <c r="F17" s="1020"/>
      <c r="G17" s="418" t="s">
        <v>292</v>
      </c>
      <c r="H17" s="419"/>
      <c r="I17" s="420"/>
      <c r="J17" s="416">
        <f t="shared" si="1"/>
        <v>0</v>
      </c>
      <c r="K17" s="1018" t="s">
        <v>387</v>
      </c>
      <c r="L17" s="1019"/>
      <c r="M17" s="1019"/>
      <c r="N17" s="418" t="s">
        <v>292</v>
      </c>
      <c r="O17" s="419"/>
      <c r="P17" s="420"/>
      <c r="Q17" s="416">
        <f t="shared" si="0"/>
        <v>0</v>
      </c>
      <c r="R17" s="1018"/>
      <c r="S17" s="1019"/>
      <c r="T17" s="1019"/>
      <c r="U17" s="418"/>
      <c r="V17" s="419"/>
      <c r="W17" s="420"/>
      <c r="X17" s="416">
        <f t="shared" si="2"/>
        <v>0</v>
      </c>
      <c r="Y17" s="1018"/>
      <c r="Z17" s="1019"/>
      <c r="AA17" s="1019"/>
      <c r="AB17" s="418"/>
      <c r="AC17" s="419"/>
      <c r="AD17" s="420"/>
      <c r="AE17" s="416">
        <f t="shared" si="3"/>
        <v>0</v>
      </c>
      <c r="AF17" s="1018"/>
      <c r="AG17" s="1019"/>
      <c r="AH17" s="1019"/>
      <c r="AI17" s="418"/>
      <c r="AJ17" s="419"/>
      <c r="AK17" s="420"/>
      <c r="AL17" s="416">
        <f t="shared" si="4"/>
        <v>0</v>
      </c>
      <c r="AM17" s="1018" t="s">
        <v>272</v>
      </c>
      <c r="AN17" s="1019"/>
      <c r="AO17" s="1019"/>
      <c r="AP17" s="418" t="s">
        <v>269</v>
      </c>
      <c r="AQ17" s="419"/>
      <c r="AR17" s="420">
        <v>23430</v>
      </c>
      <c r="AS17" s="416">
        <f t="shared" si="5"/>
        <v>0</v>
      </c>
      <c r="AT17" s="1018"/>
      <c r="AU17" s="1019"/>
      <c r="AV17" s="1019"/>
      <c r="AW17" s="418"/>
      <c r="AX17" s="419"/>
      <c r="AY17" s="420"/>
      <c r="AZ17" s="417">
        <f t="shared" si="6"/>
        <v>0</v>
      </c>
    </row>
    <row r="18" spans="1:52" ht="16.5" customHeight="1" x14ac:dyDescent="0.25">
      <c r="A18" s="1024" t="str">
        <f>AN6</f>
        <v>주류</v>
      </c>
      <c r="B18" s="1029">
        <f>AS6</f>
        <v>0</v>
      </c>
      <c r="C18" s="397"/>
      <c r="D18" s="1022" t="s">
        <v>423</v>
      </c>
      <c r="E18" s="1022"/>
      <c r="F18" s="1022"/>
      <c r="G18" s="418" t="s">
        <v>292</v>
      </c>
      <c r="H18" s="419"/>
      <c r="I18" s="420"/>
      <c r="J18" s="416">
        <f t="shared" si="1"/>
        <v>0</v>
      </c>
      <c r="K18" s="1018" t="s">
        <v>388</v>
      </c>
      <c r="L18" s="1019"/>
      <c r="M18" s="1019"/>
      <c r="N18" s="418" t="s">
        <v>292</v>
      </c>
      <c r="O18" s="419"/>
      <c r="P18" s="420"/>
      <c r="Q18" s="416">
        <f t="shared" si="0"/>
        <v>0</v>
      </c>
      <c r="R18" s="1018"/>
      <c r="S18" s="1019"/>
      <c r="T18" s="1019"/>
      <c r="U18" s="418"/>
      <c r="V18" s="419"/>
      <c r="W18" s="420"/>
      <c r="X18" s="416">
        <f t="shared" si="2"/>
        <v>0</v>
      </c>
      <c r="Y18" s="1018"/>
      <c r="Z18" s="1019"/>
      <c r="AA18" s="1019"/>
      <c r="AB18" s="418"/>
      <c r="AC18" s="419"/>
      <c r="AD18" s="420"/>
      <c r="AE18" s="416">
        <f t="shared" si="3"/>
        <v>0</v>
      </c>
      <c r="AF18" s="1018"/>
      <c r="AG18" s="1019"/>
      <c r="AH18" s="1019"/>
      <c r="AI18" s="418"/>
      <c r="AJ18" s="419"/>
      <c r="AK18" s="420"/>
      <c r="AL18" s="416">
        <f t="shared" si="4"/>
        <v>0</v>
      </c>
      <c r="AM18" s="1018" t="s">
        <v>273</v>
      </c>
      <c r="AN18" s="1019"/>
      <c r="AO18" s="1019"/>
      <c r="AP18" s="418" t="s">
        <v>269</v>
      </c>
      <c r="AQ18" s="419"/>
      <c r="AR18" s="420">
        <v>32450</v>
      </c>
      <c r="AS18" s="416">
        <f t="shared" si="5"/>
        <v>0</v>
      </c>
      <c r="AT18" s="1018"/>
      <c r="AU18" s="1019"/>
      <c r="AV18" s="1019"/>
      <c r="AW18" s="418"/>
      <c r="AX18" s="419"/>
      <c r="AY18" s="420"/>
      <c r="AZ18" s="417">
        <f t="shared" si="6"/>
        <v>0</v>
      </c>
    </row>
    <row r="19" spans="1:52" x14ac:dyDescent="0.25">
      <c r="A19" s="1024"/>
      <c r="B19" s="1026"/>
      <c r="C19" s="397"/>
      <c r="D19" s="1022" t="s">
        <v>302</v>
      </c>
      <c r="E19" s="1022"/>
      <c r="F19" s="1022"/>
      <c r="G19" s="418" t="s">
        <v>292</v>
      </c>
      <c r="H19" s="419"/>
      <c r="I19" s="420"/>
      <c r="J19" s="416">
        <f t="shared" si="1"/>
        <v>0</v>
      </c>
      <c r="K19" s="1018" t="s">
        <v>389</v>
      </c>
      <c r="L19" s="1019"/>
      <c r="M19" s="1019"/>
      <c r="N19" s="418" t="s">
        <v>292</v>
      </c>
      <c r="O19" s="419"/>
      <c r="P19" s="420"/>
      <c r="Q19" s="416">
        <f t="shared" si="0"/>
        <v>0</v>
      </c>
      <c r="R19" s="1018"/>
      <c r="S19" s="1019"/>
      <c r="T19" s="1019"/>
      <c r="U19" s="418"/>
      <c r="V19" s="419"/>
      <c r="W19" s="420"/>
      <c r="X19" s="416">
        <f t="shared" si="2"/>
        <v>0</v>
      </c>
      <c r="Y19" s="1018"/>
      <c r="Z19" s="1019"/>
      <c r="AA19" s="1019"/>
      <c r="AB19" s="418"/>
      <c r="AC19" s="419"/>
      <c r="AD19" s="420"/>
      <c r="AE19" s="416">
        <f t="shared" si="3"/>
        <v>0</v>
      </c>
      <c r="AF19" s="1018"/>
      <c r="AG19" s="1019"/>
      <c r="AH19" s="1019"/>
      <c r="AI19" s="418"/>
      <c r="AJ19" s="419"/>
      <c r="AK19" s="420"/>
      <c r="AL19" s="416">
        <f t="shared" si="4"/>
        <v>0</v>
      </c>
      <c r="AM19" s="1018" t="s">
        <v>274</v>
      </c>
      <c r="AN19" s="1019"/>
      <c r="AO19" s="1019"/>
      <c r="AP19" s="418" t="s">
        <v>269</v>
      </c>
      <c r="AQ19" s="419"/>
      <c r="AR19" s="420">
        <v>41250</v>
      </c>
      <c r="AS19" s="416">
        <f t="shared" si="5"/>
        <v>0</v>
      </c>
      <c r="AT19" s="1018"/>
      <c r="AU19" s="1019"/>
      <c r="AV19" s="1019"/>
      <c r="AW19" s="418"/>
      <c r="AX19" s="419"/>
      <c r="AY19" s="420"/>
      <c r="AZ19" s="417">
        <f t="shared" si="6"/>
        <v>0</v>
      </c>
    </row>
    <row r="20" spans="1:52" x14ac:dyDescent="0.25">
      <c r="A20" s="1024" t="str">
        <f>AU6</f>
        <v>음료</v>
      </c>
      <c r="B20" s="1029">
        <f>AZ6</f>
        <v>0</v>
      </c>
      <c r="C20" s="397"/>
      <c r="D20" s="1022" t="s">
        <v>303</v>
      </c>
      <c r="E20" s="1022"/>
      <c r="F20" s="1022"/>
      <c r="G20" s="418" t="s">
        <v>292</v>
      </c>
      <c r="H20" s="419"/>
      <c r="I20" s="420"/>
      <c r="J20" s="416">
        <f t="shared" si="1"/>
        <v>0</v>
      </c>
      <c r="K20" s="1018" t="s">
        <v>390</v>
      </c>
      <c r="L20" s="1019"/>
      <c r="M20" s="1019"/>
      <c r="N20" s="418" t="s">
        <v>292</v>
      </c>
      <c r="O20" s="419"/>
      <c r="P20" s="420"/>
      <c r="Q20" s="416">
        <f t="shared" si="0"/>
        <v>0</v>
      </c>
      <c r="R20" s="1018"/>
      <c r="S20" s="1019"/>
      <c r="T20" s="1019"/>
      <c r="U20" s="418"/>
      <c r="V20" s="419"/>
      <c r="W20" s="420"/>
      <c r="X20" s="416">
        <f t="shared" si="2"/>
        <v>0</v>
      </c>
      <c r="Y20" s="1018"/>
      <c r="Z20" s="1019"/>
      <c r="AA20" s="1019"/>
      <c r="AB20" s="418"/>
      <c r="AC20" s="419"/>
      <c r="AD20" s="420"/>
      <c r="AE20" s="416">
        <f t="shared" si="3"/>
        <v>0</v>
      </c>
      <c r="AF20" s="1018"/>
      <c r="AG20" s="1019"/>
      <c r="AH20" s="1019"/>
      <c r="AI20" s="418"/>
      <c r="AJ20" s="419"/>
      <c r="AK20" s="420"/>
      <c r="AL20" s="416">
        <f t="shared" si="4"/>
        <v>0</v>
      </c>
      <c r="AM20" s="1018" t="s">
        <v>275</v>
      </c>
      <c r="AN20" s="1019"/>
      <c r="AO20" s="1019"/>
      <c r="AP20" s="418" t="s">
        <v>269</v>
      </c>
      <c r="AQ20" s="419"/>
      <c r="AR20" s="420">
        <v>13860</v>
      </c>
      <c r="AS20" s="416">
        <f t="shared" si="5"/>
        <v>0</v>
      </c>
      <c r="AT20" s="1018"/>
      <c r="AU20" s="1019"/>
      <c r="AV20" s="1019"/>
      <c r="AW20" s="418"/>
      <c r="AX20" s="419"/>
      <c r="AY20" s="420"/>
      <c r="AZ20" s="417">
        <f t="shared" si="6"/>
        <v>0</v>
      </c>
    </row>
    <row r="21" spans="1:52" ht="17.25" thickBot="1" x14ac:dyDescent="0.3">
      <c r="A21" s="1030"/>
      <c r="B21" s="1031"/>
      <c r="C21" s="397"/>
      <c r="D21" s="1018" t="s">
        <v>304</v>
      </c>
      <c r="E21" s="1019"/>
      <c r="F21" s="1020"/>
      <c r="G21" s="418" t="s">
        <v>292</v>
      </c>
      <c r="H21" s="419"/>
      <c r="I21" s="420"/>
      <c r="J21" s="416">
        <f t="shared" si="1"/>
        <v>0</v>
      </c>
      <c r="K21" s="1018" t="s">
        <v>391</v>
      </c>
      <c r="L21" s="1019"/>
      <c r="M21" s="1019"/>
      <c r="N21" s="418" t="s">
        <v>292</v>
      </c>
      <c r="O21" s="419"/>
      <c r="P21" s="420"/>
      <c r="Q21" s="416">
        <f t="shared" si="0"/>
        <v>0</v>
      </c>
      <c r="R21" s="1018"/>
      <c r="S21" s="1019"/>
      <c r="T21" s="1019"/>
      <c r="U21" s="418"/>
      <c r="V21" s="419"/>
      <c r="W21" s="420"/>
      <c r="X21" s="416">
        <f t="shared" si="2"/>
        <v>0</v>
      </c>
      <c r="Y21" s="1018"/>
      <c r="Z21" s="1019"/>
      <c r="AA21" s="1019"/>
      <c r="AB21" s="418"/>
      <c r="AC21" s="419"/>
      <c r="AD21" s="420"/>
      <c r="AE21" s="416">
        <f t="shared" si="3"/>
        <v>0</v>
      </c>
      <c r="AF21" s="1018"/>
      <c r="AG21" s="1019"/>
      <c r="AH21" s="1019"/>
      <c r="AI21" s="418"/>
      <c r="AJ21" s="419"/>
      <c r="AK21" s="420"/>
      <c r="AL21" s="416">
        <f t="shared" si="4"/>
        <v>0</v>
      </c>
      <c r="AM21" s="1018" t="s">
        <v>276</v>
      </c>
      <c r="AN21" s="1019"/>
      <c r="AO21" s="1019"/>
      <c r="AP21" s="418" t="s">
        <v>269</v>
      </c>
      <c r="AQ21" s="419"/>
      <c r="AR21" s="420">
        <v>14000</v>
      </c>
      <c r="AS21" s="416">
        <f t="shared" si="5"/>
        <v>0</v>
      </c>
      <c r="AT21" s="1018"/>
      <c r="AU21" s="1019"/>
      <c r="AV21" s="1019"/>
      <c r="AW21" s="418"/>
      <c r="AX21" s="419"/>
      <c r="AY21" s="420"/>
      <c r="AZ21" s="417">
        <f t="shared" si="6"/>
        <v>0</v>
      </c>
    </row>
    <row r="22" spans="1:52" x14ac:dyDescent="0.25">
      <c r="A22" s="1032" t="s">
        <v>27</v>
      </c>
      <c r="B22" s="1034">
        <f>SUM(B8:B21)</f>
        <v>0</v>
      </c>
      <c r="C22" s="397"/>
      <c r="D22" s="1018" t="s">
        <v>424</v>
      </c>
      <c r="E22" s="1019"/>
      <c r="F22" s="1020"/>
      <c r="G22" s="418" t="s">
        <v>295</v>
      </c>
      <c r="H22" s="419"/>
      <c r="I22" s="421"/>
      <c r="J22" s="416">
        <f t="shared" si="1"/>
        <v>0</v>
      </c>
      <c r="K22" s="1018" t="s">
        <v>392</v>
      </c>
      <c r="L22" s="1019"/>
      <c r="M22" s="1019"/>
      <c r="N22" s="418" t="s">
        <v>292</v>
      </c>
      <c r="O22" s="419"/>
      <c r="P22" s="421"/>
      <c r="Q22" s="416">
        <f t="shared" si="0"/>
        <v>0</v>
      </c>
      <c r="R22" s="1018"/>
      <c r="S22" s="1019"/>
      <c r="T22" s="1019"/>
      <c r="U22" s="418"/>
      <c r="V22" s="419"/>
      <c r="W22" s="421"/>
      <c r="X22" s="416">
        <f t="shared" si="2"/>
        <v>0</v>
      </c>
      <c r="Y22" s="1018"/>
      <c r="Z22" s="1019"/>
      <c r="AA22" s="1019"/>
      <c r="AB22" s="418"/>
      <c r="AC22" s="419"/>
      <c r="AD22" s="421"/>
      <c r="AE22" s="416">
        <f t="shared" si="3"/>
        <v>0</v>
      </c>
      <c r="AF22" s="1018"/>
      <c r="AG22" s="1019"/>
      <c r="AH22" s="1019"/>
      <c r="AI22" s="418"/>
      <c r="AJ22" s="419"/>
      <c r="AK22" s="421"/>
      <c r="AL22" s="416">
        <f t="shared" si="4"/>
        <v>0</v>
      </c>
      <c r="AM22" s="1018" t="s">
        <v>277</v>
      </c>
      <c r="AN22" s="1019"/>
      <c r="AO22" s="1019"/>
      <c r="AP22" s="418" t="s">
        <v>269</v>
      </c>
      <c r="AQ22" s="419"/>
      <c r="AR22" s="421">
        <v>14300</v>
      </c>
      <c r="AS22" s="416">
        <f t="shared" si="5"/>
        <v>0</v>
      </c>
      <c r="AT22" s="1018"/>
      <c r="AU22" s="1019"/>
      <c r="AV22" s="1019"/>
      <c r="AW22" s="418"/>
      <c r="AX22" s="419"/>
      <c r="AY22" s="421"/>
      <c r="AZ22" s="417">
        <f t="shared" si="6"/>
        <v>0</v>
      </c>
    </row>
    <row r="23" spans="1:52" ht="17.25" thickBot="1" x14ac:dyDescent="0.3">
      <c r="A23" s="1033"/>
      <c r="B23" s="1035"/>
      <c r="C23" s="397"/>
      <c r="D23" s="1018" t="s">
        <v>425</v>
      </c>
      <c r="E23" s="1019"/>
      <c r="F23" s="1020"/>
      <c r="G23" s="418" t="s">
        <v>292</v>
      </c>
      <c r="H23" s="419"/>
      <c r="I23" s="421"/>
      <c r="J23" s="416">
        <f t="shared" si="1"/>
        <v>0</v>
      </c>
      <c r="K23" s="1018" t="s">
        <v>393</v>
      </c>
      <c r="L23" s="1019"/>
      <c r="M23" s="1019"/>
      <c r="N23" s="418" t="s">
        <v>292</v>
      </c>
      <c r="O23" s="419"/>
      <c r="P23" s="421"/>
      <c r="Q23" s="416">
        <f t="shared" si="0"/>
        <v>0</v>
      </c>
      <c r="R23" s="1018"/>
      <c r="S23" s="1019"/>
      <c r="T23" s="1019"/>
      <c r="U23" s="418"/>
      <c r="V23" s="419"/>
      <c r="W23" s="421"/>
      <c r="X23" s="416">
        <f t="shared" si="2"/>
        <v>0</v>
      </c>
      <c r="Y23" s="1018"/>
      <c r="Z23" s="1019"/>
      <c r="AA23" s="1019"/>
      <c r="AB23" s="418"/>
      <c r="AC23" s="419"/>
      <c r="AD23" s="421"/>
      <c r="AE23" s="416">
        <f t="shared" si="3"/>
        <v>0</v>
      </c>
      <c r="AF23" s="1018"/>
      <c r="AG23" s="1019"/>
      <c r="AH23" s="1019"/>
      <c r="AI23" s="418"/>
      <c r="AJ23" s="419"/>
      <c r="AK23" s="421"/>
      <c r="AL23" s="416">
        <f t="shared" si="4"/>
        <v>0</v>
      </c>
      <c r="AM23" s="1018" t="s">
        <v>278</v>
      </c>
      <c r="AN23" s="1019"/>
      <c r="AO23" s="1019"/>
      <c r="AP23" s="418" t="s">
        <v>269</v>
      </c>
      <c r="AQ23" s="419"/>
      <c r="AR23" s="421">
        <v>15180</v>
      </c>
      <c r="AS23" s="416">
        <f t="shared" si="5"/>
        <v>0</v>
      </c>
      <c r="AT23" s="1018"/>
      <c r="AU23" s="1019"/>
      <c r="AV23" s="1019"/>
      <c r="AW23" s="418"/>
      <c r="AX23" s="419"/>
      <c r="AY23" s="421"/>
      <c r="AZ23" s="417">
        <f t="shared" si="6"/>
        <v>0</v>
      </c>
    </row>
    <row r="24" spans="1:52" x14ac:dyDescent="0.25">
      <c r="A24" s="397"/>
      <c r="B24" s="397"/>
      <c r="C24" s="397"/>
      <c r="D24" s="1018" t="s">
        <v>426</v>
      </c>
      <c r="E24" s="1019"/>
      <c r="F24" s="1020"/>
      <c r="G24" s="418" t="s">
        <v>292</v>
      </c>
      <c r="H24" s="419"/>
      <c r="I24" s="421"/>
      <c r="J24" s="416">
        <f t="shared" si="1"/>
        <v>0</v>
      </c>
      <c r="K24" s="1018" t="s">
        <v>394</v>
      </c>
      <c r="L24" s="1019"/>
      <c r="M24" s="1019"/>
      <c r="N24" s="418" t="s">
        <v>292</v>
      </c>
      <c r="O24" s="419"/>
      <c r="P24" s="421"/>
      <c r="Q24" s="416">
        <f t="shared" si="0"/>
        <v>0</v>
      </c>
      <c r="R24" s="1018"/>
      <c r="S24" s="1019"/>
      <c r="T24" s="1019"/>
      <c r="U24" s="418"/>
      <c r="V24" s="419"/>
      <c r="W24" s="421"/>
      <c r="X24" s="416">
        <f t="shared" si="2"/>
        <v>0</v>
      </c>
      <c r="Y24" s="1018"/>
      <c r="Z24" s="1019"/>
      <c r="AA24" s="1019"/>
      <c r="AB24" s="418"/>
      <c r="AC24" s="419"/>
      <c r="AD24" s="421"/>
      <c r="AE24" s="416">
        <f t="shared" si="3"/>
        <v>0</v>
      </c>
      <c r="AF24" s="1018"/>
      <c r="AG24" s="1019"/>
      <c r="AH24" s="1019"/>
      <c r="AI24" s="418"/>
      <c r="AJ24" s="419"/>
      <c r="AK24" s="421"/>
      <c r="AL24" s="416">
        <f t="shared" si="4"/>
        <v>0</v>
      </c>
      <c r="AM24" s="1018" t="s">
        <v>279</v>
      </c>
      <c r="AN24" s="1019"/>
      <c r="AO24" s="1019"/>
      <c r="AP24" s="418" t="s">
        <v>269</v>
      </c>
      <c r="AQ24" s="419"/>
      <c r="AR24" s="421">
        <v>10230</v>
      </c>
      <c r="AS24" s="416">
        <f t="shared" si="5"/>
        <v>0</v>
      </c>
      <c r="AT24" s="1018"/>
      <c r="AU24" s="1019"/>
      <c r="AV24" s="1019"/>
      <c r="AW24" s="418"/>
      <c r="AX24" s="419"/>
      <c r="AY24" s="421"/>
      <c r="AZ24" s="417">
        <f t="shared" si="6"/>
        <v>0</v>
      </c>
    </row>
    <row r="25" spans="1:52" x14ac:dyDescent="0.25">
      <c r="C25" s="397"/>
      <c r="D25" s="1018" t="s">
        <v>427</v>
      </c>
      <c r="E25" s="1019"/>
      <c r="F25" s="1020"/>
      <c r="G25" s="418" t="s">
        <v>292</v>
      </c>
      <c r="H25" s="419"/>
      <c r="I25" s="421"/>
      <c r="J25" s="416">
        <f t="shared" si="1"/>
        <v>0</v>
      </c>
      <c r="K25" s="1018" t="s">
        <v>395</v>
      </c>
      <c r="L25" s="1019"/>
      <c r="M25" s="1019"/>
      <c r="N25" s="418" t="s">
        <v>292</v>
      </c>
      <c r="O25" s="419"/>
      <c r="P25" s="421"/>
      <c r="Q25" s="416">
        <f t="shared" si="0"/>
        <v>0</v>
      </c>
      <c r="R25" s="1018"/>
      <c r="S25" s="1019"/>
      <c r="T25" s="1019"/>
      <c r="U25" s="418"/>
      <c r="V25" s="419"/>
      <c r="W25" s="421"/>
      <c r="X25" s="416">
        <f t="shared" si="2"/>
        <v>0</v>
      </c>
      <c r="Y25" s="1018"/>
      <c r="Z25" s="1019"/>
      <c r="AA25" s="1019"/>
      <c r="AB25" s="418"/>
      <c r="AC25" s="419"/>
      <c r="AD25" s="421"/>
      <c r="AE25" s="416">
        <f t="shared" si="3"/>
        <v>0</v>
      </c>
      <c r="AF25" s="1018"/>
      <c r="AG25" s="1019"/>
      <c r="AH25" s="1019"/>
      <c r="AI25" s="418"/>
      <c r="AJ25" s="419"/>
      <c r="AK25" s="421"/>
      <c r="AL25" s="416">
        <f t="shared" si="4"/>
        <v>0</v>
      </c>
      <c r="AM25" s="1018" t="s">
        <v>280</v>
      </c>
      <c r="AN25" s="1019"/>
      <c r="AO25" s="1019"/>
      <c r="AP25" s="418" t="s">
        <v>269</v>
      </c>
      <c r="AQ25" s="419"/>
      <c r="AR25" s="421">
        <v>2600</v>
      </c>
      <c r="AS25" s="416">
        <f t="shared" si="5"/>
        <v>0</v>
      </c>
      <c r="AT25" s="1018"/>
      <c r="AU25" s="1019"/>
      <c r="AV25" s="1019"/>
      <c r="AW25" s="418"/>
      <c r="AX25" s="419"/>
      <c r="AY25" s="421"/>
      <c r="AZ25" s="417">
        <f t="shared" si="6"/>
        <v>0</v>
      </c>
    </row>
    <row r="26" spans="1:52" x14ac:dyDescent="0.25">
      <c r="C26" s="397"/>
      <c r="D26" s="1018" t="s">
        <v>305</v>
      </c>
      <c r="E26" s="1019"/>
      <c r="F26" s="1020"/>
      <c r="G26" s="418" t="s">
        <v>295</v>
      </c>
      <c r="H26" s="419"/>
      <c r="I26" s="421"/>
      <c r="J26" s="416">
        <f t="shared" si="1"/>
        <v>0</v>
      </c>
      <c r="K26" s="1018" t="s">
        <v>396</v>
      </c>
      <c r="L26" s="1019"/>
      <c r="M26" s="1019"/>
      <c r="N26" s="418" t="s">
        <v>292</v>
      </c>
      <c r="O26" s="419"/>
      <c r="P26" s="421"/>
      <c r="Q26" s="416">
        <f t="shared" si="0"/>
        <v>0</v>
      </c>
      <c r="R26" s="1018"/>
      <c r="S26" s="1019"/>
      <c r="T26" s="1019"/>
      <c r="U26" s="418"/>
      <c r="V26" s="419"/>
      <c r="W26" s="421"/>
      <c r="X26" s="416">
        <f t="shared" si="2"/>
        <v>0</v>
      </c>
      <c r="Y26" s="1018"/>
      <c r="Z26" s="1019"/>
      <c r="AA26" s="1019"/>
      <c r="AB26" s="418"/>
      <c r="AC26" s="419"/>
      <c r="AD26" s="421"/>
      <c r="AE26" s="416">
        <f t="shared" si="3"/>
        <v>0</v>
      </c>
      <c r="AF26" s="1018"/>
      <c r="AG26" s="1019"/>
      <c r="AH26" s="1019"/>
      <c r="AI26" s="418"/>
      <c r="AJ26" s="419"/>
      <c r="AK26" s="421"/>
      <c r="AL26" s="416">
        <f t="shared" si="4"/>
        <v>0</v>
      </c>
      <c r="AM26" s="1018" t="s">
        <v>281</v>
      </c>
      <c r="AN26" s="1019"/>
      <c r="AO26" s="1019"/>
      <c r="AP26" s="418" t="s">
        <v>269</v>
      </c>
      <c r="AQ26" s="419"/>
      <c r="AR26" s="421">
        <v>24200</v>
      </c>
      <c r="AS26" s="416">
        <f t="shared" si="5"/>
        <v>0</v>
      </c>
      <c r="AT26" s="1018"/>
      <c r="AU26" s="1019"/>
      <c r="AV26" s="1019"/>
      <c r="AW26" s="418"/>
      <c r="AX26" s="419"/>
      <c r="AY26" s="421"/>
      <c r="AZ26" s="417">
        <f t="shared" si="6"/>
        <v>0</v>
      </c>
    </row>
    <row r="27" spans="1:52" x14ac:dyDescent="0.25">
      <c r="C27" s="397"/>
      <c r="D27" s="1018" t="s">
        <v>306</v>
      </c>
      <c r="E27" s="1019"/>
      <c r="F27" s="1020"/>
      <c r="G27" s="418" t="s">
        <v>295</v>
      </c>
      <c r="H27" s="419"/>
      <c r="I27" s="421"/>
      <c r="J27" s="416">
        <f t="shared" si="1"/>
        <v>0</v>
      </c>
      <c r="K27" s="1018" t="s">
        <v>397</v>
      </c>
      <c r="L27" s="1019"/>
      <c r="M27" s="1019"/>
      <c r="N27" s="418" t="s">
        <v>292</v>
      </c>
      <c r="O27" s="419"/>
      <c r="P27" s="421"/>
      <c r="Q27" s="416">
        <f t="shared" si="0"/>
        <v>0</v>
      </c>
      <c r="R27" s="1018"/>
      <c r="S27" s="1019"/>
      <c r="T27" s="1019"/>
      <c r="U27" s="418"/>
      <c r="V27" s="419"/>
      <c r="W27" s="421"/>
      <c r="X27" s="416">
        <f t="shared" si="2"/>
        <v>0</v>
      </c>
      <c r="Y27" s="1018"/>
      <c r="Z27" s="1019"/>
      <c r="AA27" s="1019"/>
      <c r="AB27" s="418"/>
      <c r="AC27" s="419"/>
      <c r="AD27" s="421"/>
      <c r="AE27" s="416">
        <f t="shared" si="3"/>
        <v>0</v>
      </c>
      <c r="AF27" s="1018"/>
      <c r="AG27" s="1019"/>
      <c r="AH27" s="1019"/>
      <c r="AI27" s="418"/>
      <c r="AJ27" s="419"/>
      <c r="AK27" s="421"/>
      <c r="AL27" s="416">
        <f t="shared" si="4"/>
        <v>0</v>
      </c>
      <c r="AM27" s="1018" t="s">
        <v>282</v>
      </c>
      <c r="AN27" s="1019"/>
      <c r="AO27" s="1019"/>
      <c r="AP27" s="418" t="s">
        <v>269</v>
      </c>
      <c r="AQ27" s="419"/>
      <c r="AR27" s="421">
        <v>44000</v>
      </c>
      <c r="AS27" s="416">
        <f t="shared" si="5"/>
        <v>0</v>
      </c>
      <c r="AT27" s="1018"/>
      <c r="AU27" s="1019"/>
      <c r="AV27" s="1019"/>
      <c r="AW27" s="418"/>
      <c r="AX27" s="419"/>
      <c r="AY27" s="421"/>
      <c r="AZ27" s="417">
        <f t="shared" si="6"/>
        <v>0</v>
      </c>
    </row>
    <row r="28" spans="1:52" x14ac:dyDescent="0.25">
      <c r="C28" s="397"/>
      <c r="D28" s="1018" t="s">
        <v>307</v>
      </c>
      <c r="E28" s="1019"/>
      <c r="F28" s="1020"/>
      <c r="G28" s="418" t="s">
        <v>292</v>
      </c>
      <c r="H28" s="419"/>
      <c r="I28" s="421"/>
      <c r="J28" s="416">
        <f t="shared" si="1"/>
        <v>0</v>
      </c>
      <c r="K28" s="1018" t="s">
        <v>398</v>
      </c>
      <c r="L28" s="1019"/>
      <c r="M28" s="1019"/>
      <c r="N28" s="418" t="s">
        <v>292</v>
      </c>
      <c r="O28" s="419"/>
      <c r="P28" s="421"/>
      <c r="Q28" s="416">
        <f t="shared" si="0"/>
        <v>0</v>
      </c>
      <c r="R28" s="1018"/>
      <c r="S28" s="1019"/>
      <c r="T28" s="1019"/>
      <c r="U28" s="418"/>
      <c r="V28" s="419"/>
      <c r="W28" s="421"/>
      <c r="X28" s="416">
        <f t="shared" si="2"/>
        <v>0</v>
      </c>
      <c r="Y28" s="1018"/>
      <c r="Z28" s="1019"/>
      <c r="AA28" s="1019"/>
      <c r="AB28" s="418"/>
      <c r="AC28" s="419"/>
      <c r="AD28" s="421"/>
      <c r="AE28" s="416">
        <f t="shared" si="3"/>
        <v>0</v>
      </c>
      <c r="AF28" s="1018"/>
      <c r="AG28" s="1019"/>
      <c r="AH28" s="1019"/>
      <c r="AI28" s="418"/>
      <c r="AJ28" s="419"/>
      <c r="AK28" s="421"/>
      <c r="AL28" s="416">
        <f t="shared" si="4"/>
        <v>0</v>
      </c>
      <c r="AM28" s="1018" t="s">
        <v>283</v>
      </c>
      <c r="AN28" s="1019"/>
      <c r="AO28" s="1019"/>
      <c r="AP28" s="418" t="s">
        <v>269</v>
      </c>
      <c r="AQ28" s="419"/>
      <c r="AR28" s="421">
        <v>32450</v>
      </c>
      <c r="AS28" s="416">
        <f t="shared" si="5"/>
        <v>0</v>
      </c>
      <c r="AT28" s="1018"/>
      <c r="AU28" s="1019"/>
      <c r="AV28" s="1019"/>
      <c r="AW28" s="418"/>
      <c r="AX28" s="419"/>
      <c r="AY28" s="421"/>
      <c r="AZ28" s="417">
        <f t="shared" si="6"/>
        <v>0</v>
      </c>
    </row>
    <row r="29" spans="1:52" x14ac:dyDescent="0.25">
      <c r="C29" s="397"/>
      <c r="D29" s="1018" t="s">
        <v>428</v>
      </c>
      <c r="E29" s="1019"/>
      <c r="F29" s="1020"/>
      <c r="G29" s="418" t="s">
        <v>292</v>
      </c>
      <c r="H29" s="419"/>
      <c r="I29" s="421"/>
      <c r="J29" s="416">
        <f t="shared" si="1"/>
        <v>0</v>
      </c>
      <c r="K29" s="1018" t="s">
        <v>399</v>
      </c>
      <c r="L29" s="1019"/>
      <c r="M29" s="1019"/>
      <c r="N29" s="418" t="s">
        <v>292</v>
      </c>
      <c r="O29" s="419"/>
      <c r="P29" s="421"/>
      <c r="Q29" s="416">
        <f t="shared" si="0"/>
        <v>0</v>
      </c>
      <c r="R29" s="1018"/>
      <c r="S29" s="1019"/>
      <c r="T29" s="1019"/>
      <c r="U29" s="418"/>
      <c r="V29" s="419"/>
      <c r="W29" s="421"/>
      <c r="X29" s="416">
        <f t="shared" si="2"/>
        <v>0</v>
      </c>
      <c r="Y29" s="1018"/>
      <c r="Z29" s="1019"/>
      <c r="AA29" s="1019"/>
      <c r="AB29" s="418"/>
      <c r="AC29" s="419"/>
      <c r="AD29" s="421"/>
      <c r="AE29" s="416">
        <f t="shared" si="3"/>
        <v>0</v>
      </c>
      <c r="AF29" s="1018"/>
      <c r="AG29" s="1019"/>
      <c r="AH29" s="1019"/>
      <c r="AI29" s="418"/>
      <c r="AJ29" s="419"/>
      <c r="AK29" s="421"/>
      <c r="AL29" s="416">
        <f t="shared" si="4"/>
        <v>0</v>
      </c>
      <c r="AM29" s="1018" t="s">
        <v>284</v>
      </c>
      <c r="AN29" s="1019"/>
      <c r="AO29" s="1019"/>
      <c r="AP29" s="418" t="s">
        <v>269</v>
      </c>
      <c r="AQ29" s="419"/>
      <c r="AR29" s="421">
        <v>34210</v>
      </c>
      <c r="AS29" s="416">
        <f t="shared" si="5"/>
        <v>0</v>
      </c>
      <c r="AT29" s="1018"/>
      <c r="AU29" s="1019"/>
      <c r="AV29" s="1019"/>
      <c r="AW29" s="418"/>
      <c r="AX29" s="419"/>
      <c r="AY29" s="421"/>
      <c r="AZ29" s="417">
        <f t="shared" si="6"/>
        <v>0</v>
      </c>
    </row>
    <row r="30" spans="1:52" x14ac:dyDescent="0.25">
      <c r="C30" s="397"/>
      <c r="D30" s="1018" t="s">
        <v>429</v>
      </c>
      <c r="E30" s="1019"/>
      <c r="F30" s="1020"/>
      <c r="G30" s="418" t="s">
        <v>292</v>
      </c>
      <c r="H30" s="419"/>
      <c r="I30" s="421"/>
      <c r="J30" s="416">
        <f t="shared" si="1"/>
        <v>0</v>
      </c>
      <c r="K30" s="1018" t="s">
        <v>400</v>
      </c>
      <c r="L30" s="1019"/>
      <c r="M30" s="1019"/>
      <c r="N30" s="418" t="s">
        <v>292</v>
      </c>
      <c r="O30" s="419"/>
      <c r="P30" s="421"/>
      <c r="Q30" s="416">
        <f t="shared" si="0"/>
        <v>0</v>
      </c>
      <c r="R30" s="1018"/>
      <c r="S30" s="1019"/>
      <c r="T30" s="1019"/>
      <c r="U30" s="418"/>
      <c r="V30" s="419"/>
      <c r="W30" s="421"/>
      <c r="X30" s="416">
        <f t="shared" si="2"/>
        <v>0</v>
      </c>
      <c r="Y30" s="1018"/>
      <c r="Z30" s="1019"/>
      <c r="AA30" s="1019"/>
      <c r="AB30" s="418"/>
      <c r="AC30" s="419"/>
      <c r="AD30" s="421"/>
      <c r="AE30" s="416">
        <f t="shared" si="3"/>
        <v>0</v>
      </c>
      <c r="AF30" s="1018"/>
      <c r="AG30" s="1019"/>
      <c r="AH30" s="1019"/>
      <c r="AI30" s="418"/>
      <c r="AJ30" s="419"/>
      <c r="AK30" s="421"/>
      <c r="AL30" s="416">
        <f t="shared" si="4"/>
        <v>0</v>
      </c>
      <c r="AM30" s="1018" t="s">
        <v>285</v>
      </c>
      <c r="AN30" s="1019"/>
      <c r="AO30" s="1019"/>
      <c r="AP30" s="418" t="s">
        <v>269</v>
      </c>
      <c r="AQ30" s="419"/>
      <c r="AR30" s="421">
        <v>22000</v>
      </c>
      <c r="AS30" s="416">
        <f t="shared" si="5"/>
        <v>0</v>
      </c>
      <c r="AT30" s="1018"/>
      <c r="AU30" s="1019"/>
      <c r="AV30" s="1019"/>
      <c r="AW30" s="418"/>
      <c r="AX30" s="419"/>
      <c r="AY30" s="421"/>
      <c r="AZ30" s="417">
        <f t="shared" si="6"/>
        <v>0</v>
      </c>
    </row>
    <row r="31" spans="1:52" x14ac:dyDescent="0.25">
      <c r="A31" s="397"/>
      <c r="B31" s="397"/>
      <c r="C31" s="397"/>
      <c r="D31" s="1018" t="s">
        <v>308</v>
      </c>
      <c r="E31" s="1019"/>
      <c r="F31" s="1020"/>
      <c r="G31" s="418" t="s">
        <v>292</v>
      </c>
      <c r="H31" s="419"/>
      <c r="I31" s="421"/>
      <c r="J31" s="416">
        <f t="shared" si="1"/>
        <v>0</v>
      </c>
      <c r="K31" s="1018" t="s">
        <v>401</v>
      </c>
      <c r="L31" s="1019"/>
      <c r="M31" s="1019"/>
      <c r="N31" s="418" t="s">
        <v>292</v>
      </c>
      <c r="O31" s="419"/>
      <c r="P31" s="421"/>
      <c r="Q31" s="416">
        <f t="shared" si="0"/>
        <v>0</v>
      </c>
      <c r="R31" s="1018"/>
      <c r="S31" s="1019"/>
      <c r="T31" s="1019"/>
      <c r="U31" s="418"/>
      <c r="V31" s="419"/>
      <c r="W31" s="421"/>
      <c r="X31" s="416">
        <f t="shared" si="2"/>
        <v>0</v>
      </c>
      <c r="Y31" s="1018"/>
      <c r="Z31" s="1019"/>
      <c r="AA31" s="1019"/>
      <c r="AB31" s="418"/>
      <c r="AC31" s="419"/>
      <c r="AD31" s="421"/>
      <c r="AE31" s="416">
        <f t="shared" si="3"/>
        <v>0</v>
      </c>
      <c r="AF31" s="1018"/>
      <c r="AG31" s="1019"/>
      <c r="AH31" s="1019"/>
      <c r="AI31" s="418"/>
      <c r="AJ31" s="419"/>
      <c r="AK31" s="421"/>
      <c r="AL31" s="416">
        <f t="shared" si="4"/>
        <v>0</v>
      </c>
      <c r="AM31" s="1018" t="s">
        <v>417</v>
      </c>
      <c r="AN31" s="1019"/>
      <c r="AO31" s="1019"/>
      <c r="AP31" s="418" t="s">
        <v>261</v>
      </c>
      <c r="AQ31" s="419"/>
      <c r="AR31" s="421"/>
      <c r="AS31" s="416">
        <f t="shared" si="5"/>
        <v>0</v>
      </c>
      <c r="AT31" s="1018"/>
      <c r="AU31" s="1019"/>
      <c r="AV31" s="1019"/>
      <c r="AW31" s="418"/>
      <c r="AX31" s="419"/>
      <c r="AY31" s="421"/>
      <c r="AZ31" s="417">
        <f t="shared" si="6"/>
        <v>0</v>
      </c>
    </row>
    <row r="32" spans="1:52" x14ac:dyDescent="0.25">
      <c r="A32" s="397"/>
      <c r="B32" s="397"/>
      <c r="C32" s="397"/>
      <c r="D32" s="1018" t="s">
        <v>309</v>
      </c>
      <c r="E32" s="1019"/>
      <c r="F32" s="1020"/>
      <c r="G32" s="418" t="s">
        <v>292</v>
      </c>
      <c r="H32" s="419"/>
      <c r="I32" s="421"/>
      <c r="J32" s="416">
        <f t="shared" si="1"/>
        <v>0</v>
      </c>
      <c r="K32" s="1018" t="s">
        <v>402</v>
      </c>
      <c r="L32" s="1019"/>
      <c r="M32" s="1019"/>
      <c r="N32" s="418" t="s">
        <v>292</v>
      </c>
      <c r="O32" s="419"/>
      <c r="P32" s="421"/>
      <c r="Q32" s="416">
        <f t="shared" si="0"/>
        <v>0</v>
      </c>
      <c r="R32" s="1018"/>
      <c r="S32" s="1019"/>
      <c r="T32" s="1019"/>
      <c r="U32" s="418"/>
      <c r="V32" s="419"/>
      <c r="W32" s="421"/>
      <c r="X32" s="416">
        <f t="shared" si="2"/>
        <v>0</v>
      </c>
      <c r="Y32" s="1018"/>
      <c r="Z32" s="1019"/>
      <c r="AA32" s="1019"/>
      <c r="AB32" s="418"/>
      <c r="AC32" s="419"/>
      <c r="AD32" s="421"/>
      <c r="AE32" s="416">
        <f t="shared" si="3"/>
        <v>0</v>
      </c>
      <c r="AF32" s="1018"/>
      <c r="AG32" s="1019"/>
      <c r="AH32" s="1019"/>
      <c r="AI32" s="418"/>
      <c r="AJ32" s="419"/>
      <c r="AK32" s="421"/>
      <c r="AL32" s="416">
        <f t="shared" si="4"/>
        <v>0</v>
      </c>
      <c r="AM32" s="1018" t="s">
        <v>418</v>
      </c>
      <c r="AN32" s="1019"/>
      <c r="AO32" s="1019"/>
      <c r="AP32" s="418" t="s">
        <v>261</v>
      </c>
      <c r="AQ32" s="419"/>
      <c r="AR32" s="421"/>
      <c r="AS32" s="416">
        <f t="shared" si="5"/>
        <v>0</v>
      </c>
      <c r="AT32" s="1018"/>
      <c r="AU32" s="1019"/>
      <c r="AV32" s="1019"/>
      <c r="AW32" s="418"/>
      <c r="AX32" s="419"/>
      <c r="AY32" s="421"/>
      <c r="AZ32" s="417">
        <f t="shared" si="6"/>
        <v>0</v>
      </c>
    </row>
    <row r="33" spans="1:52" x14ac:dyDescent="0.25">
      <c r="A33" s="397"/>
      <c r="B33" s="397"/>
      <c r="C33" s="397"/>
      <c r="D33" s="1018" t="s">
        <v>430</v>
      </c>
      <c r="E33" s="1019"/>
      <c r="F33" s="1020"/>
      <c r="G33" s="418" t="s">
        <v>292</v>
      </c>
      <c r="H33" s="419"/>
      <c r="I33" s="421"/>
      <c r="J33" s="416">
        <f t="shared" si="1"/>
        <v>0</v>
      </c>
      <c r="K33" s="1018" t="s">
        <v>403</v>
      </c>
      <c r="L33" s="1019"/>
      <c r="M33" s="1019"/>
      <c r="N33" s="418" t="s">
        <v>288</v>
      </c>
      <c r="O33" s="419"/>
      <c r="P33" s="421"/>
      <c r="Q33" s="416">
        <f t="shared" si="0"/>
        <v>0</v>
      </c>
      <c r="R33" s="1018"/>
      <c r="S33" s="1019"/>
      <c r="T33" s="1019"/>
      <c r="U33" s="418"/>
      <c r="V33" s="419"/>
      <c r="W33" s="421"/>
      <c r="X33" s="416">
        <f t="shared" si="2"/>
        <v>0</v>
      </c>
      <c r="Y33" s="1018"/>
      <c r="Z33" s="1019"/>
      <c r="AA33" s="1019"/>
      <c r="AB33" s="418"/>
      <c r="AC33" s="419"/>
      <c r="AD33" s="421"/>
      <c r="AE33" s="416">
        <f t="shared" si="3"/>
        <v>0</v>
      </c>
      <c r="AF33" s="1018"/>
      <c r="AG33" s="1019"/>
      <c r="AH33" s="1019"/>
      <c r="AI33" s="418"/>
      <c r="AJ33" s="419"/>
      <c r="AK33" s="421"/>
      <c r="AL33" s="416">
        <f t="shared" si="4"/>
        <v>0</v>
      </c>
      <c r="AM33" s="1018" t="s">
        <v>419</v>
      </c>
      <c r="AN33" s="1019"/>
      <c r="AO33" s="1019"/>
      <c r="AP33" s="418" t="s">
        <v>261</v>
      </c>
      <c r="AQ33" s="419"/>
      <c r="AR33" s="421"/>
      <c r="AS33" s="416">
        <f t="shared" si="5"/>
        <v>0</v>
      </c>
      <c r="AT33" s="1018"/>
      <c r="AU33" s="1019"/>
      <c r="AV33" s="1019"/>
      <c r="AW33" s="418"/>
      <c r="AX33" s="419"/>
      <c r="AY33" s="421"/>
      <c r="AZ33" s="417">
        <f t="shared" si="6"/>
        <v>0</v>
      </c>
    </row>
    <row r="34" spans="1:52" x14ac:dyDescent="0.25">
      <c r="A34" s="397"/>
      <c r="B34" s="397"/>
      <c r="C34" s="397"/>
      <c r="D34" s="1018" t="s">
        <v>431</v>
      </c>
      <c r="E34" s="1019"/>
      <c r="F34" s="1020"/>
      <c r="G34" s="418" t="s">
        <v>292</v>
      </c>
      <c r="H34" s="419"/>
      <c r="I34" s="421"/>
      <c r="J34" s="416">
        <f t="shared" si="1"/>
        <v>0</v>
      </c>
      <c r="K34" s="1018" t="s">
        <v>404</v>
      </c>
      <c r="L34" s="1019"/>
      <c r="M34" s="1019"/>
      <c r="N34" s="418" t="s">
        <v>292</v>
      </c>
      <c r="O34" s="419"/>
      <c r="P34" s="421"/>
      <c r="Q34" s="416">
        <f t="shared" si="0"/>
        <v>0</v>
      </c>
      <c r="R34" s="1018"/>
      <c r="S34" s="1019"/>
      <c r="T34" s="1019"/>
      <c r="U34" s="418"/>
      <c r="V34" s="419"/>
      <c r="W34" s="421"/>
      <c r="X34" s="416">
        <f t="shared" si="2"/>
        <v>0</v>
      </c>
      <c r="Y34" s="1018"/>
      <c r="Z34" s="1019"/>
      <c r="AA34" s="1019"/>
      <c r="AB34" s="418"/>
      <c r="AC34" s="419"/>
      <c r="AD34" s="421"/>
      <c r="AE34" s="416">
        <f t="shared" si="3"/>
        <v>0</v>
      </c>
      <c r="AF34" s="1018"/>
      <c r="AG34" s="1019"/>
      <c r="AH34" s="1019"/>
      <c r="AI34" s="418"/>
      <c r="AJ34" s="419"/>
      <c r="AK34" s="421"/>
      <c r="AL34" s="416">
        <f t="shared" si="4"/>
        <v>0</v>
      </c>
      <c r="AM34" s="1018"/>
      <c r="AN34" s="1019"/>
      <c r="AO34" s="1019"/>
      <c r="AP34" s="418"/>
      <c r="AQ34" s="419"/>
      <c r="AR34" s="421"/>
      <c r="AS34" s="416">
        <f t="shared" si="5"/>
        <v>0</v>
      </c>
      <c r="AT34" s="1018"/>
      <c r="AU34" s="1019"/>
      <c r="AV34" s="1019"/>
      <c r="AW34" s="418"/>
      <c r="AX34" s="419"/>
      <c r="AY34" s="421"/>
      <c r="AZ34" s="417">
        <f t="shared" si="6"/>
        <v>0</v>
      </c>
    </row>
    <row r="35" spans="1:52" x14ac:dyDescent="0.25">
      <c r="A35" s="397"/>
      <c r="B35" s="397"/>
      <c r="C35" s="397"/>
      <c r="D35" s="1018" t="s">
        <v>310</v>
      </c>
      <c r="E35" s="1019"/>
      <c r="F35" s="1020"/>
      <c r="G35" s="422" t="s">
        <v>292</v>
      </c>
      <c r="H35" s="419"/>
      <c r="I35" s="421"/>
      <c r="J35" s="416">
        <f t="shared" si="1"/>
        <v>0</v>
      </c>
      <c r="K35" s="1018" t="s">
        <v>405</v>
      </c>
      <c r="L35" s="1019"/>
      <c r="M35" s="1019"/>
      <c r="N35" s="422" t="s">
        <v>292</v>
      </c>
      <c r="O35" s="419"/>
      <c r="P35" s="421"/>
      <c r="Q35" s="416">
        <f t="shared" si="0"/>
        <v>0</v>
      </c>
      <c r="R35" s="1018"/>
      <c r="S35" s="1019"/>
      <c r="T35" s="1019"/>
      <c r="U35" s="422"/>
      <c r="V35" s="419"/>
      <c r="W35" s="421"/>
      <c r="X35" s="416">
        <f t="shared" si="2"/>
        <v>0</v>
      </c>
      <c r="Y35" s="1018"/>
      <c r="Z35" s="1019"/>
      <c r="AA35" s="1019"/>
      <c r="AB35" s="422"/>
      <c r="AC35" s="419"/>
      <c r="AD35" s="421"/>
      <c r="AE35" s="416">
        <f t="shared" si="3"/>
        <v>0</v>
      </c>
      <c r="AF35" s="1018"/>
      <c r="AG35" s="1019"/>
      <c r="AH35" s="1019"/>
      <c r="AI35" s="422"/>
      <c r="AJ35" s="419"/>
      <c r="AK35" s="421"/>
      <c r="AL35" s="416">
        <f t="shared" si="4"/>
        <v>0</v>
      </c>
      <c r="AM35" s="1018"/>
      <c r="AN35" s="1019"/>
      <c r="AO35" s="1019"/>
      <c r="AP35" s="422"/>
      <c r="AQ35" s="419"/>
      <c r="AR35" s="421"/>
      <c r="AS35" s="416">
        <f t="shared" si="5"/>
        <v>0</v>
      </c>
      <c r="AT35" s="1018"/>
      <c r="AU35" s="1019"/>
      <c r="AV35" s="1019"/>
      <c r="AW35" s="422"/>
      <c r="AX35" s="419"/>
      <c r="AY35" s="421"/>
      <c r="AZ35" s="417">
        <f t="shared" si="6"/>
        <v>0</v>
      </c>
    </row>
    <row r="36" spans="1:52" x14ac:dyDescent="0.25">
      <c r="A36" s="397"/>
      <c r="B36" s="397"/>
      <c r="C36" s="397"/>
      <c r="D36" s="1018" t="s">
        <v>311</v>
      </c>
      <c r="E36" s="1019"/>
      <c r="F36" s="1020"/>
      <c r="G36" s="422" t="s">
        <v>295</v>
      </c>
      <c r="H36" s="419"/>
      <c r="I36" s="421"/>
      <c r="J36" s="416">
        <f t="shared" si="1"/>
        <v>0</v>
      </c>
      <c r="K36" s="1018" t="s">
        <v>406</v>
      </c>
      <c r="L36" s="1019"/>
      <c r="M36" s="1019"/>
      <c r="N36" s="422" t="s">
        <v>315</v>
      </c>
      <c r="O36" s="419"/>
      <c r="P36" s="421"/>
      <c r="Q36" s="416">
        <f t="shared" si="0"/>
        <v>0</v>
      </c>
      <c r="R36" s="1018"/>
      <c r="S36" s="1019"/>
      <c r="T36" s="1019"/>
      <c r="U36" s="422"/>
      <c r="V36" s="419"/>
      <c r="W36" s="421"/>
      <c r="X36" s="416">
        <f t="shared" si="2"/>
        <v>0</v>
      </c>
      <c r="Y36" s="1018"/>
      <c r="Z36" s="1019"/>
      <c r="AA36" s="1019"/>
      <c r="AB36" s="422"/>
      <c r="AC36" s="419"/>
      <c r="AD36" s="421"/>
      <c r="AE36" s="416">
        <f t="shared" si="3"/>
        <v>0</v>
      </c>
      <c r="AF36" s="1018"/>
      <c r="AG36" s="1019"/>
      <c r="AH36" s="1019"/>
      <c r="AI36" s="422"/>
      <c r="AJ36" s="419"/>
      <c r="AK36" s="421"/>
      <c r="AL36" s="416">
        <f t="shared" si="4"/>
        <v>0</v>
      </c>
      <c r="AM36" s="1018"/>
      <c r="AN36" s="1019"/>
      <c r="AO36" s="1019"/>
      <c r="AP36" s="422"/>
      <c r="AQ36" s="419"/>
      <c r="AR36" s="421"/>
      <c r="AS36" s="416">
        <f t="shared" si="5"/>
        <v>0</v>
      </c>
      <c r="AT36" s="1018"/>
      <c r="AU36" s="1019"/>
      <c r="AV36" s="1019"/>
      <c r="AW36" s="422"/>
      <c r="AX36" s="419"/>
      <c r="AY36" s="421"/>
      <c r="AZ36" s="417">
        <f t="shared" si="6"/>
        <v>0</v>
      </c>
    </row>
    <row r="37" spans="1:52" x14ac:dyDescent="0.25">
      <c r="A37" s="397"/>
      <c r="B37" s="397"/>
      <c r="C37" s="397"/>
      <c r="D37" s="1018" t="s">
        <v>432</v>
      </c>
      <c r="E37" s="1019"/>
      <c r="F37" s="1020"/>
      <c r="G37" s="422" t="s">
        <v>292</v>
      </c>
      <c r="H37" s="419"/>
      <c r="I37" s="421"/>
      <c r="J37" s="416">
        <f t="shared" si="1"/>
        <v>0</v>
      </c>
      <c r="K37" s="1018" t="s">
        <v>386</v>
      </c>
      <c r="L37" s="1019"/>
      <c r="M37" s="1019"/>
      <c r="N37" s="422" t="s">
        <v>292</v>
      </c>
      <c r="O37" s="419"/>
      <c r="P37" s="421"/>
      <c r="Q37" s="416">
        <f t="shared" si="0"/>
        <v>0</v>
      </c>
      <c r="R37" s="1018"/>
      <c r="S37" s="1019"/>
      <c r="T37" s="1019"/>
      <c r="U37" s="422"/>
      <c r="V37" s="419"/>
      <c r="W37" s="421"/>
      <c r="X37" s="416">
        <f t="shared" si="2"/>
        <v>0</v>
      </c>
      <c r="Y37" s="1018"/>
      <c r="Z37" s="1019"/>
      <c r="AA37" s="1019"/>
      <c r="AB37" s="422"/>
      <c r="AC37" s="419"/>
      <c r="AD37" s="421"/>
      <c r="AE37" s="416">
        <f t="shared" si="3"/>
        <v>0</v>
      </c>
      <c r="AF37" s="1018"/>
      <c r="AG37" s="1019"/>
      <c r="AH37" s="1019"/>
      <c r="AI37" s="422"/>
      <c r="AJ37" s="419"/>
      <c r="AK37" s="421"/>
      <c r="AL37" s="416">
        <f t="shared" si="4"/>
        <v>0</v>
      </c>
      <c r="AM37" s="1018"/>
      <c r="AN37" s="1019"/>
      <c r="AO37" s="1019"/>
      <c r="AP37" s="422"/>
      <c r="AQ37" s="419"/>
      <c r="AR37" s="421"/>
      <c r="AS37" s="416">
        <f t="shared" si="5"/>
        <v>0</v>
      </c>
      <c r="AT37" s="1018"/>
      <c r="AU37" s="1019"/>
      <c r="AV37" s="1019"/>
      <c r="AW37" s="422"/>
      <c r="AX37" s="419"/>
      <c r="AY37" s="421"/>
      <c r="AZ37" s="417">
        <f t="shared" si="6"/>
        <v>0</v>
      </c>
    </row>
    <row r="38" spans="1:52" x14ac:dyDescent="0.25">
      <c r="A38" s="397"/>
      <c r="B38" s="397"/>
      <c r="C38" s="397"/>
      <c r="D38" s="1018" t="s">
        <v>433</v>
      </c>
      <c r="E38" s="1019"/>
      <c r="F38" s="1020"/>
      <c r="G38" s="422" t="s">
        <v>292</v>
      </c>
      <c r="H38" s="419"/>
      <c r="I38" s="421"/>
      <c r="J38" s="416">
        <f t="shared" si="1"/>
        <v>0</v>
      </c>
      <c r="K38" s="1018" t="s">
        <v>407</v>
      </c>
      <c r="L38" s="1019"/>
      <c r="M38" s="1019"/>
      <c r="N38" s="422" t="s">
        <v>292</v>
      </c>
      <c r="O38" s="419"/>
      <c r="P38" s="421"/>
      <c r="Q38" s="416">
        <f t="shared" si="0"/>
        <v>0</v>
      </c>
      <c r="R38" s="1018"/>
      <c r="S38" s="1019"/>
      <c r="T38" s="1019"/>
      <c r="U38" s="422"/>
      <c r="V38" s="419"/>
      <c r="W38" s="421"/>
      <c r="X38" s="416">
        <f t="shared" si="2"/>
        <v>0</v>
      </c>
      <c r="Y38" s="1018"/>
      <c r="Z38" s="1019"/>
      <c r="AA38" s="1019"/>
      <c r="AB38" s="422"/>
      <c r="AC38" s="419"/>
      <c r="AD38" s="421"/>
      <c r="AE38" s="416">
        <f t="shared" si="3"/>
        <v>0</v>
      </c>
      <c r="AF38" s="1018"/>
      <c r="AG38" s="1019"/>
      <c r="AH38" s="1019"/>
      <c r="AI38" s="422"/>
      <c r="AJ38" s="419"/>
      <c r="AK38" s="421"/>
      <c r="AL38" s="416">
        <f t="shared" si="4"/>
        <v>0</v>
      </c>
      <c r="AM38" s="1018"/>
      <c r="AN38" s="1019"/>
      <c r="AO38" s="1019"/>
      <c r="AP38" s="422"/>
      <c r="AQ38" s="419"/>
      <c r="AR38" s="421"/>
      <c r="AS38" s="416">
        <f t="shared" si="5"/>
        <v>0</v>
      </c>
      <c r="AT38" s="1018"/>
      <c r="AU38" s="1019"/>
      <c r="AV38" s="1019"/>
      <c r="AW38" s="422"/>
      <c r="AX38" s="419"/>
      <c r="AY38" s="421"/>
      <c r="AZ38" s="417">
        <f t="shared" si="6"/>
        <v>0</v>
      </c>
    </row>
    <row r="39" spans="1:52" x14ac:dyDescent="0.25">
      <c r="A39" s="397"/>
      <c r="B39" s="397"/>
      <c r="C39" s="397"/>
      <c r="D39" s="1018" t="s">
        <v>434</v>
      </c>
      <c r="E39" s="1019"/>
      <c r="F39" s="1020"/>
      <c r="G39" s="422" t="s">
        <v>292</v>
      </c>
      <c r="H39" s="419"/>
      <c r="I39" s="421"/>
      <c r="J39" s="416">
        <f t="shared" si="1"/>
        <v>0</v>
      </c>
      <c r="K39" s="1018" t="s">
        <v>408</v>
      </c>
      <c r="L39" s="1019"/>
      <c r="M39" s="1019"/>
      <c r="N39" s="422" t="s">
        <v>374</v>
      </c>
      <c r="O39" s="419"/>
      <c r="P39" s="421"/>
      <c r="Q39" s="416">
        <f t="shared" si="0"/>
        <v>0</v>
      </c>
      <c r="R39" s="1018"/>
      <c r="S39" s="1019"/>
      <c r="T39" s="1019"/>
      <c r="U39" s="422"/>
      <c r="V39" s="419"/>
      <c r="W39" s="421"/>
      <c r="X39" s="416">
        <f t="shared" si="2"/>
        <v>0</v>
      </c>
      <c r="Y39" s="1018"/>
      <c r="Z39" s="1019"/>
      <c r="AA39" s="1019"/>
      <c r="AB39" s="422"/>
      <c r="AC39" s="419"/>
      <c r="AD39" s="421"/>
      <c r="AE39" s="416">
        <f t="shared" si="3"/>
        <v>0</v>
      </c>
      <c r="AF39" s="1018"/>
      <c r="AG39" s="1019"/>
      <c r="AH39" s="1019"/>
      <c r="AI39" s="422"/>
      <c r="AJ39" s="419"/>
      <c r="AK39" s="421"/>
      <c r="AL39" s="416">
        <f t="shared" si="4"/>
        <v>0</v>
      </c>
      <c r="AM39" s="1018"/>
      <c r="AN39" s="1019"/>
      <c r="AO39" s="1019"/>
      <c r="AP39" s="422"/>
      <c r="AQ39" s="419"/>
      <c r="AR39" s="421"/>
      <c r="AS39" s="416">
        <f t="shared" si="5"/>
        <v>0</v>
      </c>
      <c r="AT39" s="1018"/>
      <c r="AU39" s="1019"/>
      <c r="AV39" s="1019"/>
      <c r="AW39" s="422"/>
      <c r="AX39" s="419"/>
      <c r="AY39" s="421"/>
      <c r="AZ39" s="417">
        <f t="shared" si="6"/>
        <v>0</v>
      </c>
    </row>
    <row r="40" spans="1:52" x14ac:dyDescent="0.25">
      <c r="A40" s="397"/>
      <c r="B40" s="397"/>
      <c r="C40" s="397"/>
      <c r="D40" s="1018" t="s">
        <v>312</v>
      </c>
      <c r="E40" s="1019"/>
      <c r="F40" s="1020"/>
      <c r="G40" s="422" t="s">
        <v>295</v>
      </c>
      <c r="H40" s="419"/>
      <c r="I40" s="421"/>
      <c r="J40" s="416">
        <f t="shared" si="1"/>
        <v>0</v>
      </c>
      <c r="K40" s="1018" t="s">
        <v>409</v>
      </c>
      <c r="L40" s="1019"/>
      <c r="M40" s="1019"/>
      <c r="N40" s="422" t="s">
        <v>292</v>
      </c>
      <c r="O40" s="419"/>
      <c r="P40" s="421"/>
      <c r="Q40" s="416">
        <f t="shared" si="0"/>
        <v>0</v>
      </c>
      <c r="R40" s="1018"/>
      <c r="S40" s="1019"/>
      <c r="T40" s="1019"/>
      <c r="U40" s="422"/>
      <c r="V40" s="419"/>
      <c r="W40" s="421"/>
      <c r="X40" s="416">
        <f t="shared" si="2"/>
        <v>0</v>
      </c>
      <c r="Y40" s="1018"/>
      <c r="Z40" s="1019"/>
      <c r="AA40" s="1019"/>
      <c r="AB40" s="422"/>
      <c r="AC40" s="419"/>
      <c r="AD40" s="421"/>
      <c r="AE40" s="416">
        <f t="shared" si="3"/>
        <v>0</v>
      </c>
      <c r="AF40" s="1018"/>
      <c r="AG40" s="1019"/>
      <c r="AH40" s="1019"/>
      <c r="AI40" s="422"/>
      <c r="AJ40" s="419"/>
      <c r="AK40" s="421"/>
      <c r="AL40" s="416">
        <f t="shared" si="4"/>
        <v>0</v>
      </c>
      <c r="AM40" s="1018"/>
      <c r="AN40" s="1019"/>
      <c r="AO40" s="1019"/>
      <c r="AP40" s="422"/>
      <c r="AQ40" s="419"/>
      <c r="AR40" s="421"/>
      <c r="AS40" s="416">
        <f t="shared" si="5"/>
        <v>0</v>
      </c>
      <c r="AT40" s="1018"/>
      <c r="AU40" s="1019"/>
      <c r="AV40" s="1019"/>
      <c r="AW40" s="422"/>
      <c r="AX40" s="419"/>
      <c r="AY40" s="421"/>
      <c r="AZ40" s="417">
        <f t="shared" si="6"/>
        <v>0</v>
      </c>
    </row>
    <row r="41" spans="1:52" x14ac:dyDescent="0.25">
      <c r="A41" s="397"/>
      <c r="B41" s="397"/>
      <c r="C41" s="397"/>
      <c r="D41" s="1018" t="s">
        <v>435</v>
      </c>
      <c r="E41" s="1019"/>
      <c r="F41" s="1020"/>
      <c r="G41" s="422" t="s">
        <v>292</v>
      </c>
      <c r="H41" s="419"/>
      <c r="I41" s="421"/>
      <c r="J41" s="416">
        <f t="shared" si="1"/>
        <v>0</v>
      </c>
      <c r="K41" s="1018" t="s">
        <v>410</v>
      </c>
      <c r="L41" s="1019"/>
      <c r="M41" s="1019"/>
      <c r="N41" s="422" t="s">
        <v>292</v>
      </c>
      <c r="O41" s="419"/>
      <c r="P41" s="421"/>
      <c r="Q41" s="416">
        <f t="shared" si="0"/>
        <v>0</v>
      </c>
      <c r="R41" s="1018"/>
      <c r="S41" s="1019"/>
      <c r="T41" s="1019"/>
      <c r="U41" s="422"/>
      <c r="V41" s="419"/>
      <c r="W41" s="421"/>
      <c r="X41" s="416">
        <f t="shared" si="2"/>
        <v>0</v>
      </c>
      <c r="Y41" s="1018"/>
      <c r="Z41" s="1019"/>
      <c r="AA41" s="1019"/>
      <c r="AB41" s="422"/>
      <c r="AC41" s="419"/>
      <c r="AD41" s="421"/>
      <c r="AE41" s="416">
        <f t="shared" si="3"/>
        <v>0</v>
      </c>
      <c r="AF41" s="1018"/>
      <c r="AG41" s="1019"/>
      <c r="AH41" s="1019"/>
      <c r="AI41" s="422"/>
      <c r="AJ41" s="419"/>
      <c r="AK41" s="421"/>
      <c r="AL41" s="416">
        <f t="shared" si="4"/>
        <v>0</v>
      </c>
      <c r="AM41" s="1018"/>
      <c r="AN41" s="1019"/>
      <c r="AO41" s="1019"/>
      <c r="AP41" s="422"/>
      <c r="AQ41" s="419"/>
      <c r="AR41" s="421"/>
      <c r="AS41" s="416">
        <f t="shared" si="5"/>
        <v>0</v>
      </c>
      <c r="AT41" s="1018"/>
      <c r="AU41" s="1019"/>
      <c r="AV41" s="1019"/>
      <c r="AW41" s="422"/>
      <c r="AX41" s="419"/>
      <c r="AY41" s="421"/>
      <c r="AZ41" s="417">
        <f t="shared" si="6"/>
        <v>0</v>
      </c>
    </row>
    <row r="42" spans="1:52" x14ac:dyDescent="0.25">
      <c r="A42" s="397"/>
      <c r="B42" s="397"/>
      <c r="C42" s="397"/>
      <c r="D42" s="1018" t="s">
        <v>436</v>
      </c>
      <c r="E42" s="1019"/>
      <c r="F42" s="1020"/>
      <c r="G42" s="422" t="s">
        <v>292</v>
      </c>
      <c r="H42" s="419"/>
      <c r="I42" s="421"/>
      <c r="J42" s="416">
        <f t="shared" si="1"/>
        <v>0</v>
      </c>
      <c r="K42" s="1018" t="s">
        <v>411</v>
      </c>
      <c r="L42" s="1019"/>
      <c r="M42" s="1019"/>
      <c r="N42" s="422" t="s">
        <v>292</v>
      </c>
      <c r="O42" s="419"/>
      <c r="P42" s="421"/>
      <c r="Q42" s="416">
        <f t="shared" si="0"/>
        <v>0</v>
      </c>
      <c r="R42" s="1018"/>
      <c r="S42" s="1019"/>
      <c r="T42" s="1019"/>
      <c r="U42" s="422"/>
      <c r="V42" s="419"/>
      <c r="W42" s="421"/>
      <c r="X42" s="416">
        <f t="shared" si="2"/>
        <v>0</v>
      </c>
      <c r="Y42" s="1018"/>
      <c r="Z42" s="1019"/>
      <c r="AA42" s="1019"/>
      <c r="AB42" s="422"/>
      <c r="AC42" s="419"/>
      <c r="AD42" s="421"/>
      <c r="AE42" s="416">
        <f t="shared" si="3"/>
        <v>0</v>
      </c>
      <c r="AF42" s="1018"/>
      <c r="AG42" s="1019"/>
      <c r="AH42" s="1019"/>
      <c r="AI42" s="422"/>
      <c r="AJ42" s="419"/>
      <c r="AK42" s="421"/>
      <c r="AL42" s="416">
        <f t="shared" si="4"/>
        <v>0</v>
      </c>
      <c r="AM42" s="1018"/>
      <c r="AN42" s="1019"/>
      <c r="AO42" s="1019"/>
      <c r="AP42" s="422"/>
      <c r="AQ42" s="419"/>
      <c r="AR42" s="421"/>
      <c r="AS42" s="416">
        <f t="shared" si="5"/>
        <v>0</v>
      </c>
      <c r="AT42" s="1018"/>
      <c r="AU42" s="1019"/>
      <c r="AV42" s="1019"/>
      <c r="AW42" s="422"/>
      <c r="AX42" s="419"/>
      <c r="AY42" s="421"/>
      <c r="AZ42" s="417">
        <f t="shared" si="6"/>
        <v>0</v>
      </c>
    </row>
    <row r="43" spans="1:52" x14ac:dyDescent="0.25">
      <c r="A43" s="397"/>
      <c r="B43" s="397"/>
      <c r="C43" s="397"/>
      <c r="D43" s="1018" t="s">
        <v>437</v>
      </c>
      <c r="E43" s="1019"/>
      <c r="F43" s="1020"/>
      <c r="G43" s="422" t="s">
        <v>292</v>
      </c>
      <c r="H43" s="419"/>
      <c r="I43" s="421"/>
      <c r="J43" s="416">
        <f t="shared" si="1"/>
        <v>0</v>
      </c>
      <c r="K43" s="1018" t="s">
        <v>412</v>
      </c>
      <c r="L43" s="1019"/>
      <c r="M43" s="1019"/>
      <c r="N43" s="422" t="s">
        <v>292</v>
      </c>
      <c r="O43" s="419"/>
      <c r="P43" s="421"/>
      <c r="Q43" s="416">
        <f t="shared" si="0"/>
        <v>0</v>
      </c>
      <c r="R43" s="1018"/>
      <c r="S43" s="1019"/>
      <c r="T43" s="1019"/>
      <c r="U43" s="422"/>
      <c r="V43" s="419"/>
      <c r="W43" s="421"/>
      <c r="X43" s="416">
        <f t="shared" si="2"/>
        <v>0</v>
      </c>
      <c r="Y43" s="1018"/>
      <c r="Z43" s="1019"/>
      <c r="AA43" s="1019"/>
      <c r="AB43" s="422"/>
      <c r="AC43" s="419"/>
      <c r="AD43" s="421"/>
      <c r="AE43" s="416">
        <f t="shared" si="3"/>
        <v>0</v>
      </c>
      <c r="AF43" s="1018"/>
      <c r="AG43" s="1019"/>
      <c r="AH43" s="1019"/>
      <c r="AI43" s="422"/>
      <c r="AJ43" s="419"/>
      <c r="AK43" s="421"/>
      <c r="AL43" s="416">
        <f t="shared" si="4"/>
        <v>0</v>
      </c>
      <c r="AM43" s="1018"/>
      <c r="AN43" s="1019"/>
      <c r="AO43" s="1019"/>
      <c r="AP43" s="422"/>
      <c r="AQ43" s="419"/>
      <c r="AR43" s="421"/>
      <c r="AS43" s="416">
        <f t="shared" si="5"/>
        <v>0</v>
      </c>
      <c r="AT43" s="1018"/>
      <c r="AU43" s="1019"/>
      <c r="AV43" s="1019"/>
      <c r="AW43" s="422"/>
      <c r="AX43" s="419"/>
      <c r="AY43" s="421"/>
      <c r="AZ43" s="417">
        <f t="shared" si="6"/>
        <v>0</v>
      </c>
    </row>
    <row r="44" spans="1:52" x14ac:dyDescent="0.25">
      <c r="A44" s="397"/>
      <c r="B44" s="397"/>
      <c r="C44" s="397"/>
      <c r="D44" s="1018" t="s">
        <v>313</v>
      </c>
      <c r="E44" s="1019"/>
      <c r="F44" s="1020"/>
      <c r="G44" s="422" t="s">
        <v>292</v>
      </c>
      <c r="H44" s="419"/>
      <c r="I44" s="421"/>
      <c r="J44" s="416">
        <f t="shared" si="1"/>
        <v>0</v>
      </c>
      <c r="K44" s="1018" t="s">
        <v>413</v>
      </c>
      <c r="L44" s="1019"/>
      <c r="M44" s="1019"/>
      <c r="N44" s="422" t="s">
        <v>292</v>
      </c>
      <c r="O44" s="419"/>
      <c r="P44" s="421"/>
      <c r="Q44" s="416">
        <f t="shared" si="0"/>
        <v>0</v>
      </c>
      <c r="R44" s="1018"/>
      <c r="S44" s="1019"/>
      <c r="T44" s="1019"/>
      <c r="U44" s="422"/>
      <c r="V44" s="419"/>
      <c r="W44" s="421"/>
      <c r="X44" s="416">
        <f t="shared" si="2"/>
        <v>0</v>
      </c>
      <c r="Y44" s="1018"/>
      <c r="Z44" s="1019"/>
      <c r="AA44" s="1019"/>
      <c r="AB44" s="422"/>
      <c r="AC44" s="419"/>
      <c r="AD44" s="421"/>
      <c r="AE44" s="416">
        <f t="shared" si="3"/>
        <v>0</v>
      </c>
      <c r="AF44" s="1018"/>
      <c r="AG44" s="1019"/>
      <c r="AH44" s="1019"/>
      <c r="AI44" s="422"/>
      <c r="AJ44" s="419"/>
      <c r="AK44" s="421"/>
      <c r="AL44" s="416">
        <f t="shared" si="4"/>
        <v>0</v>
      </c>
      <c r="AM44" s="1018"/>
      <c r="AN44" s="1019"/>
      <c r="AO44" s="1019"/>
      <c r="AP44" s="422"/>
      <c r="AQ44" s="419"/>
      <c r="AR44" s="421"/>
      <c r="AS44" s="416">
        <f t="shared" si="5"/>
        <v>0</v>
      </c>
      <c r="AT44" s="1018"/>
      <c r="AU44" s="1019"/>
      <c r="AV44" s="1019"/>
      <c r="AW44" s="422"/>
      <c r="AX44" s="419"/>
      <c r="AY44" s="421"/>
      <c r="AZ44" s="417">
        <f t="shared" si="6"/>
        <v>0</v>
      </c>
    </row>
    <row r="45" spans="1:52" x14ac:dyDescent="0.25">
      <c r="A45" s="397"/>
      <c r="B45" s="397"/>
      <c r="C45" s="397"/>
      <c r="D45" s="1018" t="s">
        <v>314</v>
      </c>
      <c r="E45" s="1019"/>
      <c r="F45" s="1020"/>
      <c r="G45" s="422" t="s">
        <v>315</v>
      </c>
      <c r="H45" s="419"/>
      <c r="I45" s="421"/>
      <c r="J45" s="416">
        <f t="shared" si="1"/>
        <v>0</v>
      </c>
      <c r="K45" s="1018" t="s">
        <v>414</v>
      </c>
      <c r="L45" s="1019"/>
      <c r="M45" s="1019"/>
      <c r="N45" s="422" t="s">
        <v>292</v>
      </c>
      <c r="O45" s="419"/>
      <c r="P45" s="421"/>
      <c r="Q45" s="416">
        <f t="shared" si="0"/>
        <v>0</v>
      </c>
      <c r="R45" s="1018"/>
      <c r="S45" s="1019"/>
      <c r="T45" s="1019"/>
      <c r="U45" s="422"/>
      <c r="V45" s="419"/>
      <c r="W45" s="421"/>
      <c r="X45" s="416">
        <f t="shared" si="2"/>
        <v>0</v>
      </c>
      <c r="Y45" s="1018"/>
      <c r="Z45" s="1019"/>
      <c r="AA45" s="1019"/>
      <c r="AB45" s="422"/>
      <c r="AC45" s="419"/>
      <c r="AD45" s="421"/>
      <c r="AE45" s="416">
        <f t="shared" si="3"/>
        <v>0</v>
      </c>
      <c r="AF45" s="1018"/>
      <c r="AG45" s="1019"/>
      <c r="AH45" s="1019"/>
      <c r="AI45" s="422"/>
      <c r="AJ45" s="419"/>
      <c r="AK45" s="421"/>
      <c r="AL45" s="416">
        <f t="shared" si="4"/>
        <v>0</v>
      </c>
      <c r="AM45" s="1018"/>
      <c r="AN45" s="1019"/>
      <c r="AO45" s="1019"/>
      <c r="AP45" s="422"/>
      <c r="AQ45" s="419"/>
      <c r="AR45" s="421"/>
      <c r="AS45" s="416">
        <f t="shared" si="5"/>
        <v>0</v>
      </c>
      <c r="AT45" s="1018"/>
      <c r="AU45" s="1019"/>
      <c r="AV45" s="1019"/>
      <c r="AW45" s="422"/>
      <c r="AX45" s="419"/>
      <c r="AY45" s="421"/>
      <c r="AZ45" s="417">
        <f t="shared" si="6"/>
        <v>0</v>
      </c>
    </row>
    <row r="46" spans="1:52" x14ac:dyDescent="0.25">
      <c r="A46" s="397"/>
      <c r="B46" s="397"/>
      <c r="C46" s="397"/>
      <c r="D46" s="1018" t="s">
        <v>316</v>
      </c>
      <c r="E46" s="1019"/>
      <c r="F46" s="1020"/>
      <c r="G46" s="422" t="s">
        <v>295</v>
      </c>
      <c r="H46" s="419"/>
      <c r="I46" s="421"/>
      <c r="J46" s="416">
        <f t="shared" si="1"/>
        <v>0</v>
      </c>
      <c r="K46" s="1018" t="s">
        <v>415</v>
      </c>
      <c r="L46" s="1019"/>
      <c r="M46" s="1019"/>
      <c r="N46" s="422" t="s">
        <v>292</v>
      </c>
      <c r="O46" s="419"/>
      <c r="P46" s="421"/>
      <c r="Q46" s="416">
        <f t="shared" si="0"/>
        <v>0</v>
      </c>
      <c r="R46" s="1018"/>
      <c r="S46" s="1019"/>
      <c r="T46" s="1019"/>
      <c r="U46" s="422"/>
      <c r="V46" s="419"/>
      <c r="W46" s="421"/>
      <c r="X46" s="416">
        <f t="shared" si="2"/>
        <v>0</v>
      </c>
      <c r="Y46" s="1018"/>
      <c r="Z46" s="1019"/>
      <c r="AA46" s="1019"/>
      <c r="AB46" s="422"/>
      <c r="AC46" s="419"/>
      <c r="AD46" s="421"/>
      <c r="AE46" s="416">
        <f t="shared" si="3"/>
        <v>0</v>
      </c>
      <c r="AF46" s="1018"/>
      <c r="AG46" s="1019"/>
      <c r="AH46" s="1019"/>
      <c r="AI46" s="422"/>
      <c r="AJ46" s="419"/>
      <c r="AK46" s="421"/>
      <c r="AL46" s="416">
        <f t="shared" si="4"/>
        <v>0</v>
      </c>
      <c r="AM46" s="1018"/>
      <c r="AN46" s="1019"/>
      <c r="AO46" s="1019"/>
      <c r="AP46" s="422"/>
      <c r="AQ46" s="419"/>
      <c r="AR46" s="421"/>
      <c r="AS46" s="416">
        <f t="shared" si="5"/>
        <v>0</v>
      </c>
      <c r="AT46" s="1018"/>
      <c r="AU46" s="1019"/>
      <c r="AV46" s="1019"/>
      <c r="AW46" s="422"/>
      <c r="AX46" s="419"/>
      <c r="AY46" s="421"/>
      <c r="AZ46" s="417">
        <f t="shared" si="6"/>
        <v>0</v>
      </c>
    </row>
    <row r="47" spans="1:52" x14ac:dyDescent="0.25">
      <c r="A47" s="397"/>
      <c r="B47" s="397"/>
      <c r="C47" s="397"/>
      <c r="D47" s="1018" t="s">
        <v>317</v>
      </c>
      <c r="E47" s="1019"/>
      <c r="F47" s="1020"/>
      <c r="G47" s="422" t="s">
        <v>292</v>
      </c>
      <c r="H47" s="419"/>
      <c r="I47" s="421"/>
      <c r="J47" s="416">
        <f t="shared" si="1"/>
        <v>0</v>
      </c>
      <c r="K47" s="1018" t="s">
        <v>416</v>
      </c>
      <c r="L47" s="1019"/>
      <c r="M47" s="1019"/>
      <c r="N47" s="422" t="s">
        <v>292</v>
      </c>
      <c r="O47" s="419"/>
      <c r="P47" s="421"/>
      <c r="Q47" s="416">
        <f>O47*P47</f>
        <v>0</v>
      </c>
      <c r="R47" s="1018"/>
      <c r="S47" s="1019"/>
      <c r="T47" s="1019"/>
      <c r="U47" s="422"/>
      <c r="V47" s="419"/>
      <c r="W47" s="421"/>
      <c r="X47" s="416">
        <f t="shared" si="2"/>
        <v>0</v>
      </c>
      <c r="Y47" s="1018"/>
      <c r="Z47" s="1019"/>
      <c r="AA47" s="1019"/>
      <c r="AB47" s="422"/>
      <c r="AC47" s="419"/>
      <c r="AD47" s="421"/>
      <c r="AE47" s="416">
        <f t="shared" si="3"/>
        <v>0</v>
      </c>
      <c r="AF47" s="1018"/>
      <c r="AG47" s="1019"/>
      <c r="AH47" s="1019"/>
      <c r="AI47" s="422"/>
      <c r="AJ47" s="419"/>
      <c r="AK47" s="421"/>
      <c r="AL47" s="416">
        <f t="shared" si="4"/>
        <v>0</v>
      </c>
      <c r="AM47" s="1018"/>
      <c r="AN47" s="1019"/>
      <c r="AO47" s="1019"/>
      <c r="AP47" s="422"/>
      <c r="AQ47" s="419"/>
      <c r="AR47" s="421"/>
      <c r="AS47" s="416">
        <f t="shared" si="5"/>
        <v>0</v>
      </c>
      <c r="AT47" s="1018"/>
      <c r="AU47" s="1019"/>
      <c r="AV47" s="1019"/>
      <c r="AW47" s="422"/>
      <c r="AX47" s="419"/>
      <c r="AY47" s="421"/>
      <c r="AZ47" s="417">
        <f t="shared" si="6"/>
        <v>0</v>
      </c>
    </row>
    <row r="48" spans="1:52" x14ac:dyDescent="0.25">
      <c r="A48" s="397"/>
      <c r="B48" s="397"/>
      <c r="C48" s="397"/>
      <c r="D48" s="1018" t="s">
        <v>318</v>
      </c>
      <c r="E48" s="1019"/>
      <c r="F48" s="1020"/>
      <c r="G48" s="422" t="s">
        <v>295</v>
      </c>
      <c r="H48" s="419"/>
      <c r="I48" s="421"/>
      <c r="J48" s="416">
        <f t="shared" si="1"/>
        <v>0</v>
      </c>
      <c r="K48" s="1018" t="s">
        <v>422</v>
      </c>
      <c r="L48" s="1019"/>
      <c r="M48" s="1019"/>
      <c r="N48" s="422" t="s">
        <v>374</v>
      </c>
      <c r="O48" s="419"/>
      <c r="P48" s="421"/>
      <c r="Q48" s="416">
        <f t="shared" ref="Q48:Q72" si="7">O48*P48</f>
        <v>0</v>
      </c>
      <c r="R48" s="1018"/>
      <c r="S48" s="1019"/>
      <c r="T48" s="1019"/>
      <c r="U48" s="422"/>
      <c r="V48" s="419"/>
      <c r="W48" s="421"/>
      <c r="X48" s="416">
        <f t="shared" si="2"/>
        <v>0</v>
      </c>
      <c r="Y48" s="1018"/>
      <c r="Z48" s="1019"/>
      <c r="AA48" s="1019"/>
      <c r="AB48" s="422"/>
      <c r="AC48" s="419"/>
      <c r="AD48" s="421"/>
      <c r="AE48" s="416">
        <f t="shared" si="3"/>
        <v>0</v>
      </c>
      <c r="AF48" s="1018"/>
      <c r="AG48" s="1019"/>
      <c r="AH48" s="1019"/>
      <c r="AI48" s="422"/>
      <c r="AJ48" s="419"/>
      <c r="AK48" s="421"/>
      <c r="AL48" s="416">
        <f t="shared" si="4"/>
        <v>0</v>
      </c>
      <c r="AM48" s="1018"/>
      <c r="AN48" s="1019"/>
      <c r="AO48" s="1019"/>
      <c r="AP48" s="422"/>
      <c r="AQ48" s="419"/>
      <c r="AR48" s="421"/>
      <c r="AS48" s="416">
        <f t="shared" si="5"/>
        <v>0</v>
      </c>
      <c r="AT48" s="1018"/>
      <c r="AU48" s="1019"/>
      <c r="AV48" s="1019"/>
      <c r="AW48" s="422"/>
      <c r="AX48" s="419"/>
      <c r="AY48" s="421"/>
      <c r="AZ48" s="417">
        <f t="shared" si="6"/>
        <v>0</v>
      </c>
    </row>
    <row r="49" spans="1:52" x14ac:dyDescent="0.25">
      <c r="A49" s="397"/>
      <c r="B49" s="397"/>
      <c r="C49" s="397"/>
      <c r="D49" s="1018" t="s">
        <v>319</v>
      </c>
      <c r="E49" s="1019"/>
      <c r="F49" s="1020"/>
      <c r="G49" s="422" t="s">
        <v>292</v>
      </c>
      <c r="H49" s="419"/>
      <c r="I49" s="421"/>
      <c r="J49" s="416">
        <f t="shared" si="1"/>
        <v>0</v>
      </c>
      <c r="K49" s="1018"/>
      <c r="L49" s="1019"/>
      <c r="M49" s="1019"/>
      <c r="N49" s="422"/>
      <c r="O49" s="419"/>
      <c r="P49" s="421"/>
      <c r="Q49" s="416">
        <f t="shared" si="7"/>
        <v>0</v>
      </c>
      <c r="R49" s="1018"/>
      <c r="S49" s="1019"/>
      <c r="T49" s="1019"/>
      <c r="U49" s="422"/>
      <c r="V49" s="419"/>
      <c r="W49" s="421"/>
      <c r="X49" s="416">
        <f t="shared" si="2"/>
        <v>0</v>
      </c>
      <c r="Y49" s="1018"/>
      <c r="Z49" s="1019"/>
      <c r="AA49" s="1019"/>
      <c r="AB49" s="422"/>
      <c r="AC49" s="419"/>
      <c r="AD49" s="421"/>
      <c r="AE49" s="416">
        <f t="shared" si="3"/>
        <v>0</v>
      </c>
      <c r="AF49" s="1018"/>
      <c r="AG49" s="1019"/>
      <c r="AH49" s="1019"/>
      <c r="AI49" s="422"/>
      <c r="AJ49" s="419"/>
      <c r="AK49" s="421"/>
      <c r="AL49" s="416">
        <f t="shared" si="4"/>
        <v>0</v>
      </c>
      <c r="AM49" s="1018"/>
      <c r="AN49" s="1019"/>
      <c r="AO49" s="1019"/>
      <c r="AP49" s="422"/>
      <c r="AQ49" s="419"/>
      <c r="AR49" s="421"/>
      <c r="AS49" s="416">
        <f t="shared" si="5"/>
        <v>0</v>
      </c>
      <c r="AT49" s="1018"/>
      <c r="AU49" s="1019"/>
      <c r="AV49" s="1019"/>
      <c r="AW49" s="422"/>
      <c r="AX49" s="419"/>
      <c r="AY49" s="421"/>
      <c r="AZ49" s="417">
        <f t="shared" si="6"/>
        <v>0</v>
      </c>
    </row>
    <row r="50" spans="1:52" x14ac:dyDescent="0.25">
      <c r="A50" s="397"/>
      <c r="B50" s="397"/>
      <c r="C50" s="397"/>
      <c r="D50" s="1018" t="s">
        <v>320</v>
      </c>
      <c r="E50" s="1019"/>
      <c r="F50" s="1020"/>
      <c r="G50" s="422" t="s">
        <v>292</v>
      </c>
      <c r="H50" s="419"/>
      <c r="I50" s="421"/>
      <c r="J50" s="416">
        <f t="shared" si="1"/>
        <v>0</v>
      </c>
      <c r="K50" s="1018"/>
      <c r="L50" s="1019"/>
      <c r="M50" s="1019"/>
      <c r="N50" s="422"/>
      <c r="O50" s="419"/>
      <c r="P50" s="421"/>
      <c r="Q50" s="416">
        <f t="shared" si="7"/>
        <v>0</v>
      </c>
      <c r="R50" s="1018"/>
      <c r="S50" s="1019"/>
      <c r="T50" s="1019"/>
      <c r="U50" s="422"/>
      <c r="V50" s="419"/>
      <c r="W50" s="421"/>
      <c r="X50" s="416">
        <f t="shared" si="2"/>
        <v>0</v>
      </c>
      <c r="Y50" s="1018"/>
      <c r="Z50" s="1019"/>
      <c r="AA50" s="1019"/>
      <c r="AB50" s="422"/>
      <c r="AC50" s="419"/>
      <c r="AD50" s="421"/>
      <c r="AE50" s="416">
        <f t="shared" si="3"/>
        <v>0</v>
      </c>
      <c r="AF50" s="1018"/>
      <c r="AG50" s="1019"/>
      <c r="AH50" s="1019"/>
      <c r="AI50" s="422"/>
      <c r="AJ50" s="419"/>
      <c r="AK50" s="421"/>
      <c r="AL50" s="416">
        <f t="shared" si="4"/>
        <v>0</v>
      </c>
      <c r="AM50" s="1018"/>
      <c r="AN50" s="1019"/>
      <c r="AO50" s="1019"/>
      <c r="AP50" s="422"/>
      <c r="AQ50" s="419"/>
      <c r="AR50" s="421"/>
      <c r="AS50" s="416">
        <f t="shared" si="5"/>
        <v>0</v>
      </c>
      <c r="AT50" s="1018"/>
      <c r="AU50" s="1019"/>
      <c r="AV50" s="1019"/>
      <c r="AW50" s="422"/>
      <c r="AX50" s="419"/>
      <c r="AY50" s="421"/>
      <c r="AZ50" s="417">
        <f t="shared" si="6"/>
        <v>0</v>
      </c>
    </row>
    <row r="51" spans="1:52" x14ac:dyDescent="0.25">
      <c r="A51" s="397"/>
      <c r="B51" s="397"/>
      <c r="C51" s="397"/>
      <c r="D51" s="1018" t="s">
        <v>321</v>
      </c>
      <c r="E51" s="1019"/>
      <c r="F51" s="1020"/>
      <c r="G51" s="422" t="s">
        <v>292</v>
      </c>
      <c r="H51" s="419"/>
      <c r="I51" s="421"/>
      <c r="J51" s="416">
        <f t="shared" si="1"/>
        <v>0</v>
      </c>
      <c r="K51" s="1018"/>
      <c r="L51" s="1019"/>
      <c r="M51" s="1019"/>
      <c r="N51" s="422"/>
      <c r="O51" s="419"/>
      <c r="P51" s="421"/>
      <c r="Q51" s="416">
        <f t="shared" si="7"/>
        <v>0</v>
      </c>
      <c r="R51" s="1018"/>
      <c r="S51" s="1019"/>
      <c r="T51" s="1019"/>
      <c r="U51" s="422"/>
      <c r="V51" s="419"/>
      <c r="W51" s="421"/>
      <c r="X51" s="416">
        <f t="shared" si="2"/>
        <v>0</v>
      </c>
      <c r="Y51" s="1018"/>
      <c r="Z51" s="1019"/>
      <c r="AA51" s="1019"/>
      <c r="AB51" s="422"/>
      <c r="AC51" s="419"/>
      <c r="AD51" s="421"/>
      <c r="AE51" s="416">
        <f t="shared" si="3"/>
        <v>0</v>
      </c>
      <c r="AF51" s="1018"/>
      <c r="AG51" s="1019"/>
      <c r="AH51" s="1019"/>
      <c r="AI51" s="422"/>
      <c r="AJ51" s="419"/>
      <c r="AK51" s="421"/>
      <c r="AL51" s="416">
        <f t="shared" si="4"/>
        <v>0</v>
      </c>
      <c r="AM51" s="1018"/>
      <c r="AN51" s="1019"/>
      <c r="AO51" s="1019"/>
      <c r="AP51" s="422"/>
      <c r="AQ51" s="419"/>
      <c r="AR51" s="421"/>
      <c r="AS51" s="416">
        <f t="shared" si="5"/>
        <v>0</v>
      </c>
      <c r="AT51" s="1018"/>
      <c r="AU51" s="1019"/>
      <c r="AV51" s="1019"/>
      <c r="AW51" s="422"/>
      <c r="AX51" s="419"/>
      <c r="AY51" s="421"/>
      <c r="AZ51" s="417">
        <f t="shared" si="6"/>
        <v>0</v>
      </c>
    </row>
    <row r="52" spans="1:52" x14ac:dyDescent="0.25">
      <c r="A52" s="397"/>
      <c r="B52" s="397"/>
      <c r="C52" s="397"/>
      <c r="D52" s="1018" t="s">
        <v>322</v>
      </c>
      <c r="E52" s="1019"/>
      <c r="F52" s="1020"/>
      <c r="G52" s="422" t="s">
        <v>292</v>
      </c>
      <c r="H52" s="419"/>
      <c r="I52" s="421"/>
      <c r="J52" s="416">
        <f t="shared" si="1"/>
        <v>0</v>
      </c>
      <c r="K52" s="1018"/>
      <c r="L52" s="1019"/>
      <c r="M52" s="1019"/>
      <c r="N52" s="422"/>
      <c r="O52" s="419"/>
      <c r="P52" s="421"/>
      <c r="Q52" s="416">
        <f t="shared" si="7"/>
        <v>0</v>
      </c>
      <c r="R52" s="1018"/>
      <c r="S52" s="1019"/>
      <c r="T52" s="1019"/>
      <c r="U52" s="422"/>
      <c r="V52" s="419"/>
      <c r="W52" s="421"/>
      <c r="X52" s="416">
        <f t="shared" si="2"/>
        <v>0</v>
      </c>
      <c r="Y52" s="1018"/>
      <c r="Z52" s="1019"/>
      <c r="AA52" s="1019"/>
      <c r="AB52" s="422"/>
      <c r="AC52" s="419"/>
      <c r="AD52" s="421"/>
      <c r="AE52" s="416">
        <f t="shared" si="3"/>
        <v>0</v>
      </c>
      <c r="AF52" s="1018"/>
      <c r="AG52" s="1019"/>
      <c r="AH52" s="1019"/>
      <c r="AI52" s="422"/>
      <c r="AJ52" s="419"/>
      <c r="AK52" s="421"/>
      <c r="AL52" s="416">
        <f t="shared" si="4"/>
        <v>0</v>
      </c>
      <c r="AM52" s="1018"/>
      <c r="AN52" s="1019"/>
      <c r="AO52" s="1019"/>
      <c r="AP52" s="422"/>
      <c r="AQ52" s="419"/>
      <c r="AR52" s="421"/>
      <c r="AS52" s="416">
        <f t="shared" si="5"/>
        <v>0</v>
      </c>
      <c r="AT52" s="1018"/>
      <c r="AU52" s="1019"/>
      <c r="AV52" s="1019"/>
      <c r="AW52" s="422"/>
      <c r="AX52" s="419"/>
      <c r="AY52" s="421"/>
      <c r="AZ52" s="417">
        <f t="shared" si="6"/>
        <v>0</v>
      </c>
    </row>
    <row r="53" spans="1:52" x14ac:dyDescent="0.25">
      <c r="A53" s="397"/>
      <c r="B53" s="397"/>
      <c r="C53" s="397"/>
      <c r="D53" s="1018" t="s">
        <v>323</v>
      </c>
      <c r="E53" s="1019"/>
      <c r="F53" s="1020"/>
      <c r="G53" s="422" t="s">
        <v>292</v>
      </c>
      <c r="H53" s="419"/>
      <c r="I53" s="421"/>
      <c r="J53" s="416">
        <f t="shared" si="1"/>
        <v>0</v>
      </c>
      <c r="K53" s="1018"/>
      <c r="L53" s="1019"/>
      <c r="M53" s="1019"/>
      <c r="N53" s="422"/>
      <c r="O53" s="419"/>
      <c r="P53" s="421"/>
      <c r="Q53" s="416">
        <f t="shared" si="7"/>
        <v>0</v>
      </c>
      <c r="R53" s="1018"/>
      <c r="S53" s="1019"/>
      <c r="T53" s="1019"/>
      <c r="U53" s="422"/>
      <c r="V53" s="419"/>
      <c r="W53" s="421"/>
      <c r="X53" s="416">
        <f t="shared" si="2"/>
        <v>0</v>
      </c>
      <c r="Y53" s="1018"/>
      <c r="Z53" s="1019"/>
      <c r="AA53" s="1019"/>
      <c r="AB53" s="422"/>
      <c r="AC53" s="419"/>
      <c r="AD53" s="421"/>
      <c r="AE53" s="416">
        <f t="shared" si="3"/>
        <v>0</v>
      </c>
      <c r="AF53" s="1018"/>
      <c r="AG53" s="1019"/>
      <c r="AH53" s="1019"/>
      <c r="AI53" s="422"/>
      <c r="AJ53" s="419"/>
      <c r="AK53" s="421"/>
      <c r="AL53" s="416">
        <f t="shared" si="4"/>
        <v>0</v>
      </c>
      <c r="AM53" s="1018"/>
      <c r="AN53" s="1019"/>
      <c r="AO53" s="1019"/>
      <c r="AP53" s="422"/>
      <c r="AQ53" s="419"/>
      <c r="AR53" s="421"/>
      <c r="AS53" s="416">
        <f t="shared" si="5"/>
        <v>0</v>
      </c>
      <c r="AT53" s="1018"/>
      <c r="AU53" s="1019"/>
      <c r="AV53" s="1019"/>
      <c r="AW53" s="422"/>
      <c r="AX53" s="419"/>
      <c r="AY53" s="421"/>
      <c r="AZ53" s="417">
        <f t="shared" si="6"/>
        <v>0</v>
      </c>
    </row>
    <row r="54" spans="1:52" x14ac:dyDescent="0.25">
      <c r="A54" s="397"/>
      <c r="B54" s="397"/>
      <c r="C54" s="397"/>
      <c r="D54" s="1018" t="s">
        <v>324</v>
      </c>
      <c r="E54" s="1019"/>
      <c r="F54" s="1020"/>
      <c r="G54" s="422" t="s">
        <v>292</v>
      </c>
      <c r="H54" s="419"/>
      <c r="I54" s="421"/>
      <c r="J54" s="416">
        <f t="shared" si="1"/>
        <v>0</v>
      </c>
      <c r="K54" s="1018"/>
      <c r="L54" s="1019"/>
      <c r="M54" s="1019"/>
      <c r="N54" s="422"/>
      <c r="O54" s="419"/>
      <c r="P54" s="421"/>
      <c r="Q54" s="416">
        <f t="shared" si="7"/>
        <v>0</v>
      </c>
      <c r="R54" s="1018"/>
      <c r="S54" s="1019"/>
      <c r="T54" s="1019"/>
      <c r="U54" s="422"/>
      <c r="V54" s="419"/>
      <c r="W54" s="421"/>
      <c r="X54" s="416">
        <f t="shared" si="2"/>
        <v>0</v>
      </c>
      <c r="Y54" s="1018"/>
      <c r="Z54" s="1019"/>
      <c r="AA54" s="1019"/>
      <c r="AB54" s="422"/>
      <c r="AC54" s="419"/>
      <c r="AD54" s="421"/>
      <c r="AE54" s="416">
        <f t="shared" si="3"/>
        <v>0</v>
      </c>
      <c r="AF54" s="1018"/>
      <c r="AG54" s="1019"/>
      <c r="AH54" s="1019"/>
      <c r="AI54" s="422"/>
      <c r="AJ54" s="419"/>
      <c r="AK54" s="421"/>
      <c r="AL54" s="416">
        <f t="shared" si="4"/>
        <v>0</v>
      </c>
      <c r="AM54" s="1018"/>
      <c r="AN54" s="1019"/>
      <c r="AO54" s="1019"/>
      <c r="AP54" s="422"/>
      <c r="AQ54" s="419"/>
      <c r="AR54" s="421"/>
      <c r="AS54" s="416">
        <f t="shared" si="5"/>
        <v>0</v>
      </c>
      <c r="AT54" s="1018"/>
      <c r="AU54" s="1019"/>
      <c r="AV54" s="1019"/>
      <c r="AW54" s="422"/>
      <c r="AX54" s="419"/>
      <c r="AY54" s="421"/>
      <c r="AZ54" s="417">
        <f t="shared" si="6"/>
        <v>0</v>
      </c>
    </row>
    <row r="55" spans="1:52" x14ac:dyDescent="0.25">
      <c r="A55" s="397"/>
      <c r="B55" s="397"/>
      <c r="C55" s="397"/>
      <c r="D55" s="1018" t="s">
        <v>325</v>
      </c>
      <c r="E55" s="1019"/>
      <c r="F55" s="1020"/>
      <c r="G55" s="422" t="s">
        <v>292</v>
      </c>
      <c r="H55" s="419"/>
      <c r="I55" s="421"/>
      <c r="J55" s="416">
        <f t="shared" si="1"/>
        <v>0</v>
      </c>
      <c r="K55" s="1018"/>
      <c r="L55" s="1019"/>
      <c r="M55" s="1019"/>
      <c r="N55" s="422"/>
      <c r="O55" s="419"/>
      <c r="P55" s="421"/>
      <c r="Q55" s="416">
        <f t="shared" si="7"/>
        <v>0</v>
      </c>
      <c r="R55" s="1018"/>
      <c r="S55" s="1019"/>
      <c r="T55" s="1019"/>
      <c r="U55" s="422"/>
      <c r="V55" s="419"/>
      <c r="W55" s="421"/>
      <c r="X55" s="416">
        <f t="shared" si="2"/>
        <v>0</v>
      </c>
      <c r="Y55" s="1018"/>
      <c r="Z55" s="1019"/>
      <c r="AA55" s="1019"/>
      <c r="AB55" s="422"/>
      <c r="AC55" s="419"/>
      <c r="AD55" s="421"/>
      <c r="AE55" s="416">
        <f t="shared" si="3"/>
        <v>0</v>
      </c>
      <c r="AF55" s="1018"/>
      <c r="AG55" s="1019"/>
      <c r="AH55" s="1019"/>
      <c r="AI55" s="422"/>
      <c r="AJ55" s="419"/>
      <c r="AK55" s="421"/>
      <c r="AL55" s="416">
        <f t="shared" si="4"/>
        <v>0</v>
      </c>
      <c r="AM55" s="1018"/>
      <c r="AN55" s="1019"/>
      <c r="AO55" s="1019"/>
      <c r="AP55" s="422"/>
      <c r="AQ55" s="419"/>
      <c r="AR55" s="421"/>
      <c r="AS55" s="416">
        <f t="shared" si="5"/>
        <v>0</v>
      </c>
      <c r="AT55" s="1018"/>
      <c r="AU55" s="1019"/>
      <c r="AV55" s="1019"/>
      <c r="AW55" s="422"/>
      <c r="AX55" s="419"/>
      <c r="AY55" s="421"/>
      <c r="AZ55" s="417">
        <f t="shared" si="6"/>
        <v>0</v>
      </c>
    </row>
    <row r="56" spans="1:52" x14ac:dyDescent="0.25">
      <c r="A56" s="397"/>
      <c r="B56" s="397"/>
      <c r="C56" s="397"/>
      <c r="D56" s="1018" t="s">
        <v>326</v>
      </c>
      <c r="E56" s="1019"/>
      <c r="F56" s="1020"/>
      <c r="G56" s="422" t="s">
        <v>292</v>
      </c>
      <c r="H56" s="419"/>
      <c r="I56" s="421"/>
      <c r="J56" s="416">
        <f t="shared" si="1"/>
        <v>0</v>
      </c>
      <c r="K56" s="1018"/>
      <c r="L56" s="1019"/>
      <c r="M56" s="1019"/>
      <c r="N56" s="422"/>
      <c r="O56" s="419"/>
      <c r="P56" s="421"/>
      <c r="Q56" s="416">
        <f t="shared" si="7"/>
        <v>0</v>
      </c>
      <c r="R56" s="1018"/>
      <c r="S56" s="1019"/>
      <c r="T56" s="1019"/>
      <c r="U56" s="422"/>
      <c r="V56" s="419"/>
      <c r="W56" s="421"/>
      <c r="X56" s="416">
        <f t="shared" si="2"/>
        <v>0</v>
      </c>
      <c r="Y56" s="1018"/>
      <c r="Z56" s="1019"/>
      <c r="AA56" s="1019"/>
      <c r="AB56" s="422"/>
      <c r="AC56" s="419"/>
      <c r="AD56" s="421"/>
      <c r="AE56" s="416">
        <f t="shared" si="3"/>
        <v>0</v>
      </c>
      <c r="AF56" s="1018"/>
      <c r="AG56" s="1019"/>
      <c r="AH56" s="1019"/>
      <c r="AI56" s="422"/>
      <c r="AJ56" s="419"/>
      <c r="AK56" s="421"/>
      <c r="AL56" s="416">
        <f t="shared" si="4"/>
        <v>0</v>
      </c>
      <c r="AM56" s="1018"/>
      <c r="AN56" s="1019"/>
      <c r="AO56" s="1019"/>
      <c r="AP56" s="422"/>
      <c r="AQ56" s="419"/>
      <c r="AR56" s="421"/>
      <c r="AS56" s="416">
        <f t="shared" si="5"/>
        <v>0</v>
      </c>
      <c r="AT56" s="1018"/>
      <c r="AU56" s="1019"/>
      <c r="AV56" s="1019"/>
      <c r="AW56" s="422"/>
      <c r="AX56" s="419"/>
      <c r="AY56" s="421"/>
      <c r="AZ56" s="417">
        <f t="shared" si="6"/>
        <v>0</v>
      </c>
    </row>
    <row r="57" spans="1:52" x14ac:dyDescent="0.25">
      <c r="A57" s="397"/>
      <c r="B57" s="397"/>
      <c r="C57" s="397"/>
      <c r="D57" s="1018" t="s">
        <v>327</v>
      </c>
      <c r="E57" s="1019"/>
      <c r="F57" s="1020"/>
      <c r="G57" s="422" t="s">
        <v>292</v>
      </c>
      <c r="H57" s="419"/>
      <c r="I57" s="421"/>
      <c r="J57" s="416">
        <f t="shared" si="1"/>
        <v>0</v>
      </c>
      <c r="K57" s="1018"/>
      <c r="L57" s="1019"/>
      <c r="M57" s="1019"/>
      <c r="N57" s="422"/>
      <c r="O57" s="419"/>
      <c r="P57" s="421"/>
      <c r="Q57" s="416">
        <f t="shared" si="7"/>
        <v>0</v>
      </c>
      <c r="R57" s="1018"/>
      <c r="S57" s="1019"/>
      <c r="T57" s="1019"/>
      <c r="U57" s="422"/>
      <c r="V57" s="419"/>
      <c r="W57" s="421"/>
      <c r="X57" s="416">
        <f t="shared" si="2"/>
        <v>0</v>
      </c>
      <c r="Y57" s="1018"/>
      <c r="Z57" s="1019"/>
      <c r="AA57" s="1019"/>
      <c r="AB57" s="422"/>
      <c r="AC57" s="419"/>
      <c r="AD57" s="421"/>
      <c r="AE57" s="416">
        <f t="shared" si="3"/>
        <v>0</v>
      </c>
      <c r="AF57" s="1018"/>
      <c r="AG57" s="1019"/>
      <c r="AH57" s="1019"/>
      <c r="AI57" s="422"/>
      <c r="AJ57" s="419"/>
      <c r="AK57" s="421"/>
      <c r="AL57" s="416">
        <f t="shared" si="4"/>
        <v>0</v>
      </c>
      <c r="AM57" s="1018"/>
      <c r="AN57" s="1019"/>
      <c r="AO57" s="1019"/>
      <c r="AP57" s="422"/>
      <c r="AQ57" s="419"/>
      <c r="AR57" s="421"/>
      <c r="AS57" s="416">
        <f t="shared" si="5"/>
        <v>0</v>
      </c>
      <c r="AT57" s="1018"/>
      <c r="AU57" s="1019"/>
      <c r="AV57" s="1019"/>
      <c r="AW57" s="422"/>
      <c r="AX57" s="419"/>
      <c r="AY57" s="421"/>
      <c r="AZ57" s="417">
        <f t="shared" si="6"/>
        <v>0</v>
      </c>
    </row>
    <row r="58" spans="1:52" x14ac:dyDescent="0.25">
      <c r="A58" s="397"/>
      <c r="B58" s="397"/>
      <c r="C58" s="397"/>
      <c r="D58" s="1018" t="s">
        <v>328</v>
      </c>
      <c r="E58" s="1019"/>
      <c r="F58" s="1020"/>
      <c r="G58" s="422" t="s">
        <v>295</v>
      </c>
      <c r="H58" s="419"/>
      <c r="I58" s="421"/>
      <c r="J58" s="416">
        <f t="shared" si="1"/>
        <v>0</v>
      </c>
      <c r="K58" s="1018"/>
      <c r="L58" s="1019"/>
      <c r="M58" s="1019"/>
      <c r="N58" s="422"/>
      <c r="O58" s="419"/>
      <c r="P58" s="421"/>
      <c r="Q58" s="416">
        <f t="shared" si="7"/>
        <v>0</v>
      </c>
      <c r="R58" s="1018"/>
      <c r="S58" s="1019"/>
      <c r="T58" s="1019"/>
      <c r="U58" s="422"/>
      <c r="V58" s="419"/>
      <c r="W58" s="421"/>
      <c r="X58" s="416">
        <f t="shared" si="2"/>
        <v>0</v>
      </c>
      <c r="Y58" s="1018"/>
      <c r="Z58" s="1019"/>
      <c r="AA58" s="1019"/>
      <c r="AB58" s="422"/>
      <c r="AC58" s="419"/>
      <c r="AD58" s="421"/>
      <c r="AE58" s="416">
        <f t="shared" si="3"/>
        <v>0</v>
      </c>
      <c r="AF58" s="1018"/>
      <c r="AG58" s="1019"/>
      <c r="AH58" s="1019"/>
      <c r="AI58" s="422"/>
      <c r="AJ58" s="419"/>
      <c r="AK58" s="421"/>
      <c r="AL58" s="416">
        <f t="shared" si="4"/>
        <v>0</v>
      </c>
      <c r="AM58" s="1018"/>
      <c r="AN58" s="1019"/>
      <c r="AO58" s="1019"/>
      <c r="AP58" s="422"/>
      <c r="AQ58" s="419"/>
      <c r="AR58" s="421"/>
      <c r="AS58" s="416">
        <f t="shared" si="5"/>
        <v>0</v>
      </c>
      <c r="AT58" s="1018"/>
      <c r="AU58" s="1019"/>
      <c r="AV58" s="1019"/>
      <c r="AW58" s="422"/>
      <c r="AX58" s="419"/>
      <c r="AY58" s="421"/>
      <c r="AZ58" s="417">
        <f t="shared" si="6"/>
        <v>0</v>
      </c>
    </row>
    <row r="59" spans="1:52" x14ac:dyDescent="0.25">
      <c r="A59" s="397"/>
      <c r="B59" s="397"/>
      <c r="C59" s="397"/>
      <c r="D59" s="1018" t="s">
        <v>329</v>
      </c>
      <c r="E59" s="1019"/>
      <c r="F59" s="1020"/>
      <c r="G59" s="422" t="s">
        <v>330</v>
      </c>
      <c r="H59" s="419"/>
      <c r="I59" s="421"/>
      <c r="J59" s="416">
        <f t="shared" si="1"/>
        <v>0</v>
      </c>
      <c r="K59" s="1018"/>
      <c r="L59" s="1019"/>
      <c r="M59" s="1019"/>
      <c r="N59" s="422"/>
      <c r="O59" s="419"/>
      <c r="P59" s="421"/>
      <c r="Q59" s="416">
        <f t="shared" si="7"/>
        <v>0</v>
      </c>
      <c r="R59" s="1018"/>
      <c r="S59" s="1019"/>
      <c r="T59" s="1019"/>
      <c r="U59" s="422"/>
      <c r="V59" s="419"/>
      <c r="W59" s="421"/>
      <c r="X59" s="416">
        <f t="shared" si="2"/>
        <v>0</v>
      </c>
      <c r="Y59" s="1018"/>
      <c r="Z59" s="1019"/>
      <c r="AA59" s="1019"/>
      <c r="AB59" s="422"/>
      <c r="AC59" s="419"/>
      <c r="AD59" s="421"/>
      <c r="AE59" s="416">
        <f t="shared" si="3"/>
        <v>0</v>
      </c>
      <c r="AF59" s="1018"/>
      <c r="AG59" s="1019"/>
      <c r="AH59" s="1019"/>
      <c r="AI59" s="422"/>
      <c r="AJ59" s="419"/>
      <c r="AK59" s="421"/>
      <c r="AL59" s="416">
        <f t="shared" si="4"/>
        <v>0</v>
      </c>
      <c r="AM59" s="1018"/>
      <c r="AN59" s="1019"/>
      <c r="AO59" s="1019"/>
      <c r="AP59" s="422"/>
      <c r="AQ59" s="419"/>
      <c r="AR59" s="421"/>
      <c r="AS59" s="416">
        <f t="shared" si="5"/>
        <v>0</v>
      </c>
      <c r="AT59" s="1018"/>
      <c r="AU59" s="1019"/>
      <c r="AV59" s="1019"/>
      <c r="AW59" s="422"/>
      <c r="AX59" s="419"/>
      <c r="AY59" s="421"/>
      <c r="AZ59" s="417">
        <f t="shared" si="6"/>
        <v>0</v>
      </c>
    </row>
    <row r="60" spans="1:52" x14ac:dyDescent="0.25">
      <c r="A60" s="397"/>
      <c r="B60" s="397"/>
      <c r="C60" s="397"/>
      <c r="D60" s="1018" t="s">
        <v>331</v>
      </c>
      <c r="E60" s="1019"/>
      <c r="F60" s="1020"/>
      <c r="G60" s="422" t="s">
        <v>292</v>
      </c>
      <c r="H60" s="419"/>
      <c r="I60" s="421"/>
      <c r="J60" s="416">
        <f t="shared" si="1"/>
        <v>0</v>
      </c>
      <c r="K60" s="1018"/>
      <c r="L60" s="1019"/>
      <c r="M60" s="1019"/>
      <c r="N60" s="422"/>
      <c r="O60" s="419"/>
      <c r="P60" s="421"/>
      <c r="Q60" s="416">
        <f t="shared" si="7"/>
        <v>0</v>
      </c>
      <c r="R60" s="1018"/>
      <c r="S60" s="1019"/>
      <c r="T60" s="1019"/>
      <c r="U60" s="422"/>
      <c r="V60" s="419"/>
      <c r="W60" s="421"/>
      <c r="X60" s="416">
        <f t="shared" si="2"/>
        <v>0</v>
      </c>
      <c r="Y60" s="1018"/>
      <c r="Z60" s="1019"/>
      <c r="AA60" s="1019"/>
      <c r="AB60" s="422"/>
      <c r="AC60" s="419"/>
      <c r="AD60" s="421"/>
      <c r="AE60" s="416">
        <f t="shared" si="3"/>
        <v>0</v>
      </c>
      <c r="AF60" s="1018"/>
      <c r="AG60" s="1019"/>
      <c r="AH60" s="1019"/>
      <c r="AI60" s="422"/>
      <c r="AJ60" s="419"/>
      <c r="AK60" s="421"/>
      <c r="AL60" s="416">
        <f t="shared" si="4"/>
        <v>0</v>
      </c>
      <c r="AM60" s="1018"/>
      <c r="AN60" s="1019"/>
      <c r="AO60" s="1019"/>
      <c r="AP60" s="422"/>
      <c r="AQ60" s="419"/>
      <c r="AR60" s="421"/>
      <c r="AS60" s="416">
        <f t="shared" si="5"/>
        <v>0</v>
      </c>
      <c r="AT60" s="1018"/>
      <c r="AU60" s="1019"/>
      <c r="AV60" s="1019"/>
      <c r="AW60" s="422"/>
      <c r="AX60" s="419"/>
      <c r="AY60" s="421"/>
      <c r="AZ60" s="417">
        <f t="shared" si="6"/>
        <v>0</v>
      </c>
    </row>
    <row r="61" spans="1:52" x14ac:dyDescent="0.25">
      <c r="A61" s="397"/>
      <c r="B61" s="397"/>
      <c r="C61" s="397"/>
      <c r="D61" s="1018" t="s">
        <v>332</v>
      </c>
      <c r="E61" s="1019"/>
      <c r="F61" s="1020"/>
      <c r="G61" s="422" t="s">
        <v>292</v>
      </c>
      <c r="H61" s="419"/>
      <c r="I61" s="421"/>
      <c r="J61" s="416">
        <f t="shared" si="1"/>
        <v>0</v>
      </c>
      <c r="K61" s="1018"/>
      <c r="L61" s="1019"/>
      <c r="M61" s="1019"/>
      <c r="N61" s="422"/>
      <c r="O61" s="419"/>
      <c r="P61" s="421"/>
      <c r="Q61" s="416">
        <f t="shared" si="7"/>
        <v>0</v>
      </c>
      <c r="R61" s="1018"/>
      <c r="S61" s="1019"/>
      <c r="T61" s="1019"/>
      <c r="U61" s="422"/>
      <c r="V61" s="419"/>
      <c r="W61" s="421"/>
      <c r="X61" s="416">
        <f t="shared" si="2"/>
        <v>0</v>
      </c>
      <c r="Y61" s="1018"/>
      <c r="Z61" s="1019"/>
      <c r="AA61" s="1019"/>
      <c r="AB61" s="422"/>
      <c r="AC61" s="419"/>
      <c r="AD61" s="421"/>
      <c r="AE61" s="416">
        <f t="shared" si="3"/>
        <v>0</v>
      </c>
      <c r="AF61" s="1018"/>
      <c r="AG61" s="1019"/>
      <c r="AH61" s="1019"/>
      <c r="AI61" s="422"/>
      <c r="AJ61" s="419"/>
      <c r="AK61" s="421"/>
      <c r="AL61" s="416">
        <f t="shared" si="4"/>
        <v>0</v>
      </c>
      <c r="AM61" s="1018"/>
      <c r="AN61" s="1019"/>
      <c r="AO61" s="1019"/>
      <c r="AP61" s="422"/>
      <c r="AQ61" s="419"/>
      <c r="AR61" s="421"/>
      <c r="AS61" s="416">
        <f t="shared" si="5"/>
        <v>0</v>
      </c>
      <c r="AT61" s="1018"/>
      <c r="AU61" s="1019"/>
      <c r="AV61" s="1019"/>
      <c r="AW61" s="422"/>
      <c r="AX61" s="419"/>
      <c r="AY61" s="421"/>
      <c r="AZ61" s="417">
        <f t="shared" si="6"/>
        <v>0</v>
      </c>
    </row>
    <row r="62" spans="1:52" x14ac:dyDescent="0.25">
      <c r="A62" s="397"/>
      <c r="B62" s="397"/>
      <c r="C62" s="397"/>
      <c r="D62" s="1018" t="s">
        <v>333</v>
      </c>
      <c r="E62" s="1019"/>
      <c r="F62" s="1020"/>
      <c r="G62" s="422" t="s">
        <v>292</v>
      </c>
      <c r="H62" s="419"/>
      <c r="I62" s="421"/>
      <c r="J62" s="416">
        <f t="shared" si="1"/>
        <v>0</v>
      </c>
      <c r="K62" s="1018"/>
      <c r="L62" s="1019"/>
      <c r="M62" s="1019"/>
      <c r="N62" s="422"/>
      <c r="O62" s="419"/>
      <c r="P62" s="421"/>
      <c r="Q62" s="416">
        <f t="shared" si="7"/>
        <v>0</v>
      </c>
      <c r="R62" s="1018"/>
      <c r="S62" s="1019"/>
      <c r="T62" s="1019"/>
      <c r="U62" s="422"/>
      <c r="V62" s="419"/>
      <c r="W62" s="421"/>
      <c r="X62" s="416">
        <f t="shared" si="2"/>
        <v>0</v>
      </c>
      <c r="Y62" s="1018"/>
      <c r="Z62" s="1019"/>
      <c r="AA62" s="1019"/>
      <c r="AB62" s="422"/>
      <c r="AC62" s="419"/>
      <c r="AD62" s="421"/>
      <c r="AE62" s="416">
        <f t="shared" si="3"/>
        <v>0</v>
      </c>
      <c r="AF62" s="1018"/>
      <c r="AG62" s="1019"/>
      <c r="AH62" s="1019"/>
      <c r="AI62" s="422"/>
      <c r="AJ62" s="419"/>
      <c r="AK62" s="421"/>
      <c r="AL62" s="416">
        <f t="shared" si="4"/>
        <v>0</v>
      </c>
      <c r="AM62" s="1018"/>
      <c r="AN62" s="1019"/>
      <c r="AO62" s="1019"/>
      <c r="AP62" s="422"/>
      <c r="AQ62" s="419"/>
      <c r="AR62" s="421"/>
      <c r="AS62" s="416">
        <f t="shared" si="5"/>
        <v>0</v>
      </c>
      <c r="AT62" s="1018"/>
      <c r="AU62" s="1019"/>
      <c r="AV62" s="1019"/>
      <c r="AW62" s="422"/>
      <c r="AX62" s="419"/>
      <c r="AY62" s="421"/>
      <c r="AZ62" s="417">
        <f t="shared" si="6"/>
        <v>0</v>
      </c>
    </row>
    <row r="63" spans="1:52" x14ac:dyDescent="0.25">
      <c r="A63" s="397"/>
      <c r="B63" s="397"/>
      <c r="C63" s="397"/>
      <c r="D63" s="1018" t="s">
        <v>334</v>
      </c>
      <c r="E63" s="1019"/>
      <c r="F63" s="1020"/>
      <c r="G63" s="422" t="s">
        <v>292</v>
      </c>
      <c r="H63" s="419"/>
      <c r="I63" s="421"/>
      <c r="J63" s="416">
        <f t="shared" si="1"/>
        <v>0</v>
      </c>
      <c r="K63" s="1018"/>
      <c r="L63" s="1019"/>
      <c r="M63" s="1019"/>
      <c r="N63" s="422"/>
      <c r="O63" s="419"/>
      <c r="P63" s="421"/>
      <c r="Q63" s="416">
        <f t="shared" si="7"/>
        <v>0</v>
      </c>
      <c r="R63" s="1018"/>
      <c r="S63" s="1019"/>
      <c r="T63" s="1019"/>
      <c r="U63" s="422"/>
      <c r="V63" s="419"/>
      <c r="W63" s="421"/>
      <c r="X63" s="416">
        <f t="shared" si="2"/>
        <v>0</v>
      </c>
      <c r="Y63" s="1018"/>
      <c r="Z63" s="1019"/>
      <c r="AA63" s="1019"/>
      <c r="AB63" s="422"/>
      <c r="AC63" s="419"/>
      <c r="AD63" s="421"/>
      <c r="AE63" s="416">
        <f t="shared" si="3"/>
        <v>0</v>
      </c>
      <c r="AF63" s="1018"/>
      <c r="AG63" s="1019"/>
      <c r="AH63" s="1019"/>
      <c r="AI63" s="422"/>
      <c r="AJ63" s="419"/>
      <c r="AK63" s="421"/>
      <c r="AL63" s="416">
        <f t="shared" si="4"/>
        <v>0</v>
      </c>
      <c r="AM63" s="1018"/>
      <c r="AN63" s="1019"/>
      <c r="AO63" s="1019"/>
      <c r="AP63" s="422"/>
      <c r="AQ63" s="419"/>
      <c r="AR63" s="421"/>
      <c r="AS63" s="416">
        <f t="shared" si="5"/>
        <v>0</v>
      </c>
      <c r="AT63" s="1018"/>
      <c r="AU63" s="1019"/>
      <c r="AV63" s="1019"/>
      <c r="AW63" s="422"/>
      <c r="AX63" s="419"/>
      <c r="AY63" s="421"/>
      <c r="AZ63" s="417">
        <f t="shared" si="6"/>
        <v>0</v>
      </c>
    </row>
    <row r="64" spans="1:52" x14ac:dyDescent="0.25">
      <c r="A64" s="397"/>
      <c r="B64" s="397"/>
      <c r="C64" s="397"/>
      <c r="D64" s="1018" t="s">
        <v>335</v>
      </c>
      <c r="E64" s="1019"/>
      <c r="F64" s="1020"/>
      <c r="G64" s="422" t="s">
        <v>292</v>
      </c>
      <c r="H64" s="419"/>
      <c r="I64" s="421"/>
      <c r="J64" s="416">
        <f t="shared" si="1"/>
        <v>0</v>
      </c>
      <c r="K64" s="1018"/>
      <c r="L64" s="1019"/>
      <c r="M64" s="1019"/>
      <c r="N64" s="422"/>
      <c r="O64" s="419"/>
      <c r="P64" s="421"/>
      <c r="Q64" s="416">
        <f t="shared" si="7"/>
        <v>0</v>
      </c>
      <c r="R64" s="1018"/>
      <c r="S64" s="1019"/>
      <c r="T64" s="1019"/>
      <c r="U64" s="422"/>
      <c r="V64" s="419"/>
      <c r="W64" s="421"/>
      <c r="X64" s="416">
        <f t="shared" si="2"/>
        <v>0</v>
      </c>
      <c r="Y64" s="1018"/>
      <c r="Z64" s="1019"/>
      <c r="AA64" s="1019"/>
      <c r="AB64" s="422"/>
      <c r="AC64" s="419"/>
      <c r="AD64" s="421"/>
      <c r="AE64" s="416">
        <f t="shared" si="3"/>
        <v>0</v>
      </c>
      <c r="AF64" s="1018"/>
      <c r="AG64" s="1019"/>
      <c r="AH64" s="1019"/>
      <c r="AI64" s="422"/>
      <c r="AJ64" s="419"/>
      <c r="AK64" s="421"/>
      <c r="AL64" s="416">
        <f t="shared" si="4"/>
        <v>0</v>
      </c>
      <c r="AM64" s="1018"/>
      <c r="AN64" s="1019"/>
      <c r="AO64" s="1019"/>
      <c r="AP64" s="422"/>
      <c r="AQ64" s="419"/>
      <c r="AR64" s="421"/>
      <c r="AS64" s="416">
        <f t="shared" si="5"/>
        <v>0</v>
      </c>
      <c r="AT64" s="1018"/>
      <c r="AU64" s="1019"/>
      <c r="AV64" s="1019"/>
      <c r="AW64" s="422"/>
      <c r="AX64" s="419"/>
      <c r="AY64" s="421"/>
      <c r="AZ64" s="417">
        <f t="shared" si="6"/>
        <v>0</v>
      </c>
    </row>
    <row r="65" spans="1:52" x14ac:dyDescent="0.25">
      <c r="A65" s="397"/>
      <c r="B65" s="397"/>
      <c r="C65" s="397"/>
      <c r="D65" s="1018" t="s">
        <v>336</v>
      </c>
      <c r="E65" s="1019"/>
      <c r="F65" s="1020"/>
      <c r="G65" s="422" t="s">
        <v>292</v>
      </c>
      <c r="H65" s="419"/>
      <c r="I65" s="421"/>
      <c r="J65" s="416">
        <f t="shared" si="1"/>
        <v>0</v>
      </c>
      <c r="K65" s="1018"/>
      <c r="L65" s="1019"/>
      <c r="M65" s="1019"/>
      <c r="N65" s="422"/>
      <c r="O65" s="419"/>
      <c r="P65" s="421"/>
      <c r="Q65" s="416">
        <f t="shared" si="7"/>
        <v>0</v>
      </c>
      <c r="R65" s="1018"/>
      <c r="S65" s="1019"/>
      <c r="T65" s="1019"/>
      <c r="U65" s="422"/>
      <c r="V65" s="419"/>
      <c r="W65" s="421"/>
      <c r="X65" s="416">
        <f t="shared" si="2"/>
        <v>0</v>
      </c>
      <c r="Y65" s="1018"/>
      <c r="Z65" s="1019"/>
      <c r="AA65" s="1019"/>
      <c r="AB65" s="422"/>
      <c r="AC65" s="419"/>
      <c r="AD65" s="421"/>
      <c r="AE65" s="416">
        <f t="shared" si="3"/>
        <v>0</v>
      </c>
      <c r="AF65" s="1018"/>
      <c r="AG65" s="1019"/>
      <c r="AH65" s="1019"/>
      <c r="AI65" s="422"/>
      <c r="AJ65" s="419"/>
      <c r="AK65" s="421"/>
      <c r="AL65" s="416">
        <f t="shared" si="4"/>
        <v>0</v>
      </c>
      <c r="AM65" s="1018"/>
      <c r="AN65" s="1019"/>
      <c r="AO65" s="1019"/>
      <c r="AP65" s="422"/>
      <c r="AQ65" s="419"/>
      <c r="AR65" s="421"/>
      <c r="AS65" s="416">
        <f t="shared" si="5"/>
        <v>0</v>
      </c>
      <c r="AT65" s="1018"/>
      <c r="AU65" s="1019"/>
      <c r="AV65" s="1019"/>
      <c r="AW65" s="422"/>
      <c r="AX65" s="419"/>
      <c r="AY65" s="421"/>
      <c r="AZ65" s="417">
        <f t="shared" si="6"/>
        <v>0</v>
      </c>
    </row>
    <row r="66" spans="1:52" x14ac:dyDescent="0.25">
      <c r="A66" s="397"/>
      <c r="B66" s="397"/>
      <c r="C66" s="397"/>
      <c r="D66" s="1018" t="s">
        <v>337</v>
      </c>
      <c r="E66" s="1019"/>
      <c r="F66" s="1020"/>
      <c r="G66" s="422" t="s">
        <v>292</v>
      </c>
      <c r="H66" s="419"/>
      <c r="I66" s="421"/>
      <c r="J66" s="416">
        <f t="shared" si="1"/>
        <v>0</v>
      </c>
      <c r="K66" s="1018"/>
      <c r="L66" s="1019"/>
      <c r="M66" s="1019"/>
      <c r="N66" s="422"/>
      <c r="O66" s="419"/>
      <c r="P66" s="421"/>
      <c r="Q66" s="416">
        <f t="shared" si="7"/>
        <v>0</v>
      </c>
      <c r="R66" s="1018"/>
      <c r="S66" s="1019"/>
      <c r="T66" s="1019"/>
      <c r="U66" s="422"/>
      <c r="V66" s="419"/>
      <c r="W66" s="421"/>
      <c r="X66" s="416">
        <f t="shared" si="2"/>
        <v>0</v>
      </c>
      <c r="Y66" s="1018"/>
      <c r="Z66" s="1019"/>
      <c r="AA66" s="1019"/>
      <c r="AB66" s="422"/>
      <c r="AC66" s="419"/>
      <c r="AD66" s="421"/>
      <c r="AE66" s="416">
        <f t="shared" si="3"/>
        <v>0</v>
      </c>
      <c r="AF66" s="1018"/>
      <c r="AG66" s="1019"/>
      <c r="AH66" s="1019"/>
      <c r="AI66" s="422"/>
      <c r="AJ66" s="419"/>
      <c r="AK66" s="421"/>
      <c r="AL66" s="416">
        <f t="shared" si="4"/>
        <v>0</v>
      </c>
      <c r="AM66" s="1018"/>
      <c r="AN66" s="1019"/>
      <c r="AO66" s="1019"/>
      <c r="AP66" s="422"/>
      <c r="AQ66" s="419"/>
      <c r="AR66" s="421"/>
      <c r="AS66" s="416">
        <f t="shared" si="5"/>
        <v>0</v>
      </c>
      <c r="AT66" s="1018"/>
      <c r="AU66" s="1019"/>
      <c r="AV66" s="1019"/>
      <c r="AW66" s="422"/>
      <c r="AX66" s="419"/>
      <c r="AY66" s="421"/>
      <c r="AZ66" s="417">
        <f t="shared" si="6"/>
        <v>0</v>
      </c>
    </row>
    <row r="67" spans="1:52" x14ac:dyDescent="0.25">
      <c r="A67" s="397"/>
      <c r="B67" s="397"/>
      <c r="C67" s="397"/>
      <c r="D67" s="1018" t="s">
        <v>338</v>
      </c>
      <c r="E67" s="1019"/>
      <c r="F67" s="1020"/>
      <c r="G67" s="422" t="s">
        <v>292</v>
      </c>
      <c r="H67" s="419"/>
      <c r="I67" s="421"/>
      <c r="J67" s="416">
        <f t="shared" si="1"/>
        <v>0</v>
      </c>
      <c r="K67" s="1018"/>
      <c r="L67" s="1019"/>
      <c r="M67" s="1019"/>
      <c r="N67" s="422"/>
      <c r="O67" s="419"/>
      <c r="P67" s="421"/>
      <c r="Q67" s="416">
        <f t="shared" si="7"/>
        <v>0</v>
      </c>
      <c r="R67" s="1018"/>
      <c r="S67" s="1019"/>
      <c r="T67" s="1019"/>
      <c r="U67" s="422"/>
      <c r="V67" s="419"/>
      <c r="W67" s="421"/>
      <c r="X67" s="416">
        <f t="shared" si="2"/>
        <v>0</v>
      </c>
      <c r="Y67" s="1018"/>
      <c r="Z67" s="1019"/>
      <c r="AA67" s="1019"/>
      <c r="AB67" s="422"/>
      <c r="AC67" s="419"/>
      <c r="AD67" s="421"/>
      <c r="AE67" s="416">
        <f t="shared" si="3"/>
        <v>0</v>
      </c>
      <c r="AF67" s="1018"/>
      <c r="AG67" s="1019"/>
      <c r="AH67" s="1019"/>
      <c r="AI67" s="422"/>
      <c r="AJ67" s="419"/>
      <c r="AK67" s="421"/>
      <c r="AL67" s="416">
        <f t="shared" si="4"/>
        <v>0</v>
      </c>
      <c r="AM67" s="1018"/>
      <c r="AN67" s="1019"/>
      <c r="AO67" s="1019"/>
      <c r="AP67" s="422"/>
      <c r="AQ67" s="419"/>
      <c r="AR67" s="421"/>
      <c r="AS67" s="416">
        <f t="shared" si="5"/>
        <v>0</v>
      </c>
      <c r="AT67" s="1018"/>
      <c r="AU67" s="1019"/>
      <c r="AV67" s="1019"/>
      <c r="AW67" s="422"/>
      <c r="AX67" s="419"/>
      <c r="AY67" s="421"/>
      <c r="AZ67" s="417">
        <f t="shared" si="6"/>
        <v>0</v>
      </c>
    </row>
    <row r="68" spans="1:52" x14ac:dyDescent="0.25">
      <c r="A68" s="397"/>
      <c r="B68" s="397"/>
      <c r="C68" s="397"/>
      <c r="D68" s="1018" t="s">
        <v>339</v>
      </c>
      <c r="E68" s="1019"/>
      <c r="F68" s="1020"/>
      <c r="G68" s="422" t="s">
        <v>292</v>
      </c>
      <c r="H68" s="419"/>
      <c r="I68" s="421"/>
      <c r="J68" s="416">
        <f t="shared" si="1"/>
        <v>0</v>
      </c>
      <c r="K68" s="1018"/>
      <c r="L68" s="1019"/>
      <c r="M68" s="1019"/>
      <c r="N68" s="422"/>
      <c r="O68" s="419"/>
      <c r="P68" s="421"/>
      <c r="Q68" s="416">
        <f t="shared" si="7"/>
        <v>0</v>
      </c>
      <c r="R68" s="1018"/>
      <c r="S68" s="1019"/>
      <c r="T68" s="1019"/>
      <c r="U68" s="422"/>
      <c r="V68" s="419"/>
      <c r="W68" s="421"/>
      <c r="X68" s="416">
        <f t="shared" si="2"/>
        <v>0</v>
      </c>
      <c r="Y68" s="1018"/>
      <c r="Z68" s="1019"/>
      <c r="AA68" s="1019"/>
      <c r="AB68" s="422"/>
      <c r="AC68" s="419"/>
      <c r="AD68" s="421"/>
      <c r="AE68" s="416">
        <f t="shared" si="3"/>
        <v>0</v>
      </c>
      <c r="AF68" s="1018"/>
      <c r="AG68" s="1019"/>
      <c r="AH68" s="1019"/>
      <c r="AI68" s="422"/>
      <c r="AJ68" s="419"/>
      <c r="AK68" s="421"/>
      <c r="AL68" s="416">
        <f t="shared" si="4"/>
        <v>0</v>
      </c>
      <c r="AM68" s="1018"/>
      <c r="AN68" s="1019"/>
      <c r="AO68" s="1019"/>
      <c r="AP68" s="422"/>
      <c r="AQ68" s="419"/>
      <c r="AR68" s="421"/>
      <c r="AS68" s="416">
        <f t="shared" si="5"/>
        <v>0</v>
      </c>
      <c r="AT68" s="1018"/>
      <c r="AU68" s="1019"/>
      <c r="AV68" s="1019"/>
      <c r="AW68" s="422"/>
      <c r="AX68" s="419"/>
      <c r="AY68" s="421"/>
      <c r="AZ68" s="417">
        <f t="shared" si="6"/>
        <v>0</v>
      </c>
    </row>
    <row r="69" spans="1:52" x14ac:dyDescent="0.25">
      <c r="A69" s="397"/>
      <c r="B69" s="397"/>
      <c r="C69" s="397"/>
      <c r="D69" s="1018" t="s">
        <v>340</v>
      </c>
      <c r="E69" s="1019"/>
      <c r="F69" s="1020"/>
      <c r="G69" s="422" t="s">
        <v>292</v>
      </c>
      <c r="H69" s="419"/>
      <c r="I69" s="421"/>
      <c r="J69" s="416">
        <f t="shared" si="1"/>
        <v>0</v>
      </c>
      <c r="K69" s="1018"/>
      <c r="L69" s="1019"/>
      <c r="M69" s="1019"/>
      <c r="N69" s="422"/>
      <c r="O69" s="419"/>
      <c r="P69" s="421"/>
      <c r="Q69" s="416">
        <f t="shared" si="7"/>
        <v>0</v>
      </c>
      <c r="R69" s="1018"/>
      <c r="S69" s="1019"/>
      <c r="T69" s="1019"/>
      <c r="U69" s="422"/>
      <c r="V69" s="419"/>
      <c r="W69" s="421"/>
      <c r="X69" s="416">
        <f t="shared" si="2"/>
        <v>0</v>
      </c>
      <c r="Y69" s="1018"/>
      <c r="Z69" s="1019"/>
      <c r="AA69" s="1019"/>
      <c r="AB69" s="422"/>
      <c r="AC69" s="419"/>
      <c r="AD69" s="421"/>
      <c r="AE69" s="416">
        <f t="shared" si="3"/>
        <v>0</v>
      </c>
      <c r="AF69" s="1018"/>
      <c r="AG69" s="1019"/>
      <c r="AH69" s="1019"/>
      <c r="AI69" s="422"/>
      <c r="AJ69" s="419"/>
      <c r="AK69" s="421"/>
      <c r="AL69" s="416">
        <f t="shared" si="4"/>
        <v>0</v>
      </c>
      <c r="AM69" s="1018"/>
      <c r="AN69" s="1019"/>
      <c r="AO69" s="1019"/>
      <c r="AP69" s="422"/>
      <c r="AQ69" s="419"/>
      <c r="AR69" s="421"/>
      <c r="AS69" s="416">
        <f t="shared" si="5"/>
        <v>0</v>
      </c>
      <c r="AT69" s="1018"/>
      <c r="AU69" s="1019"/>
      <c r="AV69" s="1019"/>
      <c r="AW69" s="422"/>
      <c r="AX69" s="419"/>
      <c r="AY69" s="421"/>
      <c r="AZ69" s="417">
        <f t="shared" si="6"/>
        <v>0</v>
      </c>
    </row>
    <row r="70" spans="1:52" x14ac:dyDescent="0.25">
      <c r="D70" s="1018" t="s">
        <v>341</v>
      </c>
      <c r="E70" s="1019"/>
      <c r="F70" s="1020"/>
      <c r="G70" s="422" t="s">
        <v>292</v>
      </c>
      <c r="H70" s="419"/>
      <c r="I70" s="421"/>
      <c r="J70" s="416">
        <f t="shared" si="1"/>
        <v>0</v>
      </c>
      <c r="K70" s="1018"/>
      <c r="L70" s="1019"/>
      <c r="M70" s="1019"/>
      <c r="N70" s="422"/>
      <c r="O70" s="419"/>
      <c r="P70" s="421"/>
      <c r="Q70" s="416">
        <f t="shared" si="7"/>
        <v>0</v>
      </c>
      <c r="R70" s="1018"/>
      <c r="S70" s="1019"/>
      <c r="T70" s="1019"/>
      <c r="U70" s="422"/>
      <c r="V70" s="419"/>
      <c r="W70" s="421"/>
      <c r="X70" s="416">
        <f t="shared" si="2"/>
        <v>0</v>
      </c>
      <c r="Y70" s="1018"/>
      <c r="Z70" s="1019"/>
      <c r="AA70" s="1019"/>
      <c r="AB70" s="422"/>
      <c r="AC70" s="419"/>
      <c r="AD70" s="421"/>
      <c r="AE70" s="416">
        <f t="shared" si="3"/>
        <v>0</v>
      </c>
      <c r="AF70" s="1018"/>
      <c r="AG70" s="1019"/>
      <c r="AH70" s="1019"/>
      <c r="AI70" s="422"/>
      <c r="AJ70" s="419"/>
      <c r="AK70" s="421"/>
      <c r="AL70" s="416">
        <f t="shared" si="4"/>
        <v>0</v>
      </c>
      <c r="AM70" s="1018"/>
      <c r="AN70" s="1019"/>
      <c r="AO70" s="1019"/>
      <c r="AP70" s="422"/>
      <c r="AQ70" s="419"/>
      <c r="AR70" s="421"/>
      <c r="AS70" s="416">
        <f t="shared" si="5"/>
        <v>0</v>
      </c>
      <c r="AT70" s="1018"/>
      <c r="AU70" s="1019"/>
      <c r="AV70" s="1019"/>
      <c r="AW70" s="422"/>
      <c r="AX70" s="419"/>
      <c r="AY70" s="421"/>
      <c r="AZ70" s="417">
        <f t="shared" si="6"/>
        <v>0</v>
      </c>
    </row>
    <row r="71" spans="1:52" x14ac:dyDescent="0.25">
      <c r="D71" s="1018" t="s">
        <v>342</v>
      </c>
      <c r="E71" s="1019"/>
      <c r="F71" s="1020"/>
      <c r="G71" s="422" t="s">
        <v>292</v>
      </c>
      <c r="H71" s="419"/>
      <c r="I71" s="421"/>
      <c r="J71" s="416">
        <f t="shared" si="1"/>
        <v>0</v>
      </c>
      <c r="K71" s="1018"/>
      <c r="L71" s="1019"/>
      <c r="M71" s="1019"/>
      <c r="N71" s="422"/>
      <c r="O71" s="419"/>
      <c r="P71" s="421"/>
      <c r="Q71" s="416">
        <f t="shared" si="7"/>
        <v>0</v>
      </c>
      <c r="R71" s="1018"/>
      <c r="S71" s="1019"/>
      <c r="T71" s="1019"/>
      <c r="U71" s="422"/>
      <c r="V71" s="419"/>
      <c r="W71" s="421"/>
      <c r="X71" s="416">
        <f t="shared" si="2"/>
        <v>0</v>
      </c>
      <c r="Y71" s="1018"/>
      <c r="Z71" s="1019"/>
      <c r="AA71" s="1019"/>
      <c r="AB71" s="422"/>
      <c r="AC71" s="419"/>
      <c r="AD71" s="421"/>
      <c r="AE71" s="416">
        <f t="shared" si="3"/>
        <v>0</v>
      </c>
      <c r="AF71" s="1018"/>
      <c r="AG71" s="1019"/>
      <c r="AH71" s="1019"/>
      <c r="AI71" s="422"/>
      <c r="AJ71" s="419"/>
      <c r="AK71" s="421"/>
      <c r="AL71" s="416">
        <f t="shared" si="4"/>
        <v>0</v>
      </c>
      <c r="AM71" s="1018"/>
      <c r="AN71" s="1019"/>
      <c r="AO71" s="1019"/>
      <c r="AP71" s="422"/>
      <c r="AQ71" s="419"/>
      <c r="AR71" s="421"/>
      <c r="AS71" s="416">
        <f t="shared" si="5"/>
        <v>0</v>
      </c>
      <c r="AT71" s="1018"/>
      <c r="AU71" s="1019"/>
      <c r="AV71" s="1019"/>
      <c r="AW71" s="422"/>
      <c r="AX71" s="419"/>
      <c r="AY71" s="421"/>
      <c r="AZ71" s="417">
        <f t="shared" si="6"/>
        <v>0</v>
      </c>
    </row>
    <row r="72" spans="1:52" x14ac:dyDescent="0.25">
      <c r="D72" s="1018" t="s">
        <v>343</v>
      </c>
      <c r="E72" s="1019"/>
      <c r="F72" s="1020"/>
      <c r="G72" s="422" t="s">
        <v>292</v>
      </c>
      <c r="H72" s="419"/>
      <c r="I72" s="421"/>
      <c r="J72" s="416">
        <f t="shared" si="1"/>
        <v>0</v>
      </c>
      <c r="K72" s="1018"/>
      <c r="L72" s="1019"/>
      <c r="M72" s="1019"/>
      <c r="N72" s="422"/>
      <c r="O72" s="419"/>
      <c r="P72" s="421"/>
      <c r="Q72" s="416">
        <f t="shared" si="7"/>
        <v>0</v>
      </c>
      <c r="R72" s="1018"/>
      <c r="S72" s="1019"/>
      <c r="T72" s="1019"/>
      <c r="U72" s="422"/>
      <c r="V72" s="419"/>
      <c r="W72" s="421"/>
      <c r="X72" s="416">
        <f t="shared" si="2"/>
        <v>0</v>
      </c>
      <c r="Y72" s="1018"/>
      <c r="Z72" s="1019"/>
      <c r="AA72" s="1019"/>
      <c r="AB72" s="422"/>
      <c r="AC72" s="419"/>
      <c r="AD72" s="421"/>
      <c r="AE72" s="416">
        <f t="shared" si="3"/>
        <v>0</v>
      </c>
      <c r="AF72" s="1018"/>
      <c r="AG72" s="1019"/>
      <c r="AH72" s="1019"/>
      <c r="AI72" s="422"/>
      <c r="AJ72" s="419"/>
      <c r="AK72" s="421"/>
      <c r="AL72" s="416">
        <f t="shared" si="4"/>
        <v>0</v>
      </c>
      <c r="AM72" s="1018"/>
      <c r="AN72" s="1019"/>
      <c r="AO72" s="1019"/>
      <c r="AP72" s="422"/>
      <c r="AQ72" s="419"/>
      <c r="AR72" s="421"/>
      <c r="AS72" s="416">
        <f t="shared" si="5"/>
        <v>0</v>
      </c>
      <c r="AT72" s="1018"/>
      <c r="AU72" s="1019"/>
      <c r="AV72" s="1019"/>
      <c r="AW72" s="422"/>
      <c r="AX72" s="419"/>
      <c r="AY72" s="421"/>
      <c r="AZ72" s="417">
        <f t="shared" si="6"/>
        <v>0</v>
      </c>
    </row>
    <row r="73" spans="1:52" x14ac:dyDescent="0.25">
      <c r="D73" s="1018" t="s">
        <v>344</v>
      </c>
      <c r="E73" s="1019"/>
      <c r="F73" s="1020"/>
      <c r="G73" s="422" t="s">
        <v>292</v>
      </c>
      <c r="H73" s="419"/>
      <c r="I73" s="421"/>
      <c r="J73" s="416">
        <f t="shared" ref="J73:J105" si="8">H73*I73</f>
        <v>0</v>
      </c>
      <c r="K73" s="1018"/>
      <c r="L73" s="1019"/>
      <c r="M73" s="1019"/>
      <c r="N73" s="422"/>
      <c r="O73" s="419"/>
      <c r="P73" s="421"/>
      <c r="Q73" s="416">
        <f t="shared" ref="Q73:Q122" si="9">O73*P73</f>
        <v>0</v>
      </c>
      <c r="R73" s="1018"/>
      <c r="S73" s="1019"/>
      <c r="T73" s="1019"/>
      <c r="U73" s="422"/>
      <c r="V73" s="419"/>
      <c r="W73" s="421"/>
      <c r="X73" s="416">
        <f t="shared" ref="X73:X122" si="10">V73*W73</f>
        <v>0</v>
      </c>
      <c r="Y73" s="1018"/>
      <c r="Z73" s="1019"/>
      <c r="AA73" s="1019"/>
      <c r="AB73" s="422"/>
      <c r="AC73" s="419"/>
      <c r="AD73" s="421"/>
      <c r="AE73" s="416">
        <f t="shared" ref="AE73:AE122" si="11">AC73*AD73</f>
        <v>0</v>
      </c>
      <c r="AF73" s="1018"/>
      <c r="AG73" s="1019"/>
      <c r="AH73" s="1019"/>
      <c r="AI73" s="422"/>
      <c r="AJ73" s="419"/>
      <c r="AK73" s="421"/>
      <c r="AL73" s="416">
        <f t="shared" ref="AL73:AL122" si="12">AJ73*AK73</f>
        <v>0</v>
      </c>
      <c r="AM73" s="1018"/>
      <c r="AN73" s="1019"/>
      <c r="AO73" s="1019"/>
      <c r="AP73" s="422"/>
      <c r="AQ73" s="419"/>
      <c r="AR73" s="421"/>
      <c r="AS73" s="416">
        <f t="shared" ref="AS73:AS122" si="13">AQ73*AR73</f>
        <v>0</v>
      </c>
      <c r="AT73" s="1018"/>
      <c r="AU73" s="1019"/>
      <c r="AV73" s="1019"/>
      <c r="AW73" s="422"/>
      <c r="AX73" s="419"/>
      <c r="AY73" s="421"/>
      <c r="AZ73" s="417">
        <f t="shared" ref="AZ73:AZ122" si="14">AX73*AY73</f>
        <v>0</v>
      </c>
    </row>
    <row r="74" spans="1:52" x14ac:dyDescent="0.25">
      <c r="D74" s="1018" t="s">
        <v>450</v>
      </c>
      <c r="E74" s="1019"/>
      <c r="F74" s="1020"/>
      <c r="G74" s="422" t="s">
        <v>292</v>
      </c>
      <c r="H74" s="419"/>
      <c r="I74" s="421"/>
      <c r="J74" s="416">
        <f t="shared" si="8"/>
        <v>0</v>
      </c>
      <c r="K74" s="1018"/>
      <c r="L74" s="1019"/>
      <c r="M74" s="1019"/>
      <c r="N74" s="422"/>
      <c r="O74" s="419"/>
      <c r="P74" s="421"/>
      <c r="Q74" s="416">
        <f t="shared" si="9"/>
        <v>0</v>
      </c>
      <c r="R74" s="1018"/>
      <c r="S74" s="1019"/>
      <c r="T74" s="1019"/>
      <c r="U74" s="422"/>
      <c r="V74" s="419"/>
      <c r="W74" s="421"/>
      <c r="X74" s="416">
        <f t="shared" si="10"/>
        <v>0</v>
      </c>
      <c r="Y74" s="1018"/>
      <c r="Z74" s="1019"/>
      <c r="AA74" s="1019"/>
      <c r="AB74" s="422"/>
      <c r="AC74" s="419"/>
      <c r="AD74" s="421"/>
      <c r="AE74" s="416">
        <f t="shared" si="11"/>
        <v>0</v>
      </c>
      <c r="AF74" s="1018"/>
      <c r="AG74" s="1019"/>
      <c r="AH74" s="1019"/>
      <c r="AI74" s="422"/>
      <c r="AJ74" s="419"/>
      <c r="AK74" s="421"/>
      <c r="AL74" s="416">
        <f t="shared" si="12"/>
        <v>0</v>
      </c>
      <c r="AM74" s="1018"/>
      <c r="AN74" s="1019"/>
      <c r="AO74" s="1019"/>
      <c r="AP74" s="422"/>
      <c r="AQ74" s="419"/>
      <c r="AR74" s="421"/>
      <c r="AS74" s="416">
        <f t="shared" si="13"/>
        <v>0</v>
      </c>
      <c r="AT74" s="1018"/>
      <c r="AU74" s="1019"/>
      <c r="AV74" s="1019"/>
      <c r="AW74" s="422"/>
      <c r="AX74" s="419"/>
      <c r="AY74" s="421"/>
      <c r="AZ74" s="417">
        <f t="shared" si="14"/>
        <v>0</v>
      </c>
    </row>
    <row r="75" spans="1:52" x14ac:dyDescent="0.25">
      <c r="D75" s="1018" t="s">
        <v>345</v>
      </c>
      <c r="E75" s="1019"/>
      <c r="F75" s="1020"/>
      <c r="G75" s="422" t="s">
        <v>292</v>
      </c>
      <c r="H75" s="419"/>
      <c r="I75" s="421"/>
      <c r="J75" s="416">
        <f t="shared" si="8"/>
        <v>0</v>
      </c>
      <c r="K75" s="1018"/>
      <c r="L75" s="1019"/>
      <c r="M75" s="1019"/>
      <c r="N75" s="422"/>
      <c r="O75" s="419"/>
      <c r="P75" s="421"/>
      <c r="Q75" s="416">
        <f t="shared" si="9"/>
        <v>0</v>
      </c>
      <c r="R75" s="1018"/>
      <c r="S75" s="1019"/>
      <c r="T75" s="1019"/>
      <c r="U75" s="422"/>
      <c r="V75" s="419"/>
      <c r="W75" s="421"/>
      <c r="X75" s="416">
        <f t="shared" si="10"/>
        <v>0</v>
      </c>
      <c r="Y75" s="1018"/>
      <c r="Z75" s="1019"/>
      <c r="AA75" s="1019"/>
      <c r="AB75" s="422"/>
      <c r="AC75" s="419"/>
      <c r="AD75" s="421"/>
      <c r="AE75" s="416">
        <f t="shared" si="11"/>
        <v>0</v>
      </c>
      <c r="AF75" s="1018"/>
      <c r="AG75" s="1019"/>
      <c r="AH75" s="1019"/>
      <c r="AI75" s="422"/>
      <c r="AJ75" s="419"/>
      <c r="AK75" s="421"/>
      <c r="AL75" s="416">
        <f t="shared" si="12"/>
        <v>0</v>
      </c>
      <c r="AM75" s="1018"/>
      <c r="AN75" s="1019"/>
      <c r="AO75" s="1019"/>
      <c r="AP75" s="422"/>
      <c r="AQ75" s="419"/>
      <c r="AR75" s="421"/>
      <c r="AS75" s="416">
        <f t="shared" si="13"/>
        <v>0</v>
      </c>
      <c r="AT75" s="1018"/>
      <c r="AU75" s="1019"/>
      <c r="AV75" s="1019"/>
      <c r="AW75" s="422"/>
      <c r="AX75" s="419"/>
      <c r="AY75" s="421"/>
      <c r="AZ75" s="417">
        <f t="shared" si="14"/>
        <v>0</v>
      </c>
    </row>
    <row r="76" spans="1:52" x14ac:dyDescent="0.25">
      <c r="D76" s="1018" t="s">
        <v>346</v>
      </c>
      <c r="E76" s="1019"/>
      <c r="F76" s="1020"/>
      <c r="G76" s="422" t="s">
        <v>292</v>
      </c>
      <c r="H76" s="419"/>
      <c r="I76" s="421"/>
      <c r="J76" s="416">
        <f t="shared" si="8"/>
        <v>0</v>
      </c>
      <c r="K76" s="1018"/>
      <c r="L76" s="1019"/>
      <c r="M76" s="1019"/>
      <c r="N76" s="422"/>
      <c r="O76" s="419"/>
      <c r="P76" s="421"/>
      <c r="Q76" s="416">
        <f t="shared" si="9"/>
        <v>0</v>
      </c>
      <c r="R76" s="1018"/>
      <c r="S76" s="1019"/>
      <c r="T76" s="1019"/>
      <c r="U76" s="422"/>
      <c r="V76" s="419"/>
      <c r="W76" s="421"/>
      <c r="X76" s="416">
        <f t="shared" si="10"/>
        <v>0</v>
      </c>
      <c r="Y76" s="1018"/>
      <c r="Z76" s="1019"/>
      <c r="AA76" s="1019"/>
      <c r="AB76" s="422"/>
      <c r="AC76" s="419"/>
      <c r="AD76" s="421"/>
      <c r="AE76" s="416">
        <f t="shared" si="11"/>
        <v>0</v>
      </c>
      <c r="AF76" s="1018"/>
      <c r="AG76" s="1019"/>
      <c r="AH76" s="1019"/>
      <c r="AI76" s="422"/>
      <c r="AJ76" s="419"/>
      <c r="AK76" s="421"/>
      <c r="AL76" s="416">
        <f t="shared" si="12"/>
        <v>0</v>
      </c>
      <c r="AM76" s="1018"/>
      <c r="AN76" s="1019"/>
      <c r="AO76" s="1019"/>
      <c r="AP76" s="422"/>
      <c r="AQ76" s="419"/>
      <c r="AR76" s="421"/>
      <c r="AS76" s="416">
        <f t="shared" si="13"/>
        <v>0</v>
      </c>
      <c r="AT76" s="1018"/>
      <c r="AU76" s="1019"/>
      <c r="AV76" s="1019"/>
      <c r="AW76" s="422"/>
      <c r="AX76" s="419"/>
      <c r="AY76" s="421"/>
      <c r="AZ76" s="417">
        <f t="shared" si="14"/>
        <v>0</v>
      </c>
    </row>
    <row r="77" spans="1:52" x14ac:dyDescent="0.25">
      <c r="D77" s="1018" t="s">
        <v>347</v>
      </c>
      <c r="E77" s="1019"/>
      <c r="F77" s="1020"/>
      <c r="G77" s="422" t="s">
        <v>292</v>
      </c>
      <c r="H77" s="419"/>
      <c r="I77" s="421"/>
      <c r="J77" s="416">
        <f t="shared" si="8"/>
        <v>0</v>
      </c>
      <c r="K77" s="1018"/>
      <c r="L77" s="1019"/>
      <c r="M77" s="1019"/>
      <c r="N77" s="422"/>
      <c r="O77" s="419"/>
      <c r="P77" s="421"/>
      <c r="Q77" s="416">
        <f t="shared" si="9"/>
        <v>0</v>
      </c>
      <c r="R77" s="1018"/>
      <c r="S77" s="1019"/>
      <c r="T77" s="1019"/>
      <c r="U77" s="422"/>
      <c r="V77" s="419"/>
      <c r="W77" s="421"/>
      <c r="X77" s="416">
        <f t="shared" si="10"/>
        <v>0</v>
      </c>
      <c r="Y77" s="1018"/>
      <c r="Z77" s="1019"/>
      <c r="AA77" s="1019"/>
      <c r="AB77" s="422"/>
      <c r="AC77" s="419"/>
      <c r="AD77" s="421"/>
      <c r="AE77" s="416">
        <f t="shared" si="11"/>
        <v>0</v>
      </c>
      <c r="AF77" s="1018"/>
      <c r="AG77" s="1019"/>
      <c r="AH77" s="1019"/>
      <c r="AI77" s="422"/>
      <c r="AJ77" s="419"/>
      <c r="AK77" s="421"/>
      <c r="AL77" s="416">
        <f t="shared" si="12"/>
        <v>0</v>
      </c>
      <c r="AM77" s="1018"/>
      <c r="AN77" s="1019"/>
      <c r="AO77" s="1019"/>
      <c r="AP77" s="422"/>
      <c r="AQ77" s="419"/>
      <c r="AR77" s="421"/>
      <c r="AS77" s="416">
        <f t="shared" si="13"/>
        <v>0</v>
      </c>
      <c r="AT77" s="1018"/>
      <c r="AU77" s="1019"/>
      <c r="AV77" s="1019"/>
      <c r="AW77" s="422"/>
      <c r="AX77" s="419"/>
      <c r="AY77" s="421"/>
      <c r="AZ77" s="417">
        <f t="shared" si="14"/>
        <v>0</v>
      </c>
    </row>
    <row r="78" spans="1:52" x14ac:dyDescent="0.25">
      <c r="D78" s="1018" t="s">
        <v>348</v>
      </c>
      <c r="E78" s="1019"/>
      <c r="F78" s="1020"/>
      <c r="G78" s="422" t="s">
        <v>292</v>
      </c>
      <c r="H78" s="419"/>
      <c r="I78" s="421"/>
      <c r="J78" s="416">
        <f t="shared" si="8"/>
        <v>0</v>
      </c>
      <c r="K78" s="1018"/>
      <c r="L78" s="1019"/>
      <c r="M78" s="1019"/>
      <c r="N78" s="422"/>
      <c r="O78" s="419"/>
      <c r="P78" s="421"/>
      <c r="Q78" s="416">
        <f t="shared" si="9"/>
        <v>0</v>
      </c>
      <c r="R78" s="1018"/>
      <c r="S78" s="1019"/>
      <c r="T78" s="1019"/>
      <c r="U78" s="422"/>
      <c r="V78" s="419"/>
      <c r="W78" s="421"/>
      <c r="X78" s="416">
        <f t="shared" si="10"/>
        <v>0</v>
      </c>
      <c r="Y78" s="1018"/>
      <c r="Z78" s="1019"/>
      <c r="AA78" s="1019"/>
      <c r="AB78" s="422"/>
      <c r="AC78" s="419"/>
      <c r="AD78" s="421"/>
      <c r="AE78" s="416">
        <f t="shared" si="11"/>
        <v>0</v>
      </c>
      <c r="AF78" s="1018"/>
      <c r="AG78" s="1019"/>
      <c r="AH78" s="1019"/>
      <c r="AI78" s="422"/>
      <c r="AJ78" s="419"/>
      <c r="AK78" s="421"/>
      <c r="AL78" s="416">
        <f t="shared" si="12"/>
        <v>0</v>
      </c>
      <c r="AM78" s="1018"/>
      <c r="AN78" s="1019"/>
      <c r="AO78" s="1019"/>
      <c r="AP78" s="422"/>
      <c r="AQ78" s="419"/>
      <c r="AR78" s="421"/>
      <c r="AS78" s="416">
        <f t="shared" si="13"/>
        <v>0</v>
      </c>
      <c r="AT78" s="1018"/>
      <c r="AU78" s="1019"/>
      <c r="AV78" s="1019"/>
      <c r="AW78" s="422"/>
      <c r="AX78" s="419"/>
      <c r="AY78" s="421"/>
      <c r="AZ78" s="417">
        <f t="shared" si="14"/>
        <v>0</v>
      </c>
    </row>
    <row r="79" spans="1:52" x14ac:dyDescent="0.25">
      <c r="D79" s="1018" t="s">
        <v>349</v>
      </c>
      <c r="E79" s="1019"/>
      <c r="F79" s="1020"/>
      <c r="G79" s="422" t="s">
        <v>292</v>
      </c>
      <c r="H79" s="419"/>
      <c r="I79" s="421"/>
      <c r="J79" s="416">
        <f t="shared" si="8"/>
        <v>0</v>
      </c>
      <c r="K79" s="1018"/>
      <c r="L79" s="1019"/>
      <c r="M79" s="1019"/>
      <c r="N79" s="422"/>
      <c r="O79" s="419"/>
      <c r="P79" s="421"/>
      <c r="Q79" s="416">
        <f t="shared" si="9"/>
        <v>0</v>
      </c>
      <c r="R79" s="1018"/>
      <c r="S79" s="1019"/>
      <c r="T79" s="1019"/>
      <c r="U79" s="422"/>
      <c r="V79" s="419"/>
      <c r="W79" s="421"/>
      <c r="X79" s="416">
        <f t="shared" si="10"/>
        <v>0</v>
      </c>
      <c r="Y79" s="1018"/>
      <c r="Z79" s="1019"/>
      <c r="AA79" s="1019"/>
      <c r="AB79" s="422"/>
      <c r="AC79" s="419"/>
      <c r="AD79" s="421"/>
      <c r="AE79" s="416">
        <f t="shared" si="11"/>
        <v>0</v>
      </c>
      <c r="AF79" s="1018"/>
      <c r="AG79" s="1019"/>
      <c r="AH79" s="1019"/>
      <c r="AI79" s="422"/>
      <c r="AJ79" s="419"/>
      <c r="AK79" s="421"/>
      <c r="AL79" s="416">
        <f t="shared" si="12"/>
        <v>0</v>
      </c>
      <c r="AM79" s="1018"/>
      <c r="AN79" s="1019"/>
      <c r="AO79" s="1019"/>
      <c r="AP79" s="422"/>
      <c r="AQ79" s="419"/>
      <c r="AR79" s="421"/>
      <c r="AS79" s="416">
        <f t="shared" si="13"/>
        <v>0</v>
      </c>
      <c r="AT79" s="1018"/>
      <c r="AU79" s="1019"/>
      <c r="AV79" s="1019"/>
      <c r="AW79" s="422"/>
      <c r="AX79" s="419"/>
      <c r="AY79" s="421"/>
      <c r="AZ79" s="417">
        <f t="shared" si="14"/>
        <v>0</v>
      </c>
    </row>
    <row r="80" spans="1:52" x14ac:dyDescent="0.25">
      <c r="D80" s="1018" t="s">
        <v>350</v>
      </c>
      <c r="E80" s="1019"/>
      <c r="F80" s="1020"/>
      <c r="G80" s="422" t="s">
        <v>292</v>
      </c>
      <c r="H80" s="419"/>
      <c r="I80" s="421"/>
      <c r="J80" s="416">
        <f t="shared" si="8"/>
        <v>0</v>
      </c>
      <c r="K80" s="1018"/>
      <c r="L80" s="1019"/>
      <c r="M80" s="1019"/>
      <c r="N80" s="422"/>
      <c r="O80" s="419"/>
      <c r="P80" s="421"/>
      <c r="Q80" s="416">
        <f t="shared" si="9"/>
        <v>0</v>
      </c>
      <c r="R80" s="1018"/>
      <c r="S80" s="1019"/>
      <c r="T80" s="1019"/>
      <c r="U80" s="422"/>
      <c r="V80" s="419"/>
      <c r="W80" s="421"/>
      <c r="X80" s="416">
        <f t="shared" si="10"/>
        <v>0</v>
      </c>
      <c r="Y80" s="1018"/>
      <c r="Z80" s="1019"/>
      <c r="AA80" s="1019"/>
      <c r="AB80" s="422"/>
      <c r="AC80" s="419"/>
      <c r="AD80" s="421"/>
      <c r="AE80" s="416">
        <f t="shared" si="11"/>
        <v>0</v>
      </c>
      <c r="AF80" s="1018"/>
      <c r="AG80" s="1019"/>
      <c r="AH80" s="1019"/>
      <c r="AI80" s="422"/>
      <c r="AJ80" s="419"/>
      <c r="AK80" s="421"/>
      <c r="AL80" s="416">
        <f t="shared" si="12"/>
        <v>0</v>
      </c>
      <c r="AM80" s="1018"/>
      <c r="AN80" s="1019"/>
      <c r="AO80" s="1019"/>
      <c r="AP80" s="422"/>
      <c r="AQ80" s="419"/>
      <c r="AR80" s="421"/>
      <c r="AS80" s="416">
        <f t="shared" si="13"/>
        <v>0</v>
      </c>
      <c r="AT80" s="1018"/>
      <c r="AU80" s="1019"/>
      <c r="AV80" s="1019"/>
      <c r="AW80" s="422"/>
      <c r="AX80" s="419"/>
      <c r="AY80" s="421"/>
      <c r="AZ80" s="417">
        <f t="shared" si="14"/>
        <v>0</v>
      </c>
    </row>
    <row r="81" spans="4:52" x14ac:dyDescent="0.25">
      <c r="D81" s="1018" t="s">
        <v>351</v>
      </c>
      <c r="E81" s="1019"/>
      <c r="F81" s="1020"/>
      <c r="G81" s="422" t="s">
        <v>292</v>
      </c>
      <c r="H81" s="419"/>
      <c r="I81" s="421"/>
      <c r="J81" s="416">
        <f t="shared" si="8"/>
        <v>0</v>
      </c>
      <c r="K81" s="1018"/>
      <c r="L81" s="1019"/>
      <c r="M81" s="1019"/>
      <c r="N81" s="422"/>
      <c r="O81" s="419"/>
      <c r="P81" s="421"/>
      <c r="Q81" s="416">
        <f t="shared" si="9"/>
        <v>0</v>
      </c>
      <c r="R81" s="1018"/>
      <c r="S81" s="1019"/>
      <c r="T81" s="1019"/>
      <c r="U81" s="422"/>
      <c r="V81" s="419"/>
      <c r="W81" s="421"/>
      <c r="X81" s="416">
        <f t="shared" si="10"/>
        <v>0</v>
      </c>
      <c r="Y81" s="1018"/>
      <c r="Z81" s="1019"/>
      <c r="AA81" s="1019"/>
      <c r="AB81" s="422"/>
      <c r="AC81" s="419"/>
      <c r="AD81" s="421"/>
      <c r="AE81" s="416">
        <f t="shared" si="11"/>
        <v>0</v>
      </c>
      <c r="AF81" s="1018"/>
      <c r="AG81" s="1019"/>
      <c r="AH81" s="1019"/>
      <c r="AI81" s="422"/>
      <c r="AJ81" s="419"/>
      <c r="AK81" s="421"/>
      <c r="AL81" s="416">
        <f t="shared" si="12"/>
        <v>0</v>
      </c>
      <c r="AM81" s="1018"/>
      <c r="AN81" s="1019"/>
      <c r="AO81" s="1019"/>
      <c r="AP81" s="422"/>
      <c r="AQ81" s="419"/>
      <c r="AR81" s="421"/>
      <c r="AS81" s="416">
        <f t="shared" si="13"/>
        <v>0</v>
      </c>
      <c r="AT81" s="1018"/>
      <c r="AU81" s="1019"/>
      <c r="AV81" s="1019"/>
      <c r="AW81" s="422"/>
      <c r="AX81" s="419"/>
      <c r="AY81" s="421"/>
      <c r="AZ81" s="417">
        <f t="shared" si="14"/>
        <v>0</v>
      </c>
    </row>
    <row r="82" spans="4:52" x14ac:dyDescent="0.25">
      <c r="D82" s="1018" t="s">
        <v>352</v>
      </c>
      <c r="E82" s="1019"/>
      <c r="F82" s="1020"/>
      <c r="G82" s="422" t="s">
        <v>292</v>
      </c>
      <c r="H82" s="419"/>
      <c r="I82" s="421"/>
      <c r="J82" s="416">
        <f t="shared" si="8"/>
        <v>0</v>
      </c>
      <c r="K82" s="1018"/>
      <c r="L82" s="1019"/>
      <c r="M82" s="1019"/>
      <c r="N82" s="422"/>
      <c r="O82" s="419"/>
      <c r="P82" s="421"/>
      <c r="Q82" s="416">
        <f t="shared" si="9"/>
        <v>0</v>
      </c>
      <c r="R82" s="1018"/>
      <c r="S82" s="1019"/>
      <c r="T82" s="1019"/>
      <c r="U82" s="422"/>
      <c r="V82" s="419"/>
      <c r="W82" s="421"/>
      <c r="X82" s="416">
        <f t="shared" si="10"/>
        <v>0</v>
      </c>
      <c r="Y82" s="1018"/>
      <c r="Z82" s="1019"/>
      <c r="AA82" s="1019"/>
      <c r="AB82" s="422"/>
      <c r="AC82" s="419"/>
      <c r="AD82" s="421"/>
      <c r="AE82" s="416">
        <f t="shared" si="11"/>
        <v>0</v>
      </c>
      <c r="AF82" s="1018"/>
      <c r="AG82" s="1019"/>
      <c r="AH82" s="1019"/>
      <c r="AI82" s="422"/>
      <c r="AJ82" s="419"/>
      <c r="AK82" s="421"/>
      <c r="AL82" s="416">
        <f t="shared" si="12"/>
        <v>0</v>
      </c>
      <c r="AM82" s="1018"/>
      <c r="AN82" s="1019"/>
      <c r="AO82" s="1019"/>
      <c r="AP82" s="422"/>
      <c r="AQ82" s="419"/>
      <c r="AR82" s="421"/>
      <c r="AS82" s="416">
        <f t="shared" si="13"/>
        <v>0</v>
      </c>
      <c r="AT82" s="1018"/>
      <c r="AU82" s="1019"/>
      <c r="AV82" s="1019"/>
      <c r="AW82" s="422"/>
      <c r="AX82" s="419"/>
      <c r="AY82" s="421"/>
      <c r="AZ82" s="417">
        <f t="shared" si="14"/>
        <v>0</v>
      </c>
    </row>
    <row r="83" spans="4:52" x14ac:dyDescent="0.25">
      <c r="D83" s="1018" t="s">
        <v>353</v>
      </c>
      <c r="E83" s="1019"/>
      <c r="F83" s="1020"/>
      <c r="G83" s="422" t="s">
        <v>292</v>
      </c>
      <c r="H83" s="419"/>
      <c r="I83" s="421"/>
      <c r="J83" s="416">
        <f t="shared" si="8"/>
        <v>0</v>
      </c>
      <c r="K83" s="1018"/>
      <c r="L83" s="1019"/>
      <c r="M83" s="1019"/>
      <c r="N83" s="422"/>
      <c r="O83" s="419"/>
      <c r="P83" s="421"/>
      <c r="Q83" s="416">
        <f t="shared" si="9"/>
        <v>0</v>
      </c>
      <c r="R83" s="1018"/>
      <c r="S83" s="1019"/>
      <c r="T83" s="1019"/>
      <c r="U83" s="422"/>
      <c r="V83" s="419"/>
      <c r="W83" s="421"/>
      <c r="X83" s="416">
        <f t="shared" si="10"/>
        <v>0</v>
      </c>
      <c r="Y83" s="1018"/>
      <c r="Z83" s="1019"/>
      <c r="AA83" s="1019"/>
      <c r="AB83" s="422"/>
      <c r="AC83" s="419"/>
      <c r="AD83" s="421"/>
      <c r="AE83" s="416">
        <f t="shared" si="11"/>
        <v>0</v>
      </c>
      <c r="AF83" s="1018"/>
      <c r="AG83" s="1019"/>
      <c r="AH83" s="1019"/>
      <c r="AI83" s="422"/>
      <c r="AJ83" s="419"/>
      <c r="AK83" s="421"/>
      <c r="AL83" s="416">
        <f t="shared" si="12"/>
        <v>0</v>
      </c>
      <c r="AM83" s="1018"/>
      <c r="AN83" s="1019"/>
      <c r="AO83" s="1019"/>
      <c r="AP83" s="422"/>
      <c r="AQ83" s="419"/>
      <c r="AR83" s="421"/>
      <c r="AS83" s="416">
        <f t="shared" si="13"/>
        <v>0</v>
      </c>
      <c r="AT83" s="1018"/>
      <c r="AU83" s="1019"/>
      <c r="AV83" s="1019"/>
      <c r="AW83" s="422"/>
      <c r="AX83" s="419"/>
      <c r="AY83" s="421"/>
      <c r="AZ83" s="417">
        <f t="shared" si="14"/>
        <v>0</v>
      </c>
    </row>
    <row r="84" spans="4:52" x14ac:dyDescent="0.25">
      <c r="D84" s="1018" t="s">
        <v>354</v>
      </c>
      <c r="E84" s="1019"/>
      <c r="F84" s="1020"/>
      <c r="G84" s="422" t="s">
        <v>292</v>
      </c>
      <c r="H84" s="419"/>
      <c r="I84" s="421"/>
      <c r="J84" s="416">
        <f t="shared" si="8"/>
        <v>0</v>
      </c>
      <c r="K84" s="1018"/>
      <c r="L84" s="1019"/>
      <c r="M84" s="1019"/>
      <c r="N84" s="422"/>
      <c r="O84" s="419"/>
      <c r="P84" s="421"/>
      <c r="Q84" s="416">
        <f t="shared" si="9"/>
        <v>0</v>
      </c>
      <c r="R84" s="1018"/>
      <c r="S84" s="1019"/>
      <c r="T84" s="1019"/>
      <c r="U84" s="422"/>
      <c r="V84" s="419"/>
      <c r="W84" s="421"/>
      <c r="X84" s="416">
        <f t="shared" si="10"/>
        <v>0</v>
      </c>
      <c r="Y84" s="1018"/>
      <c r="Z84" s="1019"/>
      <c r="AA84" s="1019"/>
      <c r="AB84" s="422"/>
      <c r="AC84" s="419"/>
      <c r="AD84" s="421"/>
      <c r="AE84" s="416">
        <f t="shared" si="11"/>
        <v>0</v>
      </c>
      <c r="AF84" s="1018"/>
      <c r="AG84" s="1019"/>
      <c r="AH84" s="1019"/>
      <c r="AI84" s="422"/>
      <c r="AJ84" s="419"/>
      <c r="AK84" s="421"/>
      <c r="AL84" s="416">
        <f t="shared" si="12"/>
        <v>0</v>
      </c>
      <c r="AM84" s="1018"/>
      <c r="AN84" s="1019"/>
      <c r="AO84" s="1019"/>
      <c r="AP84" s="422"/>
      <c r="AQ84" s="419"/>
      <c r="AR84" s="421"/>
      <c r="AS84" s="416">
        <f t="shared" si="13"/>
        <v>0</v>
      </c>
      <c r="AT84" s="1018"/>
      <c r="AU84" s="1019"/>
      <c r="AV84" s="1019"/>
      <c r="AW84" s="422"/>
      <c r="AX84" s="419"/>
      <c r="AY84" s="421"/>
      <c r="AZ84" s="417">
        <f t="shared" si="14"/>
        <v>0</v>
      </c>
    </row>
    <row r="85" spans="4:52" x14ac:dyDescent="0.25">
      <c r="D85" s="1018" t="s">
        <v>355</v>
      </c>
      <c r="E85" s="1019"/>
      <c r="F85" s="1020"/>
      <c r="G85" s="422" t="s">
        <v>292</v>
      </c>
      <c r="H85" s="419"/>
      <c r="I85" s="421"/>
      <c r="J85" s="416">
        <f t="shared" si="8"/>
        <v>0</v>
      </c>
      <c r="K85" s="1018"/>
      <c r="L85" s="1019"/>
      <c r="M85" s="1019"/>
      <c r="N85" s="422"/>
      <c r="O85" s="419"/>
      <c r="P85" s="421"/>
      <c r="Q85" s="416">
        <f t="shared" si="9"/>
        <v>0</v>
      </c>
      <c r="R85" s="1018"/>
      <c r="S85" s="1019"/>
      <c r="T85" s="1019"/>
      <c r="U85" s="422"/>
      <c r="V85" s="419"/>
      <c r="W85" s="421"/>
      <c r="X85" s="416">
        <f t="shared" si="10"/>
        <v>0</v>
      </c>
      <c r="Y85" s="1018"/>
      <c r="Z85" s="1019"/>
      <c r="AA85" s="1019"/>
      <c r="AB85" s="422"/>
      <c r="AC85" s="419"/>
      <c r="AD85" s="421"/>
      <c r="AE85" s="416">
        <f t="shared" si="11"/>
        <v>0</v>
      </c>
      <c r="AF85" s="1018"/>
      <c r="AG85" s="1019"/>
      <c r="AH85" s="1019"/>
      <c r="AI85" s="422"/>
      <c r="AJ85" s="419"/>
      <c r="AK85" s="421"/>
      <c r="AL85" s="416">
        <f t="shared" si="12"/>
        <v>0</v>
      </c>
      <c r="AM85" s="1018"/>
      <c r="AN85" s="1019"/>
      <c r="AO85" s="1019"/>
      <c r="AP85" s="422"/>
      <c r="AQ85" s="419"/>
      <c r="AR85" s="421"/>
      <c r="AS85" s="416">
        <f t="shared" si="13"/>
        <v>0</v>
      </c>
      <c r="AT85" s="1018"/>
      <c r="AU85" s="1019"/>
      <c r="AV85" s="1019"/>
      <c r="AW85" s="422"/>
      <c r="AX85" s="419"/>
      <c r="AY85" s="421"/>
      <c r="AZ85" s="417">
        <f t="shared" si="14"/>
        <v>0</v>
      </c>
    </row>
    <row r="86" spans="4:52" x14ac:dyDescent="0.25">
      <c r="D86" s="1018" t="s">
        <v>356</v>
      </c>
      <c r="E86" s="1019"/>
      <c r="F86" s="1020"/>
      <c r="G86" s="422" t="s">
        <v>292</v>
      </c>
      <c r="H86" s="419"/>
      <c r="I86" s="421"/>
      <c r="J86" s="416">
        <f t="shared" si="8"/>
        <v>0</v>
      </c>
      <c r="K86" s="1018"/>
      <c r="L86" s="1019"/>
      <c r="M86" s="1019"/>
      <c r="N86" s="422"/>
      <c r="O86" s="419"/>
      <c r="P86" s="421"/>
      <c r="Q86" s="416">
        <f t="shared" si="9"/>
        <v>0</v>
      </c>
      <c r="R86" s="1018"/>
      <c r="S86" s="1019"/>
      <c r="T86" s="1019"/>
      <c r="U86" s="422"/>
      <c r="V86" s="419"/>
      <c r="W86" s="421"/>
      <c r="X86" s="416">
        <f t="shared" si="10"/>
        <v>0</v>
      </c>
      <c r="Y86" s="1018"/>
      <c r="Z86" s="1019"/>
      <c r="AA86" s="1019"/>
      <c r="AB86" s="422"/>
      <c r="AC86" s="419"/>
      <c r="AD86" s="421"/>
      <c r="AE86" s="416">
        <f t="shared" si="11"/>
        <v>0</v>
      </c>
      <c r="AF86" s="1018"/>
      <c r="AG86" s="1019"/>
      <c r="AH86" s="1019"/>
      <c r="AI86" s="422"/>
      <c r="AJ86" s="419"/>
      <c r="AK86" s="421"/>
      <c r="AL86" s="416">
        <f t="shared" si="12"/>
        <v>0</v>
      </c>
      <c r="AM86" s="1018"/>
      <c r="AN86" s="1019"/>
      <c r="AO86" s="1019"/>
      <c r="AP86" s="422"/>
      <c r="AQ86" s="419"/>
      <c r="AR86" s="421"/>
      <c r="AS86" s="416">
        <f t="shared" si="13"/>
        <v>0</v>
      </c>
      <c r="AT86" s="1018"/>
      <c r="AU86" s="1019"/>
      <c r="AV86" s="1019"/>
      <c r="AW86" s="422"/>
      <c r="AX86" s="419"/>
      <c r="AY86" s="421"/>
      <c r="AZ86" s="417">
        <f t="shared" si="14"/>
        <v>0</v>
      </c>
    </row>
    <row r="87" spans="4:52" x14ac:dyDescent="0.25">
      <c r="D87" s="1018" t="s">
        <v>357</v>
      </c>
      <c r="E87" s="1019"/>
      <c r="F87" s="1020"/>
      <c r="G87" s="422" t="s">
        <v>292</v>
      </c>
      <c r="H87" s="419"/>
      <c r="I87" s="421"/>
      <c r="J87" s="416">
        <f t="shared" si="8"/>
        <v>0</v>
      </c>
      <c r="K87" s="1018"/>
      <c r="L87" s="1019"/>
      <c r="M87" s="1019"/>
      <c r="N87" s="422"/>
      <c r="O87" s="419"/>
      <c r="P87" s="421"/>
      <c r="Q87" s="416">
        <f t="shared" si="9"/>
        <v>0</v>
      </c>
      <c r="R87" s="1018"/>
      <c r="S87" s="1019"/>
      <c r="T87" s="1019"/>
      <c r="U87" s="422"/>
      <c r="V87" s="419"/>
      <c r="W87" s="421"/>
      <c r="X87" s="416">
        <f t="shared" si="10"/>
        <v>0</v>
      </c>
      <c r="Y87" s="1018"/>
      <c r="Z87" s="1019"/>
      <c r="AA87" s="1019"/>
      <c r="AB87" s="422"/>
      <c r="AC87" s="419"/>
      <c r="AD87" s="421"/>
      <c r="AE87" s="416">
        <f t="shared" si="11"/>
        <v>0</v>
      </c>
      <c r="AF87" s="1018"/>
      <c r="AG87" s="1019"/>
      <c r="AH87" s="1019"/>
      <c r="AI87" s="422"/>
      <c r="AJ87" s="419"/>
      <c r="AK87" s="421"/>
      <c r="AL87" s="416">
        <f t="shared" si="12"/>
        <v>0</v>
      </c>
      <c r="AM87" s="1018"/>
      <c r="AN87" s="1019"/>
      <c r="AO87" s="1019"/>
      <c r="AP87" s="422"/>
      <c r="AQ87" s="419"/>
      <c r="AR87" s="421"/>
      <c r="AS87" s="416">
        <f t="shared" si="13"/>
        <v>0</v>
      </c>
      <c r="AT87" s="1018"/>
      <c r="AU87" s="1019"/>
      <c r="AV87" s="1019"/>
      <c r="AW87" s="422"/>
      <c r="AX87" s="419"/>
      <c r="AY87" s="421"/>
      <c r="AZ87" s="417">
        <f t="shared" si="14"/>
        <v>0</v>
      </c>
    </row>
    <row r="88" spans="4:52" x14ac:dyDescent="0.25">
      <c r="D88" s="1018" t="s">
        <v>358</v>
      </c>
      <c r="E88" s="1019"/>
      <c r="F88" s="1020"/>
      <c r="G88" s="422" t="s">
        <v>292</v>
      </c>
      <c r="H88" s="419"/>
      <c r="I88" s="421"/>
      <c r="J88" s="416">
        <f t="shared" si="8"/>
        <v>0</v>
      </c>
      <c r="K88" s="1018"/>
      <c r="L88" s="1019"/>
      <c r="M88" s="1019"/>
      <c r="N88" s="422"/>
      <c r="O88" s="419"/>
      <c r="P88" s="421"/>
      <c r="Q88" s="416">
        <f t="shared" si="9"/>
        <v>0</v>
      </c>
      <c r="R88" s="1018"/>
      <c r="S88" s="1019"/>
      <c r="T88" s="1019"/>
      <c r="U88" s="422"/>
      <c r="V88" s="419"/>
      <c r="W88" s="421"/>
      <c r="X88" s="416">
        <f t="shared" si="10"/>
        <v>0</v>
      </c>
      <c r="Y88" s="1018"/>
      <c r="Z88" s="1019"/>
      <c r="AA88" s="1019"/>
      <c r="AB88" s="422"/>
      <c r="AC88" s="419"/>
      <c r="AD88" s="421"/>
      <c r="AE88" s="416">
        <f t="shared" si="11"/>
        <v>0</v>
      </c>
      <c r="AF88" s="1018"/>
      <c r="AG88" s="1019"/>
      <c r="AH88" s="1019"/>
      <c r="AI88" s="422"/>
      <c r="AJ88" s="419"/>
      <c r="AK88" s="421"/>
      <c r="AL88" s="416">
        <f t="shared" si="12"/>
        <v>0</v>
      </c>
      <c r="AM88" s="1018"/>
      <c r="AN88" s="1019"/>
      <c r="AO88" s="1019"/>
      <c r="AP88" s="422"/>
      <c r="AQ88" s="419"/>
      <c r="AR88" s="421"/>
      <c r="AS88" s="416">
        <f t="shared" si="13"/>
        <v>0</v>
      </c>
      <c r="AT88" s="1018"/>
      <c r="AU88" s="1019"/>
      <c r="AV88" s="1019"/>
      <c r="AW88" s="422"/>
      <c r="AX88" s="419"/>
      <c r="AY88" s="421"/>
      <c r="AZ88" s="417">
        <f t="shared" si="14"/>
        <v>0</v>
      </c>
    </row>
    <row r="89" spans="4:52" x14ac:dyDescent="0.25">
      <c r="D89" s="1018" t="s">
        <v>359</v>
      </c>
      <c r="E89" s="1019"/>
      <c r="F89" s="1020"/>
      <c r="G89" s="422" t="s">
        <v>292</v>
      </c>
      <c r="H89" s="419"/>
      <c r="I89" s="421"/>
      <c r="J89" s="416">
        <f t="shared" si="8"/>
        <v>0</v>
      </c>
      <c r="K89" s="1018"/>
      <c r="L89" s="1019"/>
      <c r="M89" s="1019"/>
      <c r="N89" s="422"/>
      <c r="O89" s="419"/>
      <c r="P89" s="421"/>
      <c r="Q89" s="416">
        <f t="shared" si="9"/>
        <v>0</v>
      </c>
      <c r="R89" s="1018"/>
      <c r="S89" s="1019"/>
      <c r="T89" s="1019"/>
      <c r="U89" s="422"/>
      <c r="V89" s="419"/>
      <c r="W89" s="421"/>
      <c r="X89" s="416">
        <f t="shared" si="10"/>
        <v>0</v>
      </c>
      <c r="Y89" s="1018"/>
      <c r="Z89" s="1019"/>
      <c r="AA89" s="1019"/>
      <c r="AB89" s="422"/>
      <c r="AC89" s="419"/>
      <c r="AD89" s="421"/>
      <c r="AE89" s="416">
        <f t="shared" si="11"/>
        <v>0</v>
      </c>
      <c r="AF89" s="1018"/>
      <c r="AG89" s="1019"/>
      <c r="AH89" s="1019"/>
      <c r="AI89" s="422"/>
      <c r="AJ89" s="419"/>
      <c r="AK89" s="421"/>
      <c r="AL89" s="416">
        <f t="shared" si="12"/>
        <v>0</v>
      </c>
      <c r="AM89" s="1018"/>
      <c r="AN89" s="1019"/>
      <c r="AO89" s="1019"/>
      <c r="AP89" s="422"/>
      <c r="AQ89" s="419"/>
      <c r="AR89" s="421"/>
      <c r="AS89" s="416">
        <f t="shared" si="13"/>
        <v>0</v>
      </c>
      <c r="AT89" s="1018"/>
      <c r="AU89" s="1019"/>
      <c r="AV89" s="1019"/>
      <c r="AW89" s="422"/>
      <c r="AX89" s="419"/>
      <c r="AY89" s="421"/>
      <c r="AZ89" s="417">
        <f t="shared" si="14"/>
        <v>0</v>
      </c>
    </row>
    <row r="90" spans="4:52" x14ac:dyDescent="0.25">
      <c r="D90" s="1018" t="s">
        <v>360</v>
      </c>
      <c r="E90" s="1019"/>
      <c r="F90" s="1020"/>
      <c r="G90" s="422" t="s">
        <v>295</v>
      </c>
      <c r="H90" s="419"/>
      <c r="I90" s="421"/>
      <c r="J90" s="416">
        <f t="shared" si="8"/>
        <v>0</v>
      </c>
      <c r="K90" s="1018"/>
      <c r="L90" s="1019"/>
      <c r="M90" s="1019"/>
      <c r="N90" s="422"/>
      <c r="O90" s="419"/>
      <c r="P90" s="421"/>
      <c r="Q90" s="416">
        <f t="shared" si="9"/>
        <v>0</v>
      </c>
      <c r="R90" s="1018"/>
      <c r="S90" s="1019"/>
      <c r="T90" s="1019"/>
      <c r="U90" s="422"/>
      <c r="V90" s="419"/>
      <c r="W90" s="421"/>
      <c r="X90" s="416">
        <f t="shared" si="10"/>
        <v>0</v>
      </c>
      <c r="Y90" s="1018"/>
      <c r="Z90" s="1019"/>
      <c r="AA90" s="1019"/>
      <c r="AB90" s="422"/>
      <c r="AC90" s="419"/>
      <c r="AD90" s="421"/>
      <c r="AE90" s="416">
        <f t="shared" si="11"/>
        <v>0</v>
      </c>
      <c r="AF90" s="1018"/>
      <c r="AG90" s="1019"/>
      <c r="AH90" s="1019"/>
      <c r="AI90" s="422"/>
      <c r="AJ90" s="419"/>
      <c r="AK90" s="421"/>
      <c r="AL90" s="416">
        <f t="shared" si="12"/>
        <v>0</v>
      </c>
      <c r="AM90" s="1018"/>
      <c r="AN90" s="1019"/>
      <c r="AO90" s="1019"/>
      <c r="AP90" s="422"/>
      <c r="AQ90" s="419"/>
      <c r="AR90" s="421"/>
      <c r="AS90" s="416">
        <f t="shared" si="13"/>
        <v>0</v>
      </c>
      <c r="AT90" s="1018"/>
      <c r="AU90" s="1019"/>
      <c r="AV90" s="1019"/>
      <c r="AW90" s="422"/>
      <c r="AX90" s="419"/>
      <c r="AY90" s="421"/>
      <c r="AZ90" s="417">
        <f t="shared" si="14"/>
        <v>0</v>
      </c>
    </row>
    <row r="91" spans="4:52" x14ac:dyDescent="0.25">
      <c r="D91" s="1018" t="s">
        <v>361</v>
      </c>
      <c r="E91" s="1019"/>
      <c r="F91" s="1020"/>
      <c r="G91" s="422" t="s">
        <v>292</v>
      </c>
      <c r="H91" s="419"/>
      <c r="I91" s="421"/>
      <c r="J91" s="416">
        <f t="shared" si="8"/>
        <v>0</v>
      </c>
      <c r="K91" s="1018"/>
      <c r="L91" s="1019"/>
      <c r="M91" s="1019"/>
      <c r="N91" s="422"/>
      <c r="O91" s="419"/>
      <c r="P91" s="421"/>
      <c r="Q91" s="416">
        <f t="shared" si="9"/>
        <v>0</v>
      </c>
      <c r="R91" s="1018"/>
      <c r="S91" s="1019"/>
      <c r="T91" s="1019"/>
      <c r="U91" s="422"/>
      <c r="V91" s="419"/>
      <c r="W91" s="421"/>
      <c r="X91" s="416">
        <f t="shared" si="10"/>
        <v>0</v>
      </c>
      <c r="Y91" s="1018"/>
      <c r="Z91" s="1019"/>
      <c r="AA91" s="1019"/>
      <c r="AB91" s="422"/>
      <c r="AC91" s="419"/>
      <c r="AD91" s="421"/>
      <c r="AE91" s="416">
        <f t="shared" si="11"/>
        <v>0</v>
      </c>
      <c r="AF91" s="1018"/>
      <c r="AG91" s="1019"/>
      <c r="AH91" s="1019"/>
      <c r="AI91" s="422"/>
      <c r="AJ91" s="419"/>
      <c r="AK91" s="421"/>
      <c r="AL91" s="416">
        <f t="shared" si="12"/>
        <v>0</v>
      </c>
      <c r="AM91" s="1018"/>
      <c r="AN91" s="1019"/>
      <c r="AO91" s="1019"/>
      <c r="AP91" s="422"/>
      <c r="AQ91" s="419"/>
      <c r="AR91" s="421"/>
      <c r="AS91" s="416">
        <f t="shared" si="13"/>
        <v>0</v>
      </c>
      <c r="AT91" s="1018"/>
      <c r="AU91" s="1019"/>
      <c r="AV91" s="1019"/>
      <c r="AW91" s="422"/>
      <c r="AX91" s="419"/>
      <c r="AY91" s="421"/>
      <c r="AZ91" s="417">
        <f t="shared" si="14"/>
        <v>0</v>
      </c>
    </row>
    <row r="92" spans="4:52" x14ac:dyDescent="0.25">
      <c r="D92" s="1018" t="s">
        <v>362</v>
      </c>
      <c r="E92" s="1019"/>
      <c r="F92" s="1020"/>
      <c r="G92" s="422" t="s">
        <v>288</v>
      </c>
      <c r="H92" s="419"/>
      <c r="I92" s="421"/>
      <c r="J92" s="416">
        <f t="shared" si="8"/>
        <v>0</v>
      </c>
      <c r="K92" s="1018"/>
      <c r="L92" s="1019"/>
      <c r="M92" s="1019"/>
      <c r="N92" s="422"/>
      <c r="O92" s="419"/>
      <c r="P92" s="421"/>
      <c r="Q92" s="416">
        <f t="shared" si="9"/>
        <v>0</v>
      </c>
      <c r="R92" s="1018"/>
      <c r="S92" s="1019"/>
      <c r="T92" s="1019"/>
      <c r="U92" s="422"/>
      <c r="V92" s="419"/>
      <c r="W92" s="421"/>
      <c r="X92" s="416">
        <f t="shared" si="10"/>
        <v>0</v>
      </c>
      <c r="Y92" s="1018"/>
      <c r="Z92" s="1019"/>
      <c r="AA92" s="1019"/>
      <c r="AB92" s="422"/>
      <c r="AC92" s="419"/>
      <c r="AD92" s="421"/>
      <c r="AE92" s="416">
        <f t="shared" si="11"/>
        <v>0</v>
      </c>
      <c r="AF92" s="1018"/>
      <c r="AG92" s="1019"/>
      <c r="AH92" s="1019"/>
      <c r="AI92" s="422"/>
      <c r="AJ92" s="419"/>
      <c r="AK92" s="421"/>
      <c r="AL92" s="416">
        <f t="shared" si="12"/>
        <v>0</v>
      </c>
      <c r="AM92" s="1018"/>
      <c r="AN92" s="1019"/>
      <c r="AO92" s="1019"/>
      <c r="AP92" s="422"/>
      <c r="AQ92" s="419"/>
      <c r="AR92" s="421"/>
      <c r="AS92" s="416">
        <f t="shared" si="13"/>
        <v>0</v>
      </c>
      <c r="AT92" s="1018"/>
      <c r="AU92" s="1019"/>
      <c r="AV92" s="1019"/>
      <c r="AW92" s="422"/>
      <c r="AX92" s="419"/>
      <c r="AY92" s="421"/>
      <c r="AZ92" s="417">
        <f t="shared" si="14"/>
        <v>0</v>
      </c>
    </row>
    <row r="93" spans="4:52" x14ac:dyDescent="0.25">
      <c r="D93" s="1018" t="s">
        <v>363</v>
      </c>
      <c r="E93" s="1019"/>
      <c r="F93" s="1020"/>
      <c r="G93" s="422" t="s">
        <v>288</v>
      </c>
      <c r="H93" s="419"/>
      <c r="I93" s="421"/>
      <c r="J93" s="416">
        <f t="shared" si="8"/>
        <v>0</v>
      </c>
      <c r="K93" s="1018"/>
      <c r="L93" s="1019"/>
      <c r="M93" s="1019"/>
      <c r="N93" s="422"/>
      <c r="O93" s="419"/>
      <c r="P93" s="421"/>
      <c r="Q93" s="416">
        <f t="shared" si="9"/>
        <v>0</v>
      </c>
      <c r="R93" s="1018"/>
      <c r="S93" s="1019"/>
      <c r="T93" s="1019"/>
      <c r="U93" s="422"/>
      <c r="V93" s="419"/>
      <c r="W93" s="421"/>
      <c r="X93" s="416">
        <f t="shared" si="10"/>
        <v>0</v>
      </c>
      <c r="Y93" s="1018"/>
      <c r="Z93" s="1019"/>
      <c r="AA93" s="1019"/>
      <c r="AB93" s="422"/>
      <c r="AC93" s="419"/>
      <c r="AD93" s="421"/>
      <c r="AE93" s="416">
        <f t="shared" si="11"/>
        <v>0</v>
      </c>
      <c r="AF93" s="1018"/>
      <c r="AG93" s="1019"/>
      <c r="AH93" s="1019"/>
      <c r="AI93" s="422"/>
      <c r="AJ93" s="419"/>
      <c r="AK93" s="421"/>
      <c r="AL93" s="416">
        <f t="shared" si="12"/>
        <v>0</v>
      </c>
      <c r="AM93" s="1018"/>
      <c r="AN93" s="1019"/>
      <c r="AO93" s="1019"/>
      <c r="AP93" s="422"/>
      <c r="AQ93" s="419"/>
      <c r="AR93" s="421"/>
      <c r="AS93" s="416">
        <f t="shared" si="13"/>
        <v>0</v>
      </c>
      <c r="AT93" s="1018"/>
      <c r="AU93" s="1019"/>
      <c r="AV93" s="1019"/>
      <c r="AW93" s="422"/>
      <c r="AX93" s="419"/>
      <c r="AY93" s="421"/>
      <c r="AZ93" s="417">
        <f t="shared" si="14"/>
        <v>0</v>
      </c>
    </row>
    <row r="94" spans="4:52" x14ac:dyDescent="0.25">
      <c r="D94" s="1018" t="s">
        <v>364</v>
      </c>
      <c r="E94" s="1019"/>
      <c r="F94" s="1020"/>
      <c r="G94" s="422" t="s">
        <v>288</v>
      </c>
      <c r="H94" s="419"/>
      <c r="I94" s="421"/>
      <c r="J94" s="416">
        <f t="shared" si="8"/>
        <v>0</v>
      </c>
      <c r="K94" s="1018"/>
      <c r="L94" s="1019"/>
      <c r="M94" s="1019"/>
      <c r="N94" s="422"/>
      <c r="O94" s="419"/>
      <c r="P94" s="421"/>
      <c r="Q94" s="416">
        <f t="shared" si="9"/>
        <v>0</v>
      </c>
      <c r="R94" s="1018"/>
      <c r="S94" s="1019"/>
      <c r="T94" s="1019"/>
      <c r="U94" s="422"/>
      <c r="V94" s="419"/>
      <c r="W94" s="421"/>
      <c r="X94" s="416">
        <f t="shared" si="10"/>
        <v>0</v>
      </c>
      <c r="Y94" s="1018"/>
      <c r="Z94" s="1019"/>
      <c r="AA94" s="1019"/>
      <c r="AB94" s="422"/>
      <c r="AC94" s="419"/>
      <c r="AD94" s="421"/>
      <c r="AE94" s="416">
        <f t="shared" si="11"/>
        <v>0</v>
      </c>
      <c r="AF94" s="1018"/>
      <c r="AG94" s="1019"/>
      <c r="AH94" s="1019"/>
      <c r="AI94" s="422"/>
      <c r="AJ94" s="419"/>
      <c r="AK94" s="421"/>
      <c r="AL94" s="416">
        <f t="shared" si="12"/>
        <v>0</v>
      </c>
      <c r="AM94" s="1018"/>
      <c r="AN94" s="1019"/>
      <c r="AO94" s="1019"/>
      <c r="AP94" s="422"/>
      <c r="AQ94" s="419"/>
      <c r="AR94" s="421"/>
      <c r="AS94" s="416">
        <f t="shared" si="13"/>
        <v>0</v>
      </c>
      <c r="AT94" s="1018"/>
      <c r="AU94" s="1019"/>
      <c r="AV94" s="1019"/>
      <c r="AW94" s="422"/>
      <c r="AX94" s="419"/>
      <c r="AY94" s="421"/>
      <c r="AZ94" s="417">
        <f t="shared" si="14"/>
        <v>0</v>
      </c>
    </row>
    <row r="95" spans="4:52" x14ac:dyDescent="0.25">
      <c r="D95" s="1018" t="s">
        <v>365</v>
      </c>
      <c r="E95" s="1019"/>
      <c r="F95" s="1020"/>
      <c r="G95" s="422" t="s">
        <v>292</v>
      </c>
      <c r="H95" s="419"/>
      <c r="I95" s="421"/>
      <c r="J95" s="416">
        <f t="shared" si="8"/>
        <v>0</v>
      </c>
      <c r="K95" s="1018"/>
      <c r="L95" s="1019"/>
      <c r="M95" s="1019"/>
      <c r="N95" s="422"/>
      <c r="O95" s="419"/>
      <c r="P95" s="421"/>
      <c r="Q95" s="416">
        <f t="shared" si="9"/>
        <v>0</v>
      </c>
      <c r="R95" s="1018"/>
      <c r="S95" s="1019"/>
      <c r="T95" s="1019"/>
      <c r="U95" s="422"/>
      <c r="V95" s="419"/>
      <c r="W95" s="421"/>
      <c r="X95" s="416">
        <f t="shared" si="10"/>
        <v>0</v>
      </c>
      <c r="Y95" s="1018"/>
      <c r="Z95" s="1019"/>
      <c r="AA95" s="1019"/>
      <c r="AB95" s="422"/>
      <c r="AC95" s="419"/>
      <c r="AD95" s="421"/>
      <c r="AE95" s="416">
        <f t="shared" si="11"/>
        <v>0</v>
      </c>
      <c r="AF95" s="1018"/>
      <c r="AG95" s="1019"/>
      <c r="AH95" s="1019"/>
      <c r="AI95" s="422"/>
      <c r="AJ95" s="419"/>
      <c r="AK95" s="421"/>
      <c r="AL95" s="416">
        <f t="shared" si="12"/>
        <v>0</v>
      </c>
      <c r="AM95" s="1018"/>
      <c r="AN95" s="1019"/>
      <c r="AO95" s="1019"/>
      <c r="AP95" s="422"/>
      <c r="AQ95" s="419"/>
      <c r="AR95" s="421"/>
      <c r="AS95" s="416">
        <f t="shared" si="13"/>
        <v>0</v>
      </c>
      <c r="AT95" s="1018"/>
      <c r="AU95" s="1019"/>
      <c r="AV95" s="1019"/>
      <c r="AW95" s="422"/>
      <c r="AX95" s="419"/>
      <c r="AY95" s="421"/>
      <c r="AZ95" s="417">
        <f t="shared" si="14"/>
        <v>0</v>
      </c>
    </row>
    <row r="96" spans="4:52" x14ac:dyDescent="0.25">
      <c r="D96" s="1018" t="s">
        <v>366</v>
      </c>
      <c r="E96" s="1019"/>
      <c r="F96" s="1020"/>
      <c r="G96" s="422" t="s">
        <v>292</v>
      </c>
      <c r="H96" s="419"/>
      <c r="I96" s="421"/>
      <c r="J96" s="416">
        <f t="shared" si="8"/>
        <v>0</v>
      </c>
      <c r="K96" s="1018"/>
      <c r="L96" s="1019"/>
      <c r="M96" s="1019"/>
      <c r="N96" s="422"/>
      <c r="O96" s="419"/>
      <c r="P96" s="421"/>
      <c r="Q96" s="416">
        <f t="shared" si="9"/>
        <v>0</v>
      </c>
      <c r="R96" s="1018"/>
      <c r="S96" s="1019"/>
      <c r="T96" s="1019"/>
      <c r="U96" s="422"/>
      <c r="V96" s="419"/>
      <c r="W96" s="421"/>
      <c r="X96" s="416">
        <f t="shared" si="10"/>
        <v>0</v>
      </c>
      <c r="Y96" s="1018"/>
      <c r="Z96" s="1019"/>
      <c r="AA96" s="1019"/>
      <c r="AB96" s="422"/>
      <c r="AC96" s="419"/>
      <c r="AD96" s="421"/>
      <c r="AE96" s="416">
        <f t="shared" si="11"/>
        <v>0</v>
      </c>
      <c r="AF96" s="1018"/>
      <c r="AG96" s="1019"/>
      <c r="AH96" s="1019"/>
      <c r="AI96" s="422"/>
      <c r="AJ96" s="419"/>
      <c r="AK96" s="421"/>
      <c r="AL96" s="416">
        <f t="shared" si="12"/>
        <v>0</v>
      </c>
      <c r="AM96" s="1018"/>
      <c r="AN96" s="1019"/>
      <c r="AO96" s="1019"/>
      <c r="AP96" s="422"/>
      <c r="AQ96" s="419"/>
      <c r="AR96" s="421"/>
      <c r="AS96" s="416">
        <f t="shared" si="13"/>
        <v>0</v>
      </c>
      <c r="AT96" s="1018"/>
      <c r="AU96" s="1019"/>
      <c r="AV96" s="1019"/>
      <c r="AW96" s="422"/>
      <c r="AX96" s="419"/>
      <c r="AY96" s="421"/>
      <c r="AZ96" s="417">
        <f t="shared" si="14"/>
        <v>0</v>
      </c>
    </row>
    <row r="97" spans="4:52" x14ac:dyDescent="0.25">
      <c r="D97" s="1018" t="s">
        <v>367</v>
      </c>
      <c r="E97" s="1019"/>
      <c r="F97" s="1020"/>
      <c r="G97" s="422" t="s">
        <v>292</v>
      </c>
      <c r="H97" s="419"/>
      <c r="I97" s="421"/>
      <c r="J97" s="416">
        <f t="shared" si="8"/>
        <v>0</v>
      </c>
      <c r="K97" s="1018"/>
      <c r="L97" s="1019"/>
      <c r="M97" s="1019"/>
      <c r="N97" s="422"/>
      <c r="O97" s="419"/>
      <c r="P97" s="421"/>
      <c r="Q97" s="416">
        <f t="shared" si="9"/>
        <v>0</v>
      </c>
      <c r="R97" s="1018"/>
      <c r="S97" s="1019"/>
      <c r="T97" s="1019"/>
      <c r="U97" s="422"/>
      <c r="V97" s="419"/>
      <c r="W97" s="421"/>
      <c r="X97" s="416">
        <f t="shared" si="10"/>
        <v>0</v>
      </c>
      <c r="Y97" s="1018"/>
      <c r="Z97" s="1019"/>
      <c r="AA97" s="1019"/>
      <c r="AB97" s="422"/>
      <c r="AC97" s="419"/>
      <c r="AD97" s="421"/>
      <c r="AE97" s="416">
        <f t="shared" si="11"/>
        <v>0</v>
      </c>
      <c r="AF97" s="1018"/>
      <c r="AG97" s="1019"/>
      <c r="AH97" s="1019"/>
      <c r="AI97" s="422"/>
      <c r="AJ97" s="419"/>
      <c r="AK97" s="421"/>
      <c r="AL97" s="416">
        <f t="shared" si="12"/>
        <v>0</v>
      </c>
      <c r="AM97" s="1018"/>
      <c r="AN97" s="1019"/>
      <c r="AO97" s="1019"/>
      <c r="AP97" s="422"/>
      <c r="AQ97" s="419"/>
      <c r="AR97" s="421"/>
      <c r="AS97" s="416">
        <f t="shared" si="13"/>
        <v>0</v>
      </c>
      <c r="AT97" s="1018"/>
      <c r="AU97" s="1019"/>
      <c r="AV97" s="1019"/>
      <c r="AW97" s="422"/>
      <c r="AX97" s="419"/>
      <c r="AY97" s="421"/>
      <c r="AZ97" s="417">
        <f t="shared" si="14"/>
        <v>0</v>
      </c>
    </row>
    <row r="98" spans="4:52" x14ac:dyDescent="0.25">
      <c r="D98" s="1018" t="s">
        <v>368</v>
      </c>
      <c r="E98" s="1019"/>
      <c r="F98" s="1020"/>
      <c r="G98" s="422" t="s">
        <v>292</v>
      </c>
      <c r="H98" s="419"/>
      <c r="I98" s="421"/>
      <c r="J98" s="416">
        <f t="shared" si="8"/>
        <v>0</v>
      </c>
      <c r="K98" s="1018"/>
      <c r="L98" s="1019"/>
      <c r="M98" s="1019"/>
      <c r="N98" s="422"/>
      <c r="O98" s="419"/>
      <c r="P98" s="421"/>
      <c r="Q98" s="416">
        <f t="shared" si="9"/>
        <v>0</v>
      </c>
      <c r="R98" s="1018"/>
      <c r="S98" s="1019"/>
      <c r="T98" s="1019"/>
      <c r="U98" s="422"/>
      <c r="V98" s="419"/>
      <c r="W98" s="421"/>
      <c r="X98" s="416">
        <f t="shared" si="10"/>
        <v>0</v>
      </c>
      <c r="Y98" s="1018"/>
      <c r="Z98" s="1019"/>
      <c r="AA98" s="1019"/>
      <c r="AB98" s="422"/>
      <c r="AC98" s="419"/>
      <c r="AD98" s="421"/>
      <c r="AE98" s="416">
        <f t="shared" si="11"/>
        <v>0</v>
      </c>
      <c r="AF98" s="1018"/>
      <c r="AG98" s="1019"/>
      <c r="AH98" s="1019"/>
      <c r="AI98" s="422"/>
      <c r="AJ98" s="419"/>
      <c r="AK98" s="421"/>
      <c r="AL98" s="416">
        <f t="shared" si="12"/>
        <v>0</v>
      </c>
      <c r="AM98" s="1018"/>
      <c r="AN98" s="1019"/>
      <c r="AO98" s="1019"/>
      <c r="AP98" s="422"/>
      <c r="AQ98" s="419"/>
      <c r="AR98" s="421"/>
      <c r="AS98" s="416">
        <f t="shared" si="13"/>
        <v>0</v>
      </c>
      <c r="AT98" s="1018"/>
      <c r="AU98" s="1019"/>
      <c r="AV98" s="1019"/>
      <c r="AW98" s="422"/>
      <c r="AX98" s="419"/>
      <c r="AY98" s="421"/>
      <c r="AZ98" s="417">
        <f t="shared" si="14"/>
        <v>0</v>
      </c>
    </row>
    <row r="99" spans="4:52" x14ac:dyDescent="0.25">
      <c r="D99" s="1018" t="s">
        <v>369</v>
      </c>
      <c r="E99" s="1019"/>
      <c r="F99" s="1020"/>
      <c r="G99" s="422" t="s">
        <v>292</v>
      </c>
      <c r="H99" s="419"/>
      <c r="I99" s="421"/>
      <c r="J99" s="416">
        <f t="shared" si="8"/>
        <v>0</v>
      </c>
      <c r="K99" s="1018"/>
      <c r="L99" s="1019"/>
      <c r="M99" s="1019"/>
      <c r="N99" s="422"/>
      <c r="O99" s="419"/>
      <c r="P99" s="421"/>
      <c r="Q99" s="416">
        <f t="shared" si="9"/>
        <v>0</v>
      </c>
      <c r="R99" s="1018"/>
      <c r="S99" s="1019"/>
      <c r="T99" s="1019"/>
      <c r="U99" s="422"/>
      <c r="V99" s="419"/>
      <c r="W99" s="421"/>
      <c r="X99" s="416">
        <f t="shared" si="10"/>
        <v>0</v>
      </c>
      <c r="Y99" s="1018"/>
      <c r="Z99" s="1019"/>
      <c r="AA99" s="1019"/>
      <c r="AB99" s="422"/>
      <c r="AC99" s="419"/>
      <c r="AD99" s="421"/>
      <c r="AE99" s="416">
        <f t="shared" si="11"/>
        <v>0</v>
      </c>
      <c r="AF99" s="1018"/>
      <c r="AG99" s="1019"/>
      <c r="AH99" s="1019"/>
      <c r="AI99" s="422"/>
      <c r="AJ99" s="419"/>
      <c r="AK99" s="421"/>
      <c r="AL99" s="416">
        <f t="shared" si="12"/>
        <v>0</v>
      </c>
      <c r="AM99" s="1018"/>
      <c r="AN99" s="1019"/>
      <c r="AO99" s="1019"/>
      <c r="AP99" s="422"/>
      <c r="AQ99" s="419"/>
      <c r="AR99" s="421"/>
      <c r="AS99" s="416">
        <f t="shared" si="13"/>
        <v>0</v>
      </c>
      <c r="AT99" s="1018"/>
      <c r="AU99" s="1019"/>
      <c r="AV99" s="1019"/>
      <c r="AW99" s="422"/>
      <c r="AX99" s="419"/>
      <c r="AY99" s="421"/>
      <c r="AZ99" s="417">
        <f t="shared" si="14"/>
        <v>0</v>
      </c>
    </row>
    <row r="100" spans="4:52" x14ac:dyDescent="0.25">
      <c r="D100" s="1018" t="s">
        <v>370</v>
      </c>
      <c r="E100" s="1019"/>
      <c r="F100" s="1020"/>
      <c r="G100" s="422" t="s">
        <v>292</v>
      </c>
      <c r="H100" s="419"/>
      <c r="I100" s="421"/>
      <c r="J100" s="416">
        <f t="shared" si="8"/>
        <v>0</v>
      </c>
      <c r="K100" s="1018"/>
      <c r="L100" s="1019"/>
      <c r="M100" s="1019"/>
      <c r="N100" s="422"/>
      <c r="O100" s="419"/>
      <c r="P100" s="421"/>
      <c r="Q100" s="416">
        <f t="shared" si="9"/>
        <v>0</v>
      </c>
      <c r="R100" s="1018"/>
      <c r="S100" s="1019"/>
      <c r="T100" s="1019"/>
      <c r="U100" s="422"/>
      <c r="V100" s="419"/>
      <c r="W100" s="421"/>
      <c r="X100" s="416">
        <f t="shared" si="10"/>
        <v>0</v>
      </c>
      <c r="Y100" s="1018"/>
      <c r="Z100" s="1019"/>
      <c r="AA100" s="1019"/>
      <c r="AB100" s="422"/>
      <c r="AC100" s="419"/>
      <c r="AD100" s="421"/>
      <c r="AE100" s="416">
        <f t="shared" si="11"/>
        <v>0</v>
      </c>
      <c r="AF100" s="1018"/>
      <c r="AG100" s="1019"/>
      <c r="AH100" s="1019"/>
      <c r="AI100" s="422"/>
      <c r="AJ100" s="419"/>
      <c r="AK100" s="421"/>
      <c r="AL100" s="416">
        <f t="shared" si="12"/>
        <v>0</v>
      </c>
      <c r="AM100" s="1018"/>
      <c r="AN100" s="1019"/>
      <c r="AO100" s="1019"/>
      <c r="AP100" s="422"/>
      <c r="AQ100" s="419"/>
      <c r="AR100" s="421"/>
      <c r="AS100" s="416">
        <f t="shared" si="13"/>
        <v>0</v>
      </c>
      <c r="AT100" s="1018"/>
      <c r="AU100" s="1019"/>
      <c r="AV100" s="1019"/>
      <c r="AW100" s="422"/>
      <c r="AX100" s="419"/>
      <c r="AY100" s="421"/>
      <c r="AZ100" s="417">
        <f t="shared" si="14"/>
        <v>0</v>
      </c>
    </row>
    <row r="101" spans="4:52" x14ac:dyDescent="0.25">
      <c r="D101" s="1018" t="s">
        <v>371</v>
      </c>
      <c r="E101" s="1019"/>
      <c r="F101" s="1020"/>
      <c r="G101" s="422" t="s">
        <v>292</v>
      </c>
      <c r="H101" s="419"/>
      <c r="I101" s="421"/>
      <c r="J101" s="416">
        <f t="shared" si="8"/>
        <v>0</v>
      </c>
      <c r="K101" s="1018"/>
      <c r="L101" s="1019"/>
      <c r="M101" s="1019"/>
      <c r="N101" s="422"/>
      <c r="O101" s="419"/>
      <c r="P101" s="421"/>
      <c r="Q101" s="416">
        <f t="shared" si="9"/>
        <v>0</v>
      </c>
      <c r="R101" s="1018"/>
      <c r="S101" s="1019"/>
      <c r="T101" s="1019"/>
      <c r="U101" s="422"/>
      <c r="V101" s="419"/>
      <c r="W101" s="421"/>
      <c r="X101" s="416">
        <f t="shared" si="10"/>
        <v>0</v>
      </c>
      <c r="Y101" s="1018"/>
      <c r="Z101" s="1019"/>
      <c r="AA101" s="1019"/>
      <c r="AB101" s="422"/>
      <c r="AC101" s="419"/>
      <c r="AD101" s="421"/>
      <c r="AE101" s="416">
        <f t="shared" si="11"/>
        <v>0</v>
      </c>
      <c r="AF101" s="1018"/>
      <c r="AG101" s="1019"/>
      <c r="AH101" s="1019"/>
      <c r="AI101" s="422"/>
      <c r="AJ101" s="419"/>
      <c r="AK101" s="421"/>
      <c r="AL101" s="416">
        <f t="shared" si="12"/>
        <v>0</v>
      </c>
      <c r="AM101" s="1018"/>
      <c r="AN101" s="1019"/>
      <c r="AO101" s="1019"/>
      <c r="AP101" s="422"/>
      <c r="AQ101" s="419"/>
      <c r="AR101" s="421"/>
      <c r="AS101" s="416">
        <f t="shared" si="13"/>
        <v>0</v>
      </c>
      <c r="AT101" s="1018"/>
      <c r="AU101" s="1019"/>
      <c r="AV101" s="1019"/>
      <c r="AW101" s="422"/>
      <c r="AX101" s="419"/>
      <c r="AY101" s="421"/>
      <c r="AZ101" s="417">
        <f t="shared" si="14"/>
        <v>0</v>
      </c>
    </row>
    <row r="102" spans="4:52" x14ac:dyDescent="0.25">
      <c r="D102" s="1018" t="s">
        <v>372</v>
      </c>
      <c r="E102" s="1019"/>
      <c r="F102" s="1020"/>
      <c r="G102" s="422" t="s">
        <v>292</v>
      </c>
      <c r="H102" s="419"/>
      <c r="I102" s="421"/>
      <c r="J102" s="416">
        <f t="shared" si="8"/>
        <v>0</v>
      </c>
      <c r="K102" s="1018"/>
      <c r="L102" s="1019"/>
      <c r="M102" s="1019"/>
      <c r="N102" s="422"/>
      <c r="O102" s="419"/>
      <c r="P102" s="421"/>
      <c r="Q102" s="416">
        <f t="shared" si="9"/>
        <v>0</v>
      </c>
      <c r="R102" s="1018"/>
      <c r="S102" s="1019"/>
      <c r="T102" s="1019"/>
      <c r="U102" s="422"/>
      <c r="V102" s="419"/>
      <c r="W102" s="421"/>
      <c r="X102" s="416">
        <f t="shared" si="10"/>
        <v>0</v>
      </c>
      <c r="Y102" s="1018"/>
      <c r="Z102" s="1019"/>
      <c r="AA102" s="1019"/>
      <c r="AB102" s="422"/>
      <c r="AC102" s="419"/>
      <c r="AD102" s="421"/>
      <c r="AE102" s="416">
        <f t="shared" si="11"/>
        <v>0</v>
      </c>
      <c r="AF102" s="1018"/>
      <c r="AG102" s="1019"/>
      <c r="AH102" s="1019"/>
      <c r="AI102" s="422"/>
      <c r="AJ102" s="419"/>
      <c r="AK102" s="421"/>
      <c r="AL102" s="416">
        <f t="shared" si="12"/>
        <v>0</v>
      </c>
      <c r="AM102" s="1018"/>
      <c r="AN102" s="1019"/>
      <c r="AO102" s="1019"/>
      <c r="AP102" s="422"/>
      <c r="AQ102" s="419"/>
      <c r="AR102" s="421"/>
      <c r="AS102" s="416">
        <f t="shared" si="13"/>
        <v>0</v>
      </c>
      <c r="AT102" s="1018"/>
      <c r="AU102" s="1019"/>
      <c r="AV102" s="1019"/>
      <c r="AW102" s="422"/>
      <c r="AX102" s="419"/>
      <c r="AY102" s="421"/>
      <c r="AZ102" s="417">
        <f t="shared" si="14"/>
        <v>0</v>
      </c>
    </row>
    <row r="103" spans="4:52" x14ac:dyDescent="0.25">
      <c r="D103" s="1018" t="s">
        <v>373</v>
      </c>
      <c r="E103" s="1019"/>
      <c r="F103" s="1020"/>
      <c r="G103" s="422" t="s">
        <v>374</v>
      </c>
      <c r="H103" s="419"/>
      <c r="I103" s="421"/>
      <c r="J103" s="416">
        <f t="shared" si="8"/>
        <v>0</v>
      </c>
      <c r="K103" s="1018"/>
      <c r="L103" s="1019"/>
      <c r="M103" s="1019"/>
      <c r="N103" s="422"/>
      <c r="O103" s="419"/>
      <c r="P103" s="421"/>
      <c r="Q103" s="416">
        <f t="shared" si="9"/>
        <v>0</v>
      </c>
      <c r="R103" s="1018"/>
      <c r="S103" s="1019"/>
      <c r="T103" s="1019"/>
      <c r="U103" s="422"/>
      <c r="V103" s="419"/>
      <c r="W103" s="421"/>
      <c r="X103" s="416">
        <f t="shared" si="10"/>
        <v>0</v>
      </c>
      <c r="Y103" s="1018"/>
      <c r="Z103" s="1019"/>
      <c r="AA103" s="1019"/>
      <c r="AB103" s="422"/>
      <c r="AC103" s="419"/>
      <c r="AD103" s="421"/>
      <c r="AE103" s="416">
        <f t="shared" si="11"/>
        <v>0</v>
      </c>
      <c r="AF103" s="1018"/>
      <c r="AG103" s="1019"/>
      <c r="AH103" s="1019"/>
      <c r="AI103" s="422"/>
      <c r="AJ103" s="419"/>
      <c r="AK103" s="421"/>
      <c r="AL103" s="416">
        <f t="shared" si="12"/>
        <v>0</v>
      </c>
      <c r="AM103" s="1018"/>
      <c r="AN103" s="1019"/>
      <c r="AO103" s="1019"/>
      <c r="AP103" s="422"/>
      <c r="AQ103" s="419"/>
      <c r="AR103" s="421"/>
      <c r="AS103" s="416">
        <f t="shared" si="13"/>
        <v>0</v>
      </c>
      <c r="AT103" s="1018"/>
      <c r="AU103" s="1019"/>
      <c r="AV103" s="1019"/>
      <c r="AW103" s="422"/>
      <c r="AX103" s="419"/>
      <c r="AY103" s="421"/>
      <c r="AZ103" s="417">
        <f t="shared" si="14"/>
        <v>0</v>
      </c>
    </row>
    <row r="104" spans="4:52" x14ac:dyDescent="0.25">
      <c r="D104" s="1018" t="s">
        <v>438</v>
      </c>
      <c r="E104" s="1019"/>
      <c r="F104" s="1020"/>
      <c r="G104" s="422" t="s">
        <v>374</v>
      </c>
      <c r="H104" s="419"/>
      <c r="I104" s="421"/>
      <c r="J104" s="416">
        <f t="shared" si="8"/>
        <v>0</v>
      </c>
      <c r="K104" s="1018"/>
      <c r="L104" s="1019"/>
      <c r="M104" s="1019"/>
      <c r="N104" s="422"/>
      <c r="O104" s="419"/>
      <c r="P104" s="421"/>
      <c r="Q104" s="416">
        <f t="shared" si="9"/>
        <v>0</v>
      </c>
      <c r="R104" s="1018"/>
      <c r="S104" s="1019"/>
      <c r="T104" s="1019"/>
      <c r="U104" s="422"/>
      <c r="V104" s="419"/>
      <c r="W104" s="421"/>
      <c r="X104" s="416">
        <f t="shared" si="10"/>
        <v>0</v>
      </c>
      <c r="Y104" s="1018"/>
      <c r="Z104" s="1019"/>
      <c r="AA104" s="1019"/>
      <c r="AB104" s="422"/>
      <c r="AC104" s="419"/>
      <c r="AD104" s="421"/>
      <c r="AE104" s="416">
        <f t="shared" si="11"/>
        <v>0</v>
      </c>
      <c r="AF104" s="1018"/>
      <c r="AG104" s="1019"/>
      <c r="AH104" s="1019"/>
      <c r="AI104" s="422"/>
      <c r="AJ104" s="419"/>
      <c r="AK104" s="421"/>
      <c r="AL104" s="416">
        <f t="shared" si="12"/>
        <v>0</v>
      </c>
      <c r="AM104" s="1018"/>
      <c r="AN104" s="1019"/>
      <c r="AO104" s="1019"/>
      <c r="AP104" s="422"/>
      <c r="AQ104" s="419"/>
      <c r="AR104" s="421"/>
      <c r="AS104" s="416">
        <f t="shared" si="13"/>
        <v>0</v>
      </c>
      <c r="AT104" s="1018"/>
      <c r="AU104" s="1019"/>
      <c r="AV104" s="1019"/>
      <c r="AW104" s="422"/>
      <c r="AX104" s="419"/>
      <c r="AY104" s="421"/>
      <c r="AZ104" s="417">
        <f t="shared" si="14"/>
        <v>0</v>
      </c>
    </row>
    <row r="105" spans="4:52" x14ac:dyDescent="0.25">
      <c r="D105" s="1018" t="s">
        <v>439</v>
      </c>
      <c r="E105" s="1019"/>
      <c r="F105" s="1020"/>
      <c r="G105" s="422" t="s">
        <v>374</v>
      </c>
      <c r="H105" s="419"/>
      <c r="I105" s="421"/>
      <c r="J105" s="416">
        <f t="shared" si="8"/>
        <v>0</v>
      </c>
      <c r="K105" s="1018"/>
      <c r="L105" s="1019"/>
      <c r="M105" s="1019"/>
      <c r="N105" s="422"/>
      <c r="O105" s="419"/>
      <c r="P105" s="421"/>
      <c r="Q105" s="416">
        <f t="shared" si="9"/>
        <v>0</v>
      </c>
      <c r="R105" s="1018"/>
      <c r="S105" s="1019"/>
      <c r="T105" s="1019"/>
      <c r="U105" s="422"/>
      <c r="V105" s="419"/>
      <c r="W105" s="421"/>
      <c r="X105" s="416">
        <f t="shared" si="10"/>
        <v>0</v>
      </c>
      <c r="Y105" s="1018"/>
      <c r="Z105" s="1019"/>
      <c r="AA105" s="1019"/>
      <c r="AB105" s="422"/>
      <c r="AC105" s="419"/>
      <c r="AD105" s="421"/>
      <c r="AE105" s="416">
        <f t="shared" si="11"/>
        <v>0</v>
      </c>
      <c r="AF105" s="1018"/>
      <c r="AG105" s="1019"/>
      <c r="AH105" s="1019"/>
      <c r="AI105" s="422"/>
      <c r="AJ105" s="419"/>
      <c r="AK105" s="421"/>
      <c r="AL105" s="416">
        <f t="shared" si="12"/>
        <v>0</v>
      </c>
      <c r="AM105" s="1018"/>
      <c r="AN105" s="1019"/>
      <c r="AO105" s="1019"/>
      <c r="AP105" s="422"/>
      <c r="AQ105" s="419"/>
      <c r="AR105" s="421"/>
      <c r="AS105" s="416">
        <f t="shared" si="13"/>
        <v>0</v>
      </c>
      <c r="AT105" s="1018"/>
      <c r="AU105" s="1019"/>
      <c r="AV105" s="1019"/>
      <c r="AW105" s="422"/>
      <c r="AX105" s="419"/>
      <c r="AY105" s="421"/>
      <c r="AZ105" s="417">
        <f t="shared" si="14"/>
        <v>0</v>
      </c>
    </row>
    <row r="106" spans="4:52" x14ac:dyDescent="0.25">
      <c r="D106" s="1018" t="s">
        <v>375</v>
      </c>
      <c r="E106" s="1019"/>
      <c r="F106" s="1020"/>
      <c r="G106" s="422" t="s">
        <v>261</v>
      </c>
      <c r="H106" s="419"/>
      <c r="I106" s="421"/>
      <c r="J106" s="416">
        <f t="shared" ref="J106:J122" si="15">H106*I106</f>
        <v>0</v>
      </c>
      <c r="K106" s="1018"/>
      <c r="L106" s="1019"/>
      <c r="M106" s="1019"/>
      <c r="N106" s="422"/>
      <c r="O106" s="419"/>
      <c r="P106" s="421"/>
      <c r="Q106" s="416">
        <f t="shared" si="9"/>
        <v>0</v>
      </c>
      <c r="R106" s="1018"/>
      <c r="S106" s="1019"/>
      <c r="T106" s="1019"/>
      <c r="U106" s="422"/>
      <c r="V106" s="419"/>
      <c r="W106" s="421"/>
      <c r="X106" s="416">
        <f t="shared" si="10"/>
        <v>0</v>
      </c>
      <c r="Y106" s="1018"/>
      <c r="Z106" s="1019"/>
      <c r="AA106" s="1019"/>
      <c r="AB106" s="422"/>
      <c r="AC106" s="419"/>
      <c r="AD106" s="421"/>
      <c r="AE106" s="416">
        <f t="shared" si="11"/>
        <v>0</v>
      </c>
      <c r="AF106" s="1018"/>
      <c r="AG106" s="1019"/>
      <c r="AH106" s="1019"/>
      <c r="AI106" s="422"/>
      <c r="AJ106" s="419"/>
      <c r="AK106" s="421"/>
      <c r="AL106" s="416">
        <f t="shared" si="12"/>
        <v>0</v>
      </c>
      <c r="AM106" s="1018"/>
      <c r="AN106" s="1019"/>
      <c r="AO106" s="1019"/>
      <c r="AP106" s="422"/>
      <c r="AQ106" s="419"/>
      <c r="AR106" s="421"/>
      <c r="AS106" s="416">
        <f t="shared" si="13"/>
        <v>0</v>
      </c>
      <c r="AT106" s="1018"/>
      <c r="AU106" s="1019"/>
      <c r="AV106" s="1019"/>
      <c r="AW106" s="422"/>
      <c r="AX106" s="419"/>
      <c r="AY106" s="421"/>
      <c r="AZ106" s="417">
        <f t="shared" si="14"/>
        <v>0</v>
      </c>
    </row>
    <row r="107" spans="4:52" x14ac:dyDescent="0.25">
      <c r="D107" s="1018" t="s">
        <v>442</v>
      </c>
      <c r="E107" s="1019"/>
      <c r="F107" s="1020"/>
      <c r="G107" s="422" t="s">
        <v>374</v>
      </c>
      <c r="H107" s="419"/>
      <c r="I107" s="421"/>
      <c r="J107" s="416">
        <f t="shared" si="15"/>
        <v>0</v>
      </c>
      <c r="K107" s="1018"/>
      <c r="L107" s="1019"/>
      <c r="M107" s="1019"/>
      <c r="N107" s="422"/>
      <c r="O107" s="419"/>
      <c r="P107" s="421"/>
      <c r="Q107" s="416">
        <f t="shared" si="9"/>
        <v>0</v>
      </c>
      <c r="R107" s="1018"/>
      <c r="S107" s="1019"/>
      <c r="T107" s="1019"/>
      <c r="U107" s="422"/>
      <c r="V107" s="419"/>
      <c r="W107" s="421"/>
      <c r="X107" s="416">
        <f t="shared" si="10"/>
        <v>0</v>
      </c>
      <c r="Y107" s="1018"/>
      <c r="Z107" s="1019"/>
      <c r="AA107" s="1019"/>
      <c r="AB107" s="422"/>
      <c r="AC107" s="419"/>
      <c r="AD107" s="421"/>
      <c r="AE107" s="416">
        <f t="shared" si="11"/>
        <v>0</v>
      </c>
      <c r="AF107" s="1018"/>
      <c r="AG107" s="1019"/>
      <c r="AH107" s="1019"/>
      <c r="AI107" s="422"/>
      <c r="AJ107" s="419"/>
      <c r="AK107" s="421"/>
      <c r="AL107" s="416">
        <f t="shared" si="12"/>
        <v>0</v>
      </c>
      <c r="AM107" s="1018"/>
      <c r="AN107" s="1019"/>
      <c r="AO107" s="1019"/>
      <c r="AP107" s="422"/>
      <c r="AQ107" s="419"/>
      <c r="AR107" s="421"/>
      <c r="AS107" s="416">
        <f t="shared" si="13"/>
        <v>0</v>
      </c>
      <c r="AT107" s="1018"/>
      <c r="AU107" s="1019"/>
      <c r="AV107" s="1019"/>
      <c r="AW107" s="422"/>
      <c r="AX107" s="419"/>
      <c r="AY107" s="421"/>
      <c r="AZ107" s="417">
        <f t="shared" si="14"/>
        <v>0</v>
      </c>
    </row>
    <row r="108" spans="4:52" x14ac:dyDescent="0.25">
      <c r="D108" s="1018" t="s">
        <v>440</v>
      </c>
      <c r="E108" s="1019"/>
      <c r="F108" s="1020"/>
      <c r="G108" s="422" t="s">
        <v>374</v>
      </c>
      <c r="H108" s="419"/>
      <c r="I108" s="421"/>
      <c r="J108" s="416">
        <f t="shared" si="15"/>
        <v>0</v>
      </c>
      <c r="K108" s="1018"/>
      <c r="L108" s="1019"/>
      <c r="M108" s="1019"/>
      <c r="N108" s="422"/>
      <c r="O108" s="419"/>
      <c r="P108" s="421"/>
      <c r="Q108" s="416">
        <f t="shared" si="9"/>
        <v>0</v>
      </c>
      <c r="R108" s="1018"/>
      <c r="S108" s="1019"/>
      <c r="T108" s="1019"/>
      <c r="U108" s="422"/>
      <c r="V108" s="419"/>
      <c r="W108" s="421"/>
      <c r="X108" s="416">
        <f t="shared" si="10"/>
        <v>0</v>
      </c>
      <c r="Y108" s="1018"/>
      <c r="Z108" s="1019"/>
      <c r="AA108" s="1019"/>
      <c r="AB108" s="422"/>
      <c r="AC108" s="419"/>
      <c r="AD108" s="421"/>
      <c r="AE108" s="416">
        <f t="shared" si="11"/>
        <v>0</v>
      </c>
      <c r="AF108" s="1018"/>
      <c r="AG108" s="1019"/>
      <c r="AH108" s="1019"/>
      <c r="AI108" s="422"/>
      <c r="AJ108" s="419"/>
      <c r="AK108" s="421"/>
      <c r="AL108" s="416">
        <f t="shared" si="12"/>
        <v>0</v>
      </c>
      <c r="AM108" s="1018"/>
      <c r="AN108" s="1019"/>
      <c r="AO108" s="1019"/>
      <c r="AP108" s="422"/>
      <c r="AQ108" s="419"/>
      <c r="AR108" s="421"/>
      <c r="AS108" s="416">
        <f t="shared" si="13"/>
        <v>0</v>
      </c>
      <c r="AT108" s="1018"/>
      <c r="AU108" s="1019"/>
      <c r="AV108" s="1019"/>
      <c r="AW108" s="422"/>
      <c r="AX108" s="419"/>
      <c r="AY108" s="421"/>
      <c r="AZ108" s="417">
        <f t="shared" si="14"/>
        <v>0</v>
      </c>
    </row>
    <row r="109" spans="4:52" x14ac:dyDescent="0.25">
      <c r="D109" s="1018" t="s">
        <v>441</v>
      </c>
      <c r="E109" s="1019"/>
      <c r="F109" s="1020"/>
      <c r="G109" s="422" t="s">
        <v>374</v>
      </c>
      <c r="H109" s="419"/>
      <c r="I109" s="421"/>
      <c r="J109" s="416">
        <f t="shared" si="15"/>
        <v>0</v>
      </c>
      <c r="K109" s="1018"/>
      <c r="L109" s="1019"/>
      <c r="M109" s="1019"/>
      <c r="N109" s="422"/>
      <c r="O109" s="419"/>
      <c r="P109" s="421"/>
      <c r="Q109" s="416">
        <f t="shared" si="9"/>
        <v>0</v>
      </c>
      <c r="R109" s="1018"/>
      <c r="S109" s="1019"/>
      <c r="T109" s="1019"/>
      <c r="U109" s="422"/>
      <c r="V109" s="419"/>
      <c r="W109" s="421"/>
      <c r="X109" s="416">
        <f t="shared" si="10"/>
        <v>0</v>
      </c>
      <c r="Y109" s="1018"/>
      <c r="Z109" s="1019"/>
      <c r="AA109" s="1019"/>
      <c r="AB109" s="422"/>
      <c r="AC109" s="419"/>
      <c r="AD109" s="421"/>
      <c r="AE109" s="416">
        <f t="shared" si="11"/>
        <v>0</v>
      </c>
      <c r="AF109" s="1018"/>
      <c r="AG109" s="1019"/>
      <c r="AH109" s="1019"/>
      <c r="AI109" s="422"/>
      <c r="AJ109" s="419"/>
      <c r="AK109" s="421"/>
      <c r="AL109" s="416">
        <f t="shared" si="12"/>
        <v>0</v>
      </c>
      <c r="AM109" s="1018"/>
      <c r="AN109" s="1019"/>
      <c r="AO109" s="1019"/>
      <c r="AP109" s="422"/>
      <c r="AQ109" s="419"/>
      <c r="AR109" s="421"/>
      <c r="AS109" s="416">
        <f t="shared" si="13"/>
        <v>0</v>
      </c>
      <c r="AT109" s="1018"/>
      <c r="AU109" s="1019"/>
      <c r="AV109" s="1019"/>
      <c r="AW109" s="422"/>
      <c r="AX109" s="419"/>
      <c r="AY109" s="421"/>
      <c r="AZ109" s="417">
        <f t="shared" si="14"/>
        <v>0</v>
      </c>
    </row>
    <row r="110" spans="4:52" x14ac:dyDescent="0.25">
      <c r="D110" s="1018" t="s">
        <v>443</v>
      </c>
      <c r="E110" s="1019"/>
      <c r="F110" s="1020"/>
      <c r="G110" s="422" t="s">
        <v>374</v>
      </c>
      <c r="H110" s="419"/>
      <c r="I110" s="421"/>
      <c r="J110" s="416">
        <f t="shared" si="15"/>
        <v>0</v>
      </c>
      <c r="K110" s="1018"/>
      <c r="L110" s="1019"/>
      <c r="M110" s="1019"/>
      <c r="N110" s="422"/>
      <c r="O110" s="419"/>
      <c r="P110" s="421"/>
      <c r="Q110" s="416">
        <f t="shared" si="9"/>
        <v>0</v>
      </c>
      <c r="R110" s="1018"/>
      <c r="S110" s="1019"/>
      <c r="T110" s="1019"/>
      <c r="U110" s="422"/>
      <c r="V110" s="419"/>
      <c r="W110" s="421"/>
      <c r="X110" s="416">
        <f t="shared" si="10"/>
        <v>0</v>
      </c>
      <c r="Y110" s="1018"/>
      <c r="Z110" s="1019"/>
      <c r="AA110" s="1019"/>
      <c r="AB110" s="422"/>
      <c r="AC110" s="419"/>
      <c r="AD110" s="421"/>
      <c r="AE110" s="416">
        <f t="shared" si="11"/>
        <v>0</v>
      </c>
      <c r="AF110" s="1018"/>
      <c r="AG110" s="1019"/>
      <c r="AH110" s="1019"/>
      <c r="AI110" s="422"/>
      <c r="AJ110" s="419"/>
      <c r="AK110" s="421"/>
      <c r="AL110" s="416">
        <f t="shared" si="12"/>
        <v>0</v>
      </c>
      <c r="AM110" s="1018"/>
      <c r="AN110" s="1019"/>
      <c r="AO110" s="1019"/>
      <c r="AP110" s="422"/>
      <c r="AQ110" s="419"/>
      <c r="AR110" s="421"/>
      <c r="AS110" s="416">
        <f t="shared" si="13"/>
        <v>0</v>
      </c>
      <c r="AT110" s="1018"/>
      <c r="AU110" s="1019"/>
      <c r="AV110" s="1019"/>
      <c r="AW110" s="422"/>
      <c r="AX110" s="419"/>
      <c r="AY110" s="421"/>
      <c r="AZ110" s="417">
        <f t="shared" si="14"/>
        <v>0</v>
      </c>
    </row>
    <row r="111" spans="4:52" x14ac:dyDescent="0.25">
      <c r="D111" s="1018" t="s">
        <v>444</v>
      </c>
      <c r="E111" s="1019"/>
      <c r="F111" s="1020"/>
      <c r="G111" s="422" t="s">
        <v>374</v>
      </c>
      <c r="H111" s="419"/>
      <c r="I111" s="421"/>
      <c r="J111" s="416">
        <f t="shared" si="15"/>
        <v>0</v>
      </c>
      <c r="K111" s="1018"/>
      <c r="L111" s="1019"/>
      <c r="M111" s="1019"/>
      <c r="N111" s="422"/>
      <c r="O111" s="419"/>
      <c r="P111" s="421"/>
      <c r="Q111" s="416">
        <f t="shared" si="9"/>
        <v>0</v>
      </c>
      <c r="R111" s="1018"/>
      <c r="S111" s="1019"/>
      <c r="T111" s="1019"/>
      <c r="U111" s="422"/>
      <c r="V111" s="419"/>
      <c r="W111" s="421"/>
      <c r="X111" s="416">
        <f t="shared" si="10"/>
        <v>0</v>
      </c>
      <c r="Y111" s="1018"/>
      <c r="Z111" s="1019"/>
      <c r="AA111" s="1019"/>
      <c r="AB111" s="422"/>
      <c r="AC111" s="419"/>
      <c r="AD111" s="421"/>
      <c r="AE111" s="416">
        <f t="shared" si="11"/>
        <v>0</v>
      </c>
      <c r="AF111" s="1018"/>
      <c r="AG111" s="1019"/>
      <c r="AH111" s="1019"/>
      <c r="AI111" s="422"/>
      <c r="AJ111" s="419"/>
      <c r="AK111" s="421"/>
      <c r="AL111" s="416">
        <f t="shared" si="12"/>
        <v>0</v>
      </c>
      <c r="AM111" s="1018"/>
      <c r="AN111" s="1019"/>
      <c r="AO111" s="1019"/>
      <c r="AP111" s="422"/>
      <c r="AQ111" s="419"/>
      <c r="AR111" s="421"/>
      <c r="AS111" s="416">
        <f t="shared" si="13"/>
        <v>0</v>
      </c>
      <c r="AT111" s="1018"/>
      <c r="AU111" s="1019"/>
      <c r="AV111" s="1019"/>
      <c r="AW111" s="422"/>
      <c r="AX111" s="419"/>
      <c r="AY111" s="421"/>
      <c r="AZ111" s="417">
        <f t="shared" si="14"/>
        <v>0</v>
      </c>
    </row>
    <row r="112" spans="4:52" x14ac:dyDescent="0.25">
      <c r="D112" s="1018" t="s">
        <v>445</v>
      </c>
      <c r="E112" s="1019"/>
      <c r="F112" s="1020"/>
      <c r="G112" s="422" t="s">
        <v>374</v>
      </c>
      <c r="H112" s="419"/>
      <c r="I112" s="421"/>
      <c r="J112" s="416">
        <f t="shared" si="15"/>
        <v>0</v>
      </c>
      <c r="K112" s="1018"/>
      <c r="L112" s="1019"/>
      <c r="M112" s="1019"/>
      <c r="N112" s="422"/>
      <c r="O112" s="419"/>
      <c r="P112" s="421"/>
      <c r="Q112" s="416">
        <f t="shared" si="9"/>
        <v>0</v>
      </c>
      <c r="R112" s="1018"/>
      <c r="S112" s="1019"/>
      <c r="T112" s="1019"/>
      <c r="U112" s="422"/>
      <c r="V112" s="419"/>
      <c r="W112" s="421"/>
      <c r="X112" s="416">
        <f t="shared" si="10"/>
        <v>0</v>
      </c>
      <c r="Y112" s="1018"/>
      <c r="Z112" s="1019"/>
      <c r="AA112" s="1019"/>
      <c r="AB112" s="422"/>
      <c r="AC112" s="419"/>
      <c r="AD112" s="421"/>
      <c r="AE112" s="416">
        <f t="shared" si="11"/>
        <v>0</v>
      </c>
      <c r="AF112" s="1018"/>
      <c r="AG112" s="1019"/>
      <c r="AH112" s="1019"/>
      <c r="AI112" s="422"/>
      <c r="AJ112" s="419"/>
      <c r="AK112" s="421"/>
      <c r="AL112" s="416">
        <f t="shared" si="12"/>
        <v>0</v>
      </c>
      <c r="AM112" s="1018"/>
      <c r="AN112" s="1019"/>
      <c r="AO112" s="1019"/>
      <c r="AP112" s="422"/>
      <c r="AQ112" s="419"/>
      <c r="AR112" s="421"/>
      <c r="AS112" s="416">
        <f t="shared" si="13"/>
        <v>0</v>
      </c>
      <c r="AT112" s="1018"/>
      <c r="AU112" s="1019"/>
      <c r="AV112" s="1019"/>
      <c r="AW112" s="422"/>
      <c r="AX112" s="419"/>
      <c r="AY112" s="421"/>
      <c r="AZ112" s="417">
        <f t="shared" si="14"/>
        <v>0</v>
      </c>
    </row>
    <row r="113" spans="4:52" x14ac:dyDescent="0.25">
      <c r="D113" s="1018" t="s">
        <v>446</v>
      </c>
      <c r="E113" s="1019"/>
      <c r="F113" s="1020"/>
      <c r="G113" s="422" t="s">
        <v>374</v>
      </c>
      <c r="H113" s="419"/>
      <c r="I113" s="421"/>
      <c r="J113" s="416">
        <f t="shared" si="15"/>
        <v>0</v>
      </c>
      <c r="K113" s="1018"/>
      <c r="L113" s="1019"/>
      <c r="M113" s="1019"/>
      <c r="N113" s="422"/>
      <c r="O113" s="419"/>
      <c r="P113" s="421"/>
      <c r="Q113" s="416">
        <f t="shared" si="9"/>
        <v>0</v>
      </c>
      <c r="R113" s="1018"/>
      <c r="S113" s="1019"/>
      <c r="T113" s="1019"/>
      <c r="U113" s="422"/>
      <c r="V113" s="419"/>
      <c r="W113" s="421"/>
      <c r="X113" s="416">
        <f t="shared" si="10"/>
        <v>0</v>
      </c>
      <c r="Y113" s="1018"/>
      <c r="Z113" s="1019"/>
      <c r="AA113" s="1019"/>
      <c r="AB113" s="422"/>
      <c r="AC113" s="419"/>
      <c r="AD113" s="421"/>
      <c r="AE113" s="416">
        <f t="shared" si="11"/>
        <v>0</v>
      </c>
      <c r="AF113" s="1018"/>
      <c r="AG113" s="1019"/>
      <c r="AH113" s="1019"/>
      <c r="AI113" s="422"/>
      <c r="AJ113" s="419"/>
      <c r="AK113" s="421"/>
      <c r="AL113" s="416">
        <f t="shared" si="12"/>
        <v>0</v>
      </c>
      <c r="AM113" s="1018"/>
      <c r="AN113" s="1019"/>
      <c r="AO113" s="1019"/>
      <c r="AP113" s="422"/>
      <c r="AQ113" s="419"/>
      <c r="AR113" s="421"/>
      <c r="AS113" s="416">
        <f t="shared" si="13"/>
        <v>0</v>
      </c>
      <c r="AT113" s="1018"/>
      <c r="AU113" s="1019"/>
      <c r="AV113" s="1019"/>
      <c r="AW113" s="422"/>
      <c r="AX113" s="419"/>
      <c r="AY113" s="421"/>
      <c r="AZ113" s="417">
        <f t="shared" si="14"/>
        <v>0</v>
      </c>
    </row>
    <row r="114" spans="4:52" x14ac:dyDescent="0.25">
      <c r="D114" s="1018" t="s">
        <v>447</v>
      </c>
      <c r="E114" s="1019"/>
      <c r="F114" s="1020"/>
      <c r="G114" s="422" t="s">
        <v>374</v>
      </c>
      <c r="H114" s="419"/>
      <c r="I114" s="421"/>
      <c r="J114" s="416">
        <f t="shared" si="15"/>
        <v>0</v>
      </c>
      <c r="K114" s="1018"/>
      <c r="L114" s="1019"/>
      <c r="M114" s="1019"/>
      <c r="N114" s="422"/>
      <c r="O114" s="419"/>
      <c r="P114" s="421"/>
      <c r="Q114" s="416">
        <f t="shared" si="9"/>
        <v>0</v>
      </c>
      <c r="R114" s="1018"/>
      <c r="S114" s="1019"/>
      <c r="T114" s="1019"/>
      <c r="U114" s="422"/>
      <c r="V114" s="419"/>
      <c r="W114" s="421"/>
      <c r="X114" s="416">
        <f t="shared" si="10"/>
        <v>0</v>
      </c>
      <c r="Y114" s="1018"/>
      <c r="Z114" s="1019"/>
      <c r="AA114" s="1019"/>
      <c r="AB114" s="422"/>
      <c r="AC114" s="419"/>
      <c r="AD114" s="421"/>
      <c r="AE114" s="416">
        <f t="shared" si="11"/>
        <v>0</v>
      </c>
      <c r="AF114" s="1018"/>
      <c r="AG114" s="1019"/>
      <c r="AH114" s="1019"/>
      <c r="AI114" s="422"/>
      <c r="AJ114" s="419"/>
      <c r="AK114" s="421"/>
      <c r="AL114" s="416">
        <f t="shared" si="12"/>
        <v>0</v>
      </c>
      <c r="AM114" s="1018"/>
      <c r="AN114" s="1019"/>
      <c r="AO114" s="1019"/>
      <c r="AP114" s="422"/>
      <c r="AQ114" s="419"/>
      <c r="AR114" s="421"/>
      <c r="AS114" s="416">
        <f t="shared" si="13"/>
        <v>0</v>
      </c>
      <c r="AT114" s="1018"/>
      <c r="AU114" s="1019"/>
      <c r="AV114" s="1019"/>
      <c r="AW114" s="422"/>
      <c r="AX114" s="419"/>
      <c r="AY114" s="421"/>
      <c r="AZ114" s="417">
        <f t="shared" si="14"/>
        <v>0</v>
      </c>
    </row>
    <row r="115" spans="4:52" x14ac:dyDescent="0.25">
      <c r="D115" s="1018" t="s">
        <v>448</v>
      </c>
      <c r="E115" s="1019"/>
      <c r="F115" s="1020"/>
      <c r="G115" s="422" t="s">
        <v>374</v>
      </c>
      <c r="H115" s="419"/>
      <c r="I115" s="421"/>
      <c r="J115" s="416">
        <f t="shared" si="15"/>
        <v>0</v>
      </c>
      <c r="K115" s="1018"/>
      <c r="L115" s="1019"/>
      <c r="M115" s="1019"/>
      <c r="N115" s="422"/>
      <c r="O115" s="419"/>
      <c r="P115" s="421"/>
      <c r="Q115" s="416">
        <f t="shared" si="9"/>
        <v>0</v>
      </c>
      <c r="R115" s="1018"/>
      <c r="S115" s="1019"/>
      <c r="T115" s="1019"/>
      <c r="U115" s="422"/>
      <c r="V115" s="419"/>
      <c r="W115" s="421"/>
      <c r="X115" s="416">
        <f t="shared" si="10"/>
        <v>0</v>
      </c>
      <c r="Y115" s="1018"/>
      <c r="Z115" s="1019"/>
      <c r="AA115" s="1019"/>
      <c r="AB115" s="422"/>
      <c r="AC115" s="419"/>
      <c r="AD115" s="421"/>
      <c r="AE115" s="416">
        <f t="shared" si="11"/>
        <v>0</v>
      </c>
      <c r="AF115" s="1018"/>
      <c r="AG115" s="1019"/>
      <c r="AH115" s="1019"/>
      <c r="AI115" s="422"/>
      <c r="AJ115" s="419"/>
      <c r="AK115" s="421"/>
      <c r="AL115" s="416">
        <f t="shared" si="12"/>
        <v>0</v>
      </c>
      <c r="AM115" s="1018"/>
      <c r="AN115" s="1019"/>
      <c r="AO115" s="1019"/>
      <c r="AP115" s="422"/>
      <c r="AQ115" s="419"/>
      <c r="AR115" s="421"/>
      <c r="AS115" s="416">
        <f t="shared" si="13"/>
        <v>0</v>
      </c>
      <c r="AT115" s="1018"/>
      <c r="AU115" s="1019"/>
      <c r="AV115" s="1019"/>
      <c r="AW115" s="422"/>
      <c r="AX115" s="419"/>
      <c r="AY115" s="421"/>
      <c r="AZ115" s="417">
        <f t="shared" si="14"/>
        <v>0</v>
      </c>
    </row>
    <row r="116" spans="4:52" x14ac:dyDescent="0.25">
      <c r="D116" s="1018" t="s">
        <v>449</v>
      </c>
      <c r="E116" s="1019"/>
      <c r="F116" s="1020"/>
      <c r="G116" s="422" t="s">
        <v>374</v>
      </c>
      <c r="H116" s="419"/>
      <c r="I116" s="421"/>
      <c r="J116" s="416">
        <f t="shared" si="15"/>
        <v>0</v>
      </c>
      <c r="K116" s="1018"/>
      <c r="L116" s="1019"/>
      <c r="M116" s="1019"/>
      <c r="N116" s="422"/>
      <c r="O116" s="419"/>
      <c r="P116" s="421"/>
      <c r="Q116" s="416">
        <f t="shared" si="9"/>
        <v>0</v>
      </c>
      <c r="R116" s="1018"/>
      <c r="S116" s="1019"/>
      <c r="T116" s="1019"/>
      <c r="U116" s="422"/>
      <c r="V116" s="419"/>
      <c r="W116" s="421"/>
      <c r="X116" s="416">
        <f t="shared" si="10"/>
        <v>0</v>
      </c>
      <c r="Y116" s="1018"/>
      <c r="Z116" s="1019"/>
      <c r="AA116" s="1019"/>
      <c r="AB116" s="422"/>
      <c r="AC116" s="419"/>
      <c r="AD116" s="421"/>
      <c r="AE116" s="416">
        <f t="shared" si="11"/>
        <v>0</v>
      </c>
      <c r="AF116" s="1018"/>
      <c r="AG116" s="1019"/>
      <c r="AH116" s="1019"/>
      <c r="AI116" s="422"/>
      <c r="AJ116" s="419"/>
      <c r="AK116" s="421"/>
      <c r="AL116" s="416">
        <f t="shared" si="12"/>
        <v>0</v>
      </c>
      <c r="AM116" s="1018"/>
      <c r="AN116" s="1019"/>
      <c r="AO116" s="1019"/>
      <c r="AP116" s="422"/>
      <c r="AQ116" s="419"/>
      <c r="AR116" s="421"/>
      <c r="AS116" s="416">
        <f t="shared" si="13"/>
        <v>0</v>
      </c>
      <c r="AT116" s="1018"/>
      <c r="AU116" s="1019"/>
      <c r="AV116" s="1019"/>
      <c r="AW116" s="422"/>
      <c r="AX116" s="419"/>
      <c r="AY116" s="421"/>
      <c r="AZ116" s="417">
        <f t="shared" si="14"/>
        <v>0</v>
      </c>
    </row>
    <row r="117" spans="4:52" x14ac:dyDescent="0.25">
      <c r="D117" s="1018"/>
      <c r="E117" s="1019"/>
      <c r="F117" s="1020"/>
      <c r="G117" s="422"/>
      <c r="H117" s="419"/>
      <c r="I117" s="421"/>
      <c r="J117" s="416">
        <f t="shared" si="15"/>
        <v>0</v>
      </c>
      <c r="K117" s="1018"/>
      <c r="L117" s="1019"/>
      <c r="M117" s="1019"/>
      <c r="N117" s="422"/>
      <c r="O117" s="419"/>
      <c r="P117" s="421"/>
      <c r="Q117" s="416">
        <f t="shared" si="9"/>
        <v>0</v>
      </c>
      <c r="R117" s="1018"/>
      <c r="S117" s="1019"/>
      <c r="T117" s="1019"/>
      <c r="U117" s="422"/>
      <c r="V117" s="419"/>
      <c r="W117" s="421"/>
      <c r="X117" s="416">
        <f t="shared" si="10"/>
        <v>0</v>
      </c>
      <c r="Y117" s="1018"/>
      <c r="Z117" s="1019"/>
      <c r="AA117" s="1019"/>
      <c r="AB117" s="422"/>
      <c r="AC117" s="419"/>
      <c r="AD117" s="421"/>
      <c r="AE117" s="416">
        <f t="shared" si="11"/>
        <v>0</v>
      </c>
      <c r="AF117" s="1018"/>
      <c r="AG117" s="1019"/>
      <c r="AH117" s="1019"/>
      <c r="AI117" s="422"/>
      <c r="AJ117" s="419"/>
      <c r="AK117" s="421"/>
      <c r="AL117" s="416">
        <f t="shared" si="12"/>
        <v>0</v>
      </c>
      <c r="AM117" s="1018"/>
      <c r="AN117" s="1019"/>
      <c r="AO117" s="1019"/>
      <c r="AP117" s="422"/>
      <c r="AQ117" s="419"/>
      <c r="AR117" s="421"/>
      <c r="AS117" s="416">
        <f t="shared" si="13"/>
        <v>0</v>
      </c>
      <c r="AT117" s="1018"/>
      <c r="AU117" s="1019"/>
      <c r="AV117" s="1019"/>
      <c r="AW117" s="422"/>
      <c r="AX117" s="419"/>
      <c r="AY117" s="421"/>
      <c r="AZ117" s="417">
        <f t="shared" si="14"/>
        <v>0</v>
      </c>
    </row>
    <row r="118" spans="4:52" x14ac:dyDescent="0.25">
      <c r="D118" s="1018"/>
      <c r="E118" s="1019"/>
      <c r="F118" s="1020"/>
      <c r="G118" s="422"/>
      <c r="H118" s="419"/>
      <c r="I118" s="421"/>
      <c r="J118" s="416">
        <f t="shared" si="15"/>
        <v>0</v>
      </c>
      <c r="K118" s="1018"/>
      <c r="L118" s="1019"/>
      <c r="M118" s="1019"/>
      <c r="N118" s="422"/>
      <c r="O118" s="419"/>
      <c r="P118" s="421"/>
      <c r="Q118" s="416">
        <f t="shared" si="9"/>
        <v>0</v>
      </c>
      <c r="R118" s="1018"/>
      <c r="S118" s="1019"/>
      <c r="T118" s="1019"/>
      <c r="U118" s="422"/>
      <c r="V118" s="419"/>
      <c r="W118" s="421"/>
      <c r="X118" s="416">
        <f t="shared" si="10"/>
        <v>0</v>
      </c>
      <c r="Y118" s="1018"/>
      <c r="Z118" s="1019"/>
      <c r="AA118" s="1019"/>
      <c r="AB118" s="422"/>
      <c r="AC118" s="419"/>
      <c r="AD118" s="421"/>
      <c r="AE118" s="416">
        <f t="shared" si="11"/>
        <v>0</v>
      </c>
      <c r="AF118" s="1018"/>
      <c r="AG118" s="1019"/>
      <c r="AH118" s="1019"/>
      <c r="AI118" s="422"/>
      <c r="AJ118" s="419"/>
      <c r="AK118" s="421"/>
      <c r="AL118" s="416">
        <f t="shared" si="12"/>
        <v>0</v>
      </c>
      <c r="AM118" s="1018"/>
      <c r="AN118" s="1019"/>
      <c r="AO118" s="1019"/>
      <c r="AP118" s="422"/>
      <c r="AQ118" s="419"/>
      <c r="AR118" s="421"/>
      <c r="AS118" s="416">
        <f t="shared" si="13"/>
        <v>0</v>
      </c>
      <c r="AT118" s="1018"/>
      <c r="AU118" s="1019"/>
      <c r="AV118" s="1019"/>
      <c r="AW118" s="422"/>
      <c r="AX118" s="419"/>
      <c r="AY118" s="421"/>
      <c r="AZ118" s="417">
        <f t="shared" si="14"/>
        <v>0</v>
      </c>
    </row>
    <row r="119" spans="4:52" x14ac:dyDescent="0.25">
      <c r="D119" s="1018"/>
      <c r="E119" s="1019"/>
      <c r="F119" s="1020"/>
      <c r="G119" s="422"/>
      <c r="H119" s="419"/>
      <c r="I119" s="421"/>
      <c r="J119" s="416">
        <f t="shared" si="15"/>
        <v>0</v>
      </c>
      <c r="K119" s="1018"/>
      <c r="L119" s="1019"/>
      <c r="M119" s="1019"/>
      <c r="N119" s="422"/>
      <c r="O119" s="419"/>
      <c r="P119" s="421"/>
      <c r="Q119" s="416">
        <f t="shared" si="9"/>
        <v>0</v>
      </c>
      <c r="R119" s="1018"/>
      <c r="S119" s="1019"/>
      <c r="T119" s="1019"/>
      <c r="U119" s="422"/>
      <c r="V119" s="419"/>
      <c r="W119" s="421"/>
      <c r="X119" s="416">
        <f t="shared" si="10"/>
        <v>0</v>
      </c>
      <c r="Y119" s="1018"/>
      <c r="Z119" s="1019"/>
      <c r="AA119" s="1019"/>
      <c r="AB119" s="422"/>
      <c r="AC119" s="419"/>
      <c r="AD119" s="421"/>
      <c r="AE119" s="416">
        <f t="shared" si="11"/>
        <v>0</v>
      </c>
      <c r="AF119" s="1018"/>
      <c r="AG119" s="1019"/>
      <c r="AH119" s="1019"/>
      <c r="AI119" s="422"/>
      <c r="AJ119" s="419"/>
      <c r="AK119" s="421"/>
      <c r="AL119" s="416">
        <f t="shared" si="12"/>
        <v>0</v>
      </c>
      <c r="AM119" s="1018"/>
      <c r="AN119" s="1019"/>
      <c r="AO119" s="1019"/>
      <c r="AP119" s="422"/>
      <c r="AQ119" s="419"/>
      <c r="AR119" s="421"/>
      <c r="AS119" s="416">
        <f t="shared" si="13"/>
        <v>0</v>
      </c>
      <c r="AT119" s="1018"/>
      <c r="AU119" s="1019"/>
      <c r="AV119" s="1019"/>
      <c r="AW119" s="422"/>
      <c r="AX119" s="419"/>
      <c r="AY119" s="421"/>
      <c r="AZ119" s="417">
        <f t="shared" si="14"/>
        <v>0</v>
      </c>
    </row>
    <row r="120" spans="4:52" x14ac:dyDescent="0.25">
      <c r="D120" s="1018"/>
      <c r="E120" s="1019"/>
      <c r="F120" s="1020"/>
      <c r="G120" s="422"/>
      <c r="H120" s="419"/>
      <c r="I120" s="421"/>
      <c r="J120" s="416">
        <f t="shared" si="15"/>
        <v>0</v>
      </c>
      <c r="K120" s="1018"/>
      <c r="L120" s="1019"/>
      <c r="M120" s="1019"/>
      <c r="N120" s="422"/>
      <c r="O120" s="419"/>
      <c r="P120" s="421"/>
      <c r="Q120" s="416">
        <f t="shared" si="9"/>
        <v>0</v>
      </c>
      <c r="R120" s="1018"/>
      <c r="S120" s="1019"/>
      <c r="T120" s="1019"/>
      <c r="U120" s="422"/>
      <c r="V120" s="419"/>
      <c r="W120" s="421"/>
      <c r="X120" s="416">
        <f t="shared" si="10"/>
        <v>0</v>
      </c>
      <c r="Y120" s="1018"/>
      <c r="Z120" s="1019"/>
      <c r="AA120" s="1019"/>
      <c r="AB120" s="422"/>
      <c r="AC120" s="419"/>
      <c r="AD120" s="421"/>
      <c r="AE120" s="416">
        <f t="shared" si="11"/>
        <v>0</v>
      </c>
      <c r="AF120" s="1018"/>
      <c r="AG120" s="1019"/>
      <c r="AH120" s="1019"/>
      <c r="AI120" s="422"/>
      <c r="AJ120" s="419"/>
      <c r="AK120" s="421"/>
      <c r="AL120" s="416">
        <f t="shared" si="12"/>
        <v>0</v>
      </c>
      <c r="AM120" s="1018"/>
      <c r="AN120" s="1019"/>
      <c r="AO120" s="1019"/>
      <c r="AP120" s="422"/>
      <c r="AQ120" s="419"/>
      <c r="AR120" s="421"/>
      <c r="AS120" s="416">
        <f t="shared" si="13"/>
        <v>0</v>
      </c>
      <c r="AT120" s="1018"/>
      <c r="AU120" s="1019"/>
      <c r="AV120" s="1019"/>
      <c r="AW120" s="422"/>
      <c r="AX120" s="419"/>
      <c r="AY120" s="421"/>
      <c r="AZ120" s="417">
        <f t="shared" si="14"/>
        <v>0</v>
      </c>
    </row>
    <row r="121" spans="4:52" x14ac:dyDescent="0.25">
      <c r="D121" s="1018"/>
      <c r="E121" s="1019"/>
      <c r="F121" s="1020"/>
      <c r="G121" s="422"/>
      <c r="H121" s="419"/>
      <c r="I121" s="421"/>
      <c r="J121" s="416">
        <f t="shared" si="15"/>
        <v>0</v>
      </c>
      <c r="K121" s="1018"/>
      <c r="L121" s="1019"/>
      <c r="M121" s="1019"/>
      <c r="N121" s="422"/>
      <c r="O121" s="419"/>
      <c r="P121" s="421"/>
      <c r="Q121" s="416">
        <f t="shared" si="9"/>
        <v>0</v>
      </c>
      <c r="R121" s="1018"/>
      <c r="S121" s="1019"/>
      <c r="T121" s="1019"/>
      <c r="U121" s="422"/>
      <c r="V121" s="419"/>
      <c r="W121" s="421"/>
      <c r="X121" s="416">
        <f t="shared" si="10"/>
        <v>0</v>
      </c>
      <c r="Y121" s="1018"/>
      <c r="Z121" s="1019"/>
      <c r="AA121" s="1019"/>
      <c r="AB121" s="422"/>
      <c r="AC121" s="419"/>
      <c r="AD121" s="421"/>
      <c r="AE121" s="416">
        <f t="shared" si="11"/>
        <v>0</v>
      </c>
      <c r="AF121" s="1018"/>
      <c r="AG121" s="1019"/>
      <c r="AH121" s="1019"/>
      <c r="AI121" s="422"/>
      <c r="AJ121" s="419"/>
      <c r="AK121" s="421"/>
      <c r="AL121" s="416">
        <f t="shared" si="12"/>
        <v>0</v>
      </c>
      <c r="AM121" s="1018"/>
      <c r="AN121" s="1019"/>
      <c r="AO121" s="1019"/>
      <c r="AP121" s="422"/>
      <c r="AQ121" s="419"/>
      <c r="AR121" s="421"/>
      <c r="AS121" s="416">
        <f t="shared" si="13"/>
        <v>0</v>
      </c>
      <c r="AT121" s="1018"/>
      <c r="AU121" s="1019"/>
      <c r="AV121" s="1019"/>
      <c r="AW121" s="422"/>
      <c r="AX121" s="419"/>
      <c r="AY121" s="421"/>
      <c r="AZ121" s="417">
        <f t="shared" si="14"/>
        <v>0</v>
      </c>
    </row>
    <row r="122" spans="4:52" x14ac:dyDescent="0.25">
      <c r="D122" s="1018"/>
      <c r="E122" s="1019"/>
      <c r="F122" s="1020"/>
      <c r="G122" s="422"/>
      <c r="H122" s="419"/>
      <c r="I122" s="421"/>
      <c r="J122" s="416">
        <f t="shared" si="15"/>
        <v>0</v>
      </c>
      <c r="K122" s="1018"/>
      <c r="L122" s="1019"/>
      <c r="M122" s="1019"/>
      <c r="N122" s="422"/>
      <c r="O122" s="419"/>
      <c r="P122" s="421"/>
      <c r="Q122" s="416">
        <f t="shared" si="9"/>
        <v>0</v>
      </c>
      <c r="R122" s="1018"/>
      <c r="S122" s="1019"/>
      <c r="T122" s="1019"/>
      <c r="U122" s="422"/>
      <c r="V122" s="419"/>
      <c r="W122" s="421"/>
      <c r="X122" s="416">
        <f t="shared" si="10"/>
        <v>0</v>
      </c>
      <c r="Y122" s="1018"/>
      <c r="Z122" s="1019"/>
      <c r="AA122" s="1019"/>
      <c r="AB122" s="422"/>
      <c r="AC122" s="419"/>
      <c r="AD122" s="421"/>
      <c r="AE122" s="416">
        <f t="shared" si="11"/>
        <v>0</v>
      </c>
      <c r="AF122" s="1018"/>
      <c r="AG122" s="1019"/>
      <c r="AH122" s="1019"/>
      <c r="AI122" s="422"/>
      <c r="AJ122" s="419"/>
      <c r="AK122" s="421"/>
      <c r="AL122" s="416">
        <f t="shared" si="12"/>
        <v>0</v>
      </c>
      <c r="AM122" s="1018"/>
      <c r="AN122" s="1019"/>
      <c r="AO122" s="1019"/>
      <c r="AP122" s="422"/>
      <c r="AQ122" s="419"/>
      <c r="AR122" s="421"/>
      <c r="AS122" s="416">
        <f t="shared" si="13"/>
        <v>0</v>
      </c>
      <c r="AT122" s="1018"/>
      <c r="AU122" s="1019"/>
      <c r="AV122" s="1019"/>
      <c r="AW122" s="422"/>
      <c r="AX122" s="419"/>
      <c r="AY122" s="421"/>
      <c r="AZ122" s="417">
        <f t="shared" si="14"/>
        <v>0</v>
      </c>
    </row>
  </sheetData>
  <sheetProtection sheet="1" objects="1" scenarios="1"/>
  <mergeCells count="838">
    <mergeCell ref="AT121:AV121"/>
    <mergeCell ref="D122:F122"/>
    <mergeCell ref="K122:M122"/>
    <mergeCell ref="R122:T122"/>
    <mergeCell ref="Y122:AA122"/>
    <mergeCell ref="AF122:AH122"/>
    <mergeCell ref="AM122:AO122"/>
    <mergeCell ref="AT122:AV122"/>
    <mergeCell ref="D121:F121"/>
    <mergeCell ref="K121:M121"/>
    <mergeCell ref="R121:T121"/>
    <mergeCell ref="Y121:AA121"/>
    <mergeCell ref="AF121:AH121"/>
    <mergeCell ref="AM121:AO121"/>
    <mergeCell ref="AT119:AV119"/>
    <mergeCell ref="D120:F120"/>
    <mergeCell ref="K120:M120"/>
    <mergeCell ref="R120:T120"/>
    <mergeCell ref="Y120:AA120"/>
    <mergeCell ref="AF120:AH120"/>
    <mergeCell ref="AM120:AO120"/>
    <mergeCell ref="AT120:AV120"/>
    <mergeCell ref="D119:F119"/>
    <mergeCell ref="K119:M119"/>
    <mergeCell ref="R119:T119"/>
    <mergeCell ref="Y119:AA119"/>
    <mergeCell ref="AF119:AH119"/>
    <mergeCell ref="AM119:AO119"/>
    <mergeCell ref="AT117:AV117"/>
    <mergeCell ref="D118:F118"/>
    <mergeCell ref="K118:M118"/>
    <mergeCell ref="R118:T118"/>
    <mergeCell ref="Y118:AA118"/>
    <mergeCell ref="AF118:AH118"/>
    <mergeCell ref="AM118:AO118"/>
    <mergeCell ref="AT118:AV118"/>
    <mergeCell ref="D117:F117"/>
    <mergeCell ref="K117:M117"/>
    <mergeCell ref="R117:T117"/>
    <mergeCell ref="Y117:AA117"/>
    <mergeCell ref="AF117:AH117"/>
    <mergeCell ref="AM117:AO117"/>
    <mergeCell ref="AT115:AV115"/>
    <mergeCell ref="D116:F116"/>
    <mergeCell ref="K116:M116"/>
    <mergeCell ref="R116:T116"/>
    <mergeCell ref="Y116:AA116"/>
    <mergeCell ref="AF116:AH116"/>
    <mergeCell ref="AM116:AO116"/>
    <mergeCell ref="AT116:AV116"/>
    <mergeCell ref="D115:F115"/>
    <mergeCell ref="K115:M115"/>
    <mergeCell ref="R115:T115"/>
    <mergeCell ref="Y115:AA115"/>
    <mergeCell ref="AF115:AH115"/>
    <mergeCell ref="AM115:AO115"/>
    <mergeCell ref="AT113:AV113"/>
    <mergeCell ref="D114:F114"/>
    <mergeCell ref="K114:M114"/>
    <mergeCell ref="R114:T114"/>
    <mergeCell ref="Y114:AA114"/>
    <mergeCell ref="AF114:AH114"/>
    <mergeCell ref="AM114:AO114"/>
    <mergeCell ref="AT114:AV114"/>
    <mergeCell ref="D113:F113"/>
    <mergeCell ref="K113:M113"/>
    <mergeCell ref="R113:T113"/>
    <mergeCell ref="Y113:AA113"/>
    <mergeCell ref="AF113:AH113"/>
    <mergeCell ref="AM113:AO113"/>
    <mergeCell ref="AT111:AV111"/>
    <mergeCell ref="D112:F112"/>
    <mergeCell ref="K112:M112"/>
    <mergeCell ref="R112:T112"/>
    <mergeCell ref="Y112:AA112"/>
    <mergeCell ref="AF112:AH112"/>
    <mergeCell ref="AM112:AO112"/>
    <mergeCell ref="AT112:AV112"/>
    <mergeCell ref="D111:F111"/>
    <mergeCell ref="K111:M111"/>
    <mergeCell ref="R111:T111"/>
    <mergeCell ref="Y111:AA111"/>
    <mergeCell ref="AF111:AH111"/>
    <mergeCell ref="AM111:AO111"/>
    <mergeCell ref="AT109:AV109"/>
    <mergeCell ref="D110:F110"/>
    <mergeCell ref="K110:M110"/>
    <mergeCell ref="R110:T110"/>
    <mergeCell ref="Y110:AA110"/>
    <mergeCell ref="AF110:AH110"/>
    <mergeCell ref="AM110:AO110"/>
    <mergeCell ref="AT110:AV110"/>
    <mergeCell ref="D109:F109"/>
    <mergeCell ref="K109:M109"/>
    <mergeCell ref="R109:T109"/>
    <mergeCell ref="Y109:AA109"/>
    <mergeCell ref="AF109:AH109"/>
    <mergeCell ref="AM109:AO109"/>
    <mergeCell ref="AT107:AV107"/>
    <mergeCell ref="D108:F108"/>
    <mergeCell ref="K108:M108"/>
    <mergeCell ref="R108:T108"/>
    <mergeCell ref="Y108:AA108"/>
    <mergeCell ref="AF108:AH108"/>
    <mergeCell ref="AM108:AO108"/>
    <mergeCell ref="AT108:AV108"/>
    <mergeCell ref="D107:F107"/>
    <mergeCell ref="K107:M107"/>
    <mergeCell ref="R107:T107"/>
    <mergeCell ref="Y107:AA107"/>
    <mergeCell ref="AF107:AH107"/>
    <mergeCell ref="AM107:AO107"/>
    <mergeCell ref="AT105:AV105"/>
    <mergeCell ref="D106:F106"/>
    <mergeCell ref="K106:M106"/>
    <mergeCell ref="R106:T106"/>
    <mergeCell ref="Y106:AA106"/>
    <mergeCell ref="AF106:AH106"/>
    <mergeCell ref="AM106:AO106"/>
    <mergeCell ref="AT106:AV106"/>
    <mergeCell ref="D105:F105"/>
    <mergeCell ref="K105:M105"/>
    <mergeCell ref="R105:T105"/>
    <mergeCell ref="Y105:AA105"/>
    <mergeCell ref="AF105:AH105"/>
    <mergeCell ref="AM105:AO105"/>
    <mergeCell ref="AT103:AV103"/>
    <mergeCell ref="D104:F104"/>
    <mergeCell ref="K104:M104"/>
    <mergeCell ref="R104:T104"/>
    <mergeCell ref="Y104:AA104"/>
    <mergeCell ref="AF104:AH104"/>
    <mergeCell ref="AM104:AO104"/>
    <mergeCell ref="AT104:AV104"/>
    <mergeCell ref="D103:F103"/>
    <mergeCell ref="K103:M103"/>
    <mergeCell ref="R103:T103"/>
    <mergeCell ref="Y103:AA103"/>
    <mergeCell ref="AF103:AH103"/>
    <mergeCell ref="AM103:AO103"/>
    <mergeCell ref="AT101:AV101"/>
    <mergeCell ref="D102:F102"/>
    <mergeCell ref="K102:M102"/>
    <mergeCell ref="R102:T102"/>
    <mergeCell ref="Y102:AA102"/>
    <mergeCell ref="AF102:AH102"/>
    <mergeCell ref="AM102:AO102"/>
    <mergeCell ref="AT102:AV102"/>
    <mergeCell ref="D101:F101"/>
    <mergeCell ref="K101:M101"/>
    <mergeCell ref="R101:T101"/>
    <mergeCell ref="Y101:AA101"/>
    <mergeCell ref="AF101:AH101"/>
    <mergeCell ref="AM101:AO101"/>
    <mergeCell ref="AT99:AV99"/>
    <mergeCell ref="D100:F100"/>
    <mergeCell ref="K100:M100"/>
    <mergeCell ref="R100:T100"/>
    <mergeCell ref="Y100:AA100"/>
    <mergeCell ref="AF100:AH100"/>
    <mergeCell ref="AM100:AO100"/>
    <mergeCell ref="AT100:AV100"/>
    <mergeCell ref="D99:F99"/>
    <mergeCell ref="K99:M99"/>
    <mergeCell ref="R99:T99"/>
    <mergeCell ref="Y99:AA99"/>
    <mergeCell ref="AF99:AH99"/>
    <mergeCell ref="AM99:AO99"/>
    <mergeCell ref="AT97:AV97"/>
    <mergeCell ref="D98:F98"/>
    <mergeCell ref="K98:M98"/>
    <mergeCell ref="R98:T98"/>
    <mergeCell ref="Y98:AA98"/>
    <mergeCell ref="AF98:AH98"/>
    <mergeCell ref="AM98:AO98"/>
    <mergeCell ref="AT98:AV98"/>
    <mergeCell ref="D97:F97"/>
    <mergeCell ref="K97:M97"/>
    <mergeCell ref="R97:T97"/>
    <mergeCell ref="Y97:AA97"/>
    <mergeCell ref="AF97:AH97"/>
    <mergeCell ref="AM97:AO97"/>
    <mergeCell ref="AT95:AV95"/>
    <mergeCell ref="D96:F96"/>
    <mergeCell ref="K96:M96"/>
    <mergeCell ref="R96:T96"/>
    <mergeCell ref="Y96:AA96"/>
    <mergeCell ref="AF96:AH96"/>
    <mergeCell ref="AM96:AO96"/>
    <mergeCell ref="AT96:AV96"/>
    <mergeCell ref="D95:F95"/>
    <mergeCell ref="K95:M95"/>
    <mergeCell ref="R95:T95"/>
    <mergeCell ref="Y95:AA95"/>
    <mergeCell ref="AF95:AH95"/>
    <mergeCell ref="AM95:AO95"/>
    <mergeCell ref="AT93:AV93"/>
    <mergeCell ref="D94:F94"/>
    <mergeCell ref="K94:M94"/>
    <mergeCell ref="R94:T94"/>
    <mergeCell ref="Y94:AA94"/>
    <mergeCell ref="AF94:AH94"/>
    <mergeCell ref="AM94:AO94"/>
    <mergeCell ref="AT94:AV94"/>
    <mergeCell ref="D93:F93"/>
    <mergeCell ref="K93:M93"/>
    <mergeCell ref="R93:T93"/>
    <mergeCell ref="Y93:AA93"/>
    <mergeCell ref="AF93:AH93"/>
    <mergeCell ref="AM93:AO93"/>
    <mergeCell ref="AT91:AV91"/>
    <mergeCell ref="D92:F92"/>
    <mergeCell ref="K92:M92"/>
    <mergeCell ref="R92:T92"/>
    <mergeCell ref="Y92:AA92"/>
    <mergeCell ref="AF92:AH92"/>
    <mergeCell ref="AM92:AO92"/>
    <mergeCell ref="AT92:AV92"/>
    <mergeCell ref="D91:F91"/>
    <mergeCell ref="K91:M91"/>
    <mergeCell ref="R91:T91"/>
    <mergeCell ref="Y91:AA91"/>
    <mergeCell ref="AF91:AH91"/>
    <mergeCell ref="AM91:AO91"/>
    <mergeCell ref="AT89:AV89"/>
    <mergeCell ref="D90:F90"/>
    <mergeCell ref="K90:M90"/>
    <mergeCell ref="R90:T90"/>
    <mergeCell ref="Y90:AA90"/>
    <mergeCell ref="AF90:AH90"/>
    <mergeCell ref="AM90:AO90"/>
    <mergeCell ref="AT90:AV90"/>
    <mergeCell ref="D89:F89"/>
    <mergeCell ref="K89:M89"/>
    <mergeCell ref="R89:T89"/>
    <mergeCell ref="Y89:AA89"/>
    <mergeCell ref="AF89:AH89"/>
    <mergeCell ref="AM89:AO89"/>
    <mergeCell ref="AT87:AV87"/>
    <mergeCell ref="D88:F88"/>
    <mergeCell ref="K88:M88"/>
    <mergeCell ref="R88:T88"/>
    <mergeCell ref="Y88:AA88"/>
    <mergeCell ref="AF88:AH88"/>
    <mergeCell ref="AM88:AO88"/>
    <mergeCell ref="AT88:AV88"/>
    <mergeCell ref="D87:F87"/>
    <mergeCell ref="K87:M87"/>
    <mergeCell ref="R87:T87"/>
    <mergeCell ref="Y87:AA87"/>
    <mergeCell ref="AF87:AH87"/>
    <mergeCell ref="AM87:AO87"/>
    <mergeCell ref="AT85:AV85"/>
    <mergeCell ref="D86:F86"/>
    <mergeCell ref="K86:M86"/>
    <mergeCell ref="R86:T86"/>
    <mergeCell ref="Y86:AA86"/>
    <mergeCell ref="AF86:AH86"/>
    <mergeCell ref="AM86:AO86"/>
    <mergeCell ref="AT86:AV86"/>
    <mergeCell ref="D85:F85"/>
    <mergeCell ref="K85:M85"/>
    <mergeCell ref="R85:T85"/>
    <mergeCell ref="Y85:AA85"/>
    <mergeCell ref="AF85:AH85"/>
    <mergeCell ref="AM85:AO85"/>
    <mergeCell ref="AT83:AV83"/>
    <mergeCell ref="D84:F84"/>
    <mergeCell ref="K84:M84"/>
    <mergeCell ref="R84:T84"/>
    <mergeCell ref="Y84:AA84"/>
    <mergeCell ref="AF84:AH84"/>
    <mergeCell ref="AM84:AO84"/>
    <mergeCell ref="AT84:AV84"/>
    <mergeCell ref="D83:F83"/>
    <mergeCell ref="K83:M83"/>
    <mergeCell ref="R83:T83"/>
    <mergeCell ref="Y83:AA83"/>
    <mergeCell ref="AF83:AH83"/>
    <mergeCell ref="AM83:AO83"/>
    <mergeCell ref="AT81:AV81"/>
    <mergeCell ref="D82:F82"/>
    <mergeCell ref="K82:M82"/>
    <mergeCell ref="R82:T82"/>
    <mergeCell ref="Y82:AA82"/>
    <mergeCell ref="AF82:AH82"/>
    <mergeCell ref="AM82:AO82"/>
    <mergeCell ref="AT82:AV82"/>
    <mergeCell ref="D81:F81"/>
    <mergeCell ref="K81:M81"/>
    <mergeCell ref="R81:T81"/>
    <mergeCell ref="Y81:AA81"/>
    <mergeCell ref="AF81:AH81"/>
    <mergeCell ref="AM81:AO81"/>
    <mergeCell ref="AT79:AV79"/>
    <mergeCell ref="D80:F80"/>
    <mergeCell ref="K80:M80"/>
    <mergeCell ref="R80:T80"/>
    <mergeCell ref="Y80:AA80"/>
    <mergeCell ref="AF80:AH80"/>
    <mergeCell ref="AM80:AO80"/>
    <mergeCell ref="AT80:AV80"/>
    <mergeCell ref="D79:F79"/>
    <mergeCell ref="K79:M79"/>
    <mergeCell ref="R79:T79"/>
    <mergeCell ref="Y79:AA79"/>
    <mergeCell ref="AF79:AH79"/>
    <mergeCell ref="AM79:AO79"/>
    <mergeCell ref="AT77:AV77"/>
    <mergeCell ref="D78:F78"/>
    <mergeCell ref="K78:M78"/>
    <mergeCell ref="R78:T78"/>
    <mergeCell ref="Y78:AA78"/>
    <mergeCell ref="AF78:AH78"/>
    <mergeCell ref="AM78:AO78"/>
    <mergeCell ref="AT78:AV78"/>
    <mergeCell ref="D77:F77"/>
    <mergeCell ref="K77:M77"/>
    <mergeCell ref="R77:T77"/>
    <mergeCell ref="Y77:AA77"/>
    <mergeCell ref="AF77:AH77"/>
    <mergeCell ref="AM77:AO77"/>
    <mergeCell ref="AT75:AV75"/>
    <mergeCell ref="D76:F76"/>
    <mergeCell ref="K76:M76"/>
    <mergeCell ref="R76:T76"/>
    <mergeCell ref="Y76:AA76"/>
    <mergeCell ref="AF76:AH76"/>
    <mergeCell ref="AM76:AO76"/>
    <mergeCell ref="AT76:AV76"/>
    <mergeCell ref="D75:F75"/>
    <mergeCell ref="K75:M75"/>
    <mergeCell ref="R75:T75"/>
    <mergeCell ref="Y75:AA75"/>
    <mergeCell ref="AF75:AH75"/>
    <mergeCell ref="AM75:AO75"/>
    <mergeCell ref="AT73:AV73"/>
    <mergeCell ref="D74:F74"/>
    <mergeCell ref="K74:M74"/>
    <mergeCell ref="R74:T74"/>
    <mergeCell ref="Y74:AA74"/>
    <mergeCell ref="AF74:AH74"/>
    <mergeCell ref="AM74:AO74"/>
    <mergeCell ref="AT74:AV74"/>
    <mergeCell ref="D73:F73"/>
    <mergeCell ref="K73:M73"/>
    <mergeCell ref="R73:T73"/>
    <mergeCell ref="Y73:AA73"/>
    <mergeCell ref="AF73:AH73"/>
    <mergeCell ref="AM73:AO73"/>
    <mergeCell ref="AT71:AV71"/>
    <mergeCell ref="D72:F72"/>
    <mergeCell ref="K72:M72"/>
    <mergeCell ref="R72:T72"/>
    <mergeCell ref="Y72:AA72"/>
    <mergeCell ref="AF72:AH72"/>
    <mergeCell ref="AM72:AO72"/>
    <mergeCell ref="AT72:AV72"/>
    <mergeCell ref="D71:F71"/>
    <mergeCell ref="K71:M71"/>
    <mergeCell ref="R71:T71"/>
    <mergeCell ref="Y71:AA71"/>
    <mergeCell ref="AF71:AH71"/>
    <mergeCell ref="AM71:AO71"/>
    <mergeCell ref="AT69:AV69"/>
    <mergeCell ref="D70:F70"/>
    <mergeCell ref="K70:M70"/>
    <mergeCell ref="R70:T70"/>
    <mergeCell ref="Y70:AA70"/>
    <mergeCell ref="AF70:AH70"/>
    <mergeCell ref="AM70:AO70"/>
    <mergeCell ref="AT70:AV70"/>
    <mergeCell ref="D69:F69"/>
    <mergeCell ref="K69:M69"/>
    <mergeCell ref="R69:T69"/>
    <mergeCell ref="Y69:AA69"/>
    <mergeCell ref="AF69:AH69"/>
    <mergeCell ref="AM69:AO69"/>
    <mergeCell ref="AT67:AV67"/>
    <mergeCell ref="D68:F68"/>
    <mergeCell ref="K68:M68"/>
    <mergeCell ref="R68:T68"/>
    <mergeCell ref="Y68:AA68"/>
    <mergeCell ref="AF68:AH68"/>
    <mergeCell ref="AM68:AO68"/>
    <mergeCell ref="AT68:AV68"/>
    <mergeCell ref="D67:F67"/>
    <mergeCell ref="K67:M67"/>
    <mergeCell ref="R67:T67"/>
    <mergeCell ref="Y67:AA67"/>
    <mergeCell ref="AF67:AH67"/>
    <mergeCell ref="AM67:AO67"/>
    <mergeCell ref="AT65:AV65"/>
    <mergeCell ref="D66:F66"/>
    <mergeCell ref="K66:M66"/>
    <mergeCell ref="R66:T66"/>
    <mergeCell ref="Y66:AA66"/>
    <mergeCell ref="AF66:AH66"/>
    <mergeCell ref="AM66:AO66"/>
    <mergeCell ref="AT66:AV66"/>
    <mergeCell ref="D65:F65"/>
    <mergeCell ref="K65:M65"/>
    <mergeCell ref="R65:T65"/>
    <mergeCell ref="Y65:AA65"/>
    <mergeCell ref="AF65:AH65"/>
    <mergeCell ref="AM65:AO65"/>
    <mergeCell ref="AT63:AV63"/>
    <mergeCell ref="D64:F64"/>
    <mergeCell ref="K64:M64"/>
    <mergeCell ref="R64:T64"/>
    <mergeCell ref="Y64:AA64"/>
    <mergeCell ref="AF64:AH64"/>
    <mergeCell ref="AM64:AO64"/>
    <mergeCell ref="AT64:AV64"/>
    <mergeCell ref="D63:F63"/>
    <mergeCell ref="K63:M63"/>
    <mergeCell ref="R63:T63"/>
    <mergeCell ref="Y63:AA63"/>
    <mergeCell ref="AF63:AH63"/>
    <mergeCell ref="AM63:AO63"/>
    <mergeCell ref="AT61:AV61"/>
    <mergeCell ref="D62:F62"/>
    <mergeCell ref="K62:M62"/>
    <mergeCell ref="R62:T62"/>
    <mergeCell ref="Y62:AA62"/>
    <mergeCell ref="AF62:AH62"/>
    <mergeCell ref="AM62:AO62"/>
    <mergeCell ref="AT62:AV62"/>
    <mergeCell ref="D61:F61"/>
    <mergeCell ref="K61:M61"/>
    <mergeCell ref="R61:T61"/>
    <mergeCell ref="Y61:AA61"/>
    <mergeCell ref="AF61:AH61"/>
    <mergeCell ref="AM61:AO61"/>
    <mergeCell ref="AT59:AV59"/>
    <mergeCell ref="D60:F60"/>
    <mergeCell ref="K60:M60"/>
    <mergeCell ref="R60:T60"/>
    <mergeCell ref="Y60:AA60"/>
    <mergeCell ref="AF60:AH60"/>
    <mergeCell ref="AM60:AO60"/>
    <mergeCell ref="AT60:AV60"/>
    <mergeCell ref="D59:F59"/>
    <mergeCell ref="K59:M59"/>
    <mergeCell ref="R59:T59"/>
    <mergeCell ref="Y59:AA59"/>
    <mergeCell ref="AF59:AH59"/>
    <mergeCell ref="AM59:AO59"/>
    <mergeCell ref="AT57:AV57"/>
    <mergeCell ref="D58:F58"/>
    <mergeCell ref="K58:M58"/>
    <mergeCell ref="R58:T58"/>
    <mergeCell ref="Y58:AA58"/>
    <mergeCell ref="AF58:AH58"/>
    <mergeCell ref="AM58:AO58"/>
    <mergeCell ref="AT58:AV58"/>
    <mergeCell ref="D57:F57"/>
    <mergeCell ref="K57:M57"/>
    <mergeCell ref="R57:T57"/>
    <mergeCell ref="Y57:AA57"/>
    <mergeCell ref="AF57:AH57"/>
    <mergeCell ref="AM57:AO57"/>
    <mergeCell ref="AT55:AV55"/>
    <mergeCell ref="D56:F56"/>
    <mergeCell ref="K56:M56"/>
    <mergeCell ref="R56:T56"/>
    <mergeCell ref="Y56:AA56"/>
    <mergeCell ref="AF56:AH56"/>
    <mergeCell ref="AM56:AO56"/>
    <mergeCell ref="AT56:AV56"/>
    <mergeCell ref="D55:F55"/>
    <mergeCell ref="K55:M55"/>
    <mergeCell ref="R55:T55"/>
    <mergeCell ref="Y55:AA55"/>
    <mergeCell ref="AF55:AH55"/>
    <mergeCell ref="AM55:AO55"/>
    <mergeCell ref="AT53:AV53"/>
    <mergeCell ref="D54:F54"/>
    <mergeCell ref="K54:M54"/>
    <mergeCell ref="R54:T54"/>
    <mergeCell ref="Y54:AA54"/>
    <mergeCell ref="AF54:AH54"/>
    <mergeCell ref="AM54:AO54"/>
    <mergeCell ref="AT54:AV54"/>
    <mergeCell ref="D53:F53"/>
    <mergeCell ref="K53:M53"/>
    <mergeCell ref="R53:T53"/>
    <mergeCell ref="Y53:AA53"/>
    <mergeCell ref="AF53:AH53"/>
    <mergeCell ref="AM53:AO53"/>
    <mergeCell ref="AT51:AV51"/>
    <mergeCell ref="D52:F52"/>
    <mergeCell ref="K52:M52"/>
    <mergeCell ref="R52:T52"/>
    <mergeCell ref="Y52:AA52"/>
    <mergeCell ref="AF52:AH52"/>
    <mergeCell ref="AM52:AO52"/>
    <mergeCell ref="AT52:AV52"/>
    <mergeCell ref="D51:F51"/>
    <mergeCell ref="K51:M51"/>
    <mergeCell ref="R51:T51"/>
    <mergeCell ref="Y51:AA51"/>
    <mergeCell ref="AF51:AH51"/>
    <mergeCell ref="AM51:AO51"/>
    <mergeCell ref="AT49:AV49"/>
    <mergeCell ref="D50:F50"/>
    <mergeCell ref="K50:M50"/>
    <mergeCell ref="R50:T50"/>
    <mergeCell ref="Y50:AA50"/>
    <mergeCell ref="AF50:AH50"/>
    <mergeCell ref="AM50:AO50"/>
    <mergeCell ref="AT50:AV50"/>
    <mergeCell ref="D49:F49"/>
    <mergeCell ref="K49:M49"/>
    <mergeCell ref="R49:T49"/>
    <mergeCell ref="Y49:AA49"/>
    <mergeCell ref="AF49:AH49"/>
    <mergeCell ref="AM49:AO49"/>
    <mergeCell ref="AT47:AV47"/>
    <mergeCell ref="D48:F48"/>
    <mergeCell ref="K48:M48"/>
    <mergeCell ref="R48:T48"/>
    <mergeCell ref="Y48:AA48"/>
    <mergeCell ref="AF48:AH48"/>
    <mergeCell ref="AM48:AO48"/>
    <mergeCell ref="AT48:AV48"/>
    <mergeCell ref="D47:F47"/>
    <mergeCell ref="K47:M47"/>
    <mergeCell ref="R47:T47"/>
    <mergeCell ref="Y47:AA47"/>
    <mergeCell ref="AF47:AH47"/>
    <mergeCell ref="AM47:AO47"/>
    <mergeCell ref="AT45:AV45"/>
    <mergeCell ref="D46:F46"/>
    <mergeCell ref="K46:M46"/>
    <mergeCell ref="R46:T46"/>
    <mergeCell ref="Y46:AA46"/>
    <mergeCell ref="AF46:AH46"/>
    <mergeCell ref="AM46:AO46"/>
    <mergeCell ref="AT46:AV46"/>
    <mergeCell ref="D45:F45"/>
    <mergeCell ref="K45:M45"/>
    <mergeCell ref="R45:T45"/>
    <mergeCell ref="Y45:AA45"/>
    <mergeCell ref="AF45:AH45"/>
    <mergeCell ref="AM45:AO45"/>
    <mergeCell ref="AT43:AV43"/>
    <mergeCell ref="D44:F44"/>
    <mergeCell ref="K44:M44"/>
    <mergeCell ref="R44:T44"/>
    <mergeCell ref="Y44:AA44"/>
    <mergeCell ref="AF44:AH44"/>
    <mergeCell ref="AM44:AO44"/>
    <mergeCell ref="AT44:AV44"/>
    <mergeCell ref="D43:F43"/>
    <mergeCell ref="K43:M43"/>
    <mergeCell ref="R43:T43"/>
    <mergeCell ref="Y43:AA43"/>
    <mergeCell ref="AF43:AH43"/>
    <mergeCell ref="AM43:AO43"/>
    <mergeCell ref="AT41:AV41"/>
    <mergeCell ref="D42:F42"/>
    <mergeCell ref="K42:M42"/>
    <mergeCell ref="R42:T42"/>
    <mergeCell ref="Y42:AA42"/>
    <mergeCell ref="AF42:AH42"/>
    <mergeCell ref="AM42:AO42"/>
    <mergeCell ref="AT42:AV42"/>
    <mergeCell ref="D41:F41"/>
    <mergeCell ref="K41:M41"/>
    <mergeCell ref="R41:T41"/>
    <mergeCell ref="Y41:AA41"/>
    <mergeCell ref="AF41:AH41"/>
    <mergeCell ref="AM41:AO41"/>
    <mergeCell ref="AT39:AV39"/>
    <mergeCell ref="D40:F40"/>
    <mergeCell ref="K40:M40"/>
    <mergeCell ref="R40:T40"/>
    <mergeCell ref="Y40:AA40"/>
    <mergeCell ref="AF40:AH40"/>
    <mergeCell ref="AM40:AO40"/>
    <mergeCell ref="AT40:AV40"/>
    <mergeCell ref="D39:F39"/>
    <mergeCell ref="K39:M39"/>
    <mergeCell ref="R39:T39"/>
    <mergeCell ref="Y39:AA39"/>
    <mergeCell ref="AF39:AH39"/>
    <mergeCell ref="AM39:AO39"/>
    <mergeCell ref="AT37:AV37"/>
    <mergeCell ref="D38:F38"/>
    <mergeCell ref="K38:M38"/>
    <mergeCell ref="R38:T38"/>
    <mergeCell ref="Y38:AA38"/>
    <mergeCell ref="AF38:AH38"/>
    <mergeCell ref="AM38:AO38"/>
    <mergeCell ref="AT38:AV38"/>
    <mergeCell ref="D37:F37"/>
    <mergeCell ref="K37:M37"/>
    <mergeCell ref="R37:T37"/>
    <mergeCell ref="Y37:AA37"/>
    <mergeCell ref="AF37:AH37"/>
    <mergeCell ref="AM37:AO37"/>
    <mergeCell ref="AT35:AV35"/>
    <mergeCell ref="D36:F36"/>
    <mergeCell ref="K36:M36"/>
    <mergeCell ref="R36:T36"/>
    <mergeCell ref="Y36:AA36"/>
    <mergeCell ref="AF36:AH36"/>
    <mergeCell ref="AM36:AO36"/>
    <mergeCell ref="AT36:AV36"/>
    <mergeCell ref="D35:F35"/>
    <mergeCell ref="K35:M35"/>
    <mergeCell ref="R35:T35"/>
    <mergeCell ref="Y35:AA35"/>
    <mergeCell ref="AF35:AH35"/>
    <mergeCell ref="AM35:AO35"/>
    <mergeCell ref="AT33:AV33"/>
    <mergeCell ref="D34:F34"/>
    <mergeCell ref="K34:M34"/>
    <mergeCell ref="R34:T34"/>
    <mergeCell ref="Y34:AA34"/>
    <mergeCell ref="AF34:AH34"/>
    <mergeCell ref="AM34:AO34"/>
    <mergeCell ref="AT34:AV34"/>
    <mergeCell ref="D33:F33"/>
    <mergeCell ref="K33:M33"/>
    <mergeCell ref="R33:T33"/>
    <mergeCell ref="Y33:AA33"/>
    <mergeCell ref="AF33:AH33"/>
    <mergeCell ref="AM33:AO33"/>
    <mergeCell ref="AT31:AV31"/>
    <mergeCell ref="D32:F32"/>
    <mergeCell ref="K32:M32"/>
    <mergeCell ref="R32:T32"/>
    <mergeCell ref="Y32:AA32"/>
    <mergeCell ref="AF32:AH32"/>
    <mergeCell ref="AM32:AO32"/>
    <mergeCell ref="AT32:AV32"/>
    <mergeCell ref="D31:F31"/>
    <mergeCell ref="K31:M31"/>
    <mergeCell ref="R31:T31"/>
    <mergeCell ref="Y31:AA31"/>
    <mergeCell ref="AF31:AH31"/>
    <mergeCell ref="AM31:AO31"/>
    <mergeCell ref="AT29:AV29"/>
    <mergeCell ref="D30:F30"/>
    <mergeCell ref="K30:M30"/>
    <mergeCell ref="R30:T30"/>
    <mergeCell ref="Y30:AA30"/>
    <mergeCell ref="AF30:AH30"/>
    <mergeCell ref="AM30:AO30"/>
    <mergeCell ref="AT30:AV30"/>
    <mergeCell ref="D29:F29"/>
    <mergeCell ref="K29:M29"/>
    <mergeCell ref="R29:T29"/>
    <mergeCell ref="Y29:AA29"/>
    <mergeCell ref="AF29:AH29"/>
    <mergeCell ref="AM29:AO29"/>
    <mergeCell ref="AT27:AV27"/>
    <mergeCell ref="D28:F28"/>
    <mergeCell ref="K28:M28"/>
    <mergeCell ref="R28:T28"/>
    <mergeCell ref="Y28:AA28"/>
    <mergeCell ref="AF28:AH28"/>
    <mergeCell ref="AM28:AO28"/>
    <mergeCell ref="AT28:AV28"/>
    <mergeCell ref="D27:F27"/>
    <mergeCell ref="K27:M27"/>
    <mergeCell ref="R27:T27"/>
    <mergeCell ref="Y27:AA27"/>
    <mergeCell ref="AF27:AH27"/>
    <mergeCell ref="AM27:AO27"/>
    <mergeCell ref="AT25:AV25"/>
    <mergeCell ref="D26:F26"/>
    <mergeCell ref="K26:M26"/>
    <mergeCell ref="R26:T26"/>
    <mergeCell ref="Y26:AA26"/>
    <mergeCell ref="AF26:AH26"/>
    <mergeCell ref="AM26:AO26"/>
    <mergeCell ref="AT26:AV26"/>
    <mergeCell ref="D25:F25"/>
    <mergeCell ref="K25:M25"/>
    <mergeCell ref="R25:T25"/>
    <mergeCell ref="Y25:AA25"/>
    <mergeCell ref="AF25:AH25"/>
    <mergeCell ref="AM25:AO25"/>
    <mergeCell ref="D24:F24"/>
    <mergeCell ref="K24:M24"/>
    <mergeCell ref="R24:T24"/>
    <mergeCell ref="Y24:AA24"/>
    <mergeCell ref="AF24:AH24"/>
    <mergeCell ref="AM24:AO24"/>
    <mergeCell ref="AT24:AV24"/>
    <mergeCell ref="D23:F23"/>
    <mergeCell ref="K23:M23"/>
    <mergeCell ref="R23:T23"/>
    <mergeCell ref="Y23:AA23"/>
    <mergeCell ref="AF23:AH23"/>
    <mergeCell ref="AM23:AO23"/>
    <mergeCell ref="A22:A23"/>
    <mergeCell ref="B22:B23"/>
    <mergeCell ref="D22:F22"/>
    <mergeCell ref="K22:M22"/>
    <mergeCell ref="R22:T22"/>
    <mergeCell ref="Y22:AA22"/>
    <mergeCell ref="AF22:AH22"/>
    <mergeCell ref="AM22:AO22"/>
    <mergeCell ref="AT22:AV22"/>
    <mergeCell ref="AT23:AV23"/>
    <mergeCell ref="A20:A21"/>
    <mergeCell ref="B20:B21"/>
    <mergeCell ref="D20:F20"/>
    <mergeCell ref="K20:M20"/>
    <mergeCell ref="R20:T20"/>
    <mergeCell ref="Y20:AA20"/>
    <mergeCell ref="AF20:AH20"/>
    <mergeCell ref="AM20:AO20"/>
    <mergeCell ref="AT20:AV20"/>
    <mergeCell ref="AT21:AV21"/>
    <mergeCell ref="D21:F21"/>
    <mergeCell ref="K21:M21"/>
    <mergeCell ref="R21:T21"/>
    <mergeCell ref="Y21:AA21"/>
    <mergeCell ref="AF21:AH21"/>
    <mergeCell ref="AM21:AO21"/>
    <mergeCell ref="A18:A19"/>
    <mergeCell ref="B18:B19"/>
    <mergeCell ref="D18:F18"/>
    <mergeCell ref="K18:M18"/>
    <mergeCell ref="R18:T18"/>
    <mergeCell ref="Y18:AA18"/>
    <mergeCell ref="AF18:AH18"/>
    <mergeCell ref="AM18:AO18"/>
    <mergeCell ref="AT18:AV18"/>
    <mergeCell ref="AT19:AV19"/>
    <mergeCell ref="D19:F19"/>
    <mergeCell ref="K19:M19"/>
    <mergeCell ref="R19:T19"/>
    <mergeCell ref="Y19:AA19"/>
    <mergeCell ref="AF19:AH19"/>
    <mergeCell ref="AM19:AO19"/>
    <mergeCell ref="A16:A17"/>
    <mergeCell ref="B16:B17"/>
    <mergeCell ref="D16:F16"/>
    <mergeCell ref="K16:M16"/>
    <mergeCell ref="R16:T16"/>
    <mergeCell ref="Y16:AA16"/>
    <mergeCell ref="AF16:AH16"/>
    <mergeCell ref="AM16:AO16"/>
    <mergeCell ref="AT16:AV16"/>
    <mergeCell ref="AT17:AV17"/>
    <mergeCell ref="D17:F17"/>
    <mergeCell ref="K17:M17"/>
    <mergeCell ref="R17:T17"/>
    <mergeCell ref="Y17:AA17"/>
    <mergeCell ref="AF17:AH17"/>
    <mergeCell ref="AM17:AO17"/>
    <mergeCell ref="A14:A15"/>
    <mergeCell ref="B14:B15"/>
    <mergeCell ref="D14:F14"/>
    <mergeCell ref="K14:M14"/>
    <mergeCell ref="R14:T14"/>
    <mergeCell ref="Y14:AA14"/>
    <mergeCell ref="AF14:AH14"/>
    <mergeCell ref="AM14:AO14"/>
    <mergeCell ref="AT14:AV14"/>
    <mergeCell ref="AT15:AV15"/>
    <mergeCell ref="D15:F15"/>
    <mergeCell ref="K15:M15"/>
    <mergeCell ref="R15:T15"/>
    <mergeCell ref="Y15:AA15"/>
    <mergeCell ref="AF15:AH15"/>
    <mergeCell ref="AM15:AO15"/>
    <mergeCell ref="A12:A13"/>
    <mergeCell ref="B12:B13"/>
    <mergeCell ref="D12:F12"/>
    <mergeCell ref="K12:M12"/>
    <mergeCell ref="R12:T12"/>
    <mergeCell ref="Y12:AA12"/>
    <mergeCell ref="AF12:AH12"/>
    <mergeCell ref="AM12:AO12"/>
    <mergeCell ref="AT12:AV12"/>
    <mergeCell ref="AT13:AV13"/>
    <mergeCell ref="D13:F13"/>
    <mergeCell ref="K13:M13"/>
    <mergeCell ref="R13:T13"/>
    <mergeCell ref="Y13:AA13"/>
    <mergeCell ref="AF13:AH13"/>
    <mergeCell ref="AM13:AO13"/>
    <mergeCell ref="A10:A11"/>
    <mergeCell ref="B10:B11"/>
    <mergeCell ref="D10:F10"/>
    <mergeCell ref="K10:M10"/>
    <mergeCell ref="R10:T10"/>
    <mergeCell ref="Y10:AA10"/>
    <mergeCell ref="AF10:AH10"/>
    <mergeCell ref="AM10:AO10"/>
    <mergeCell ref="AT10:AV10"/>
    <mergeCell ref="AT11:AV11"/>
    <mergeCell ref="D11:F11"/>
    <mergeCell ref="K11:M11"/>
    <mergeCell ref="R11:T11"/>
    <mergeCell ref="Y11:AA11"/>
    <mergeCell ref="AF11:AH11"/>
    <mergeCell ref="AM11:AO11"/>
    <mergeCell ref="AW6:AX6"/>
    <mergeCell ref="D7:F7"/>
    <mergeCell ref="K7:M7"/>
    <mergeCell ref="R7:T7"/>
    <mergeCell ref="Y7:AA7"/>
    <mergeCell ref="AF7:AH7"/>
    <mergeCell ref="AM7:AO7"/>
    <mergeCell ref="AT7:AV7"/>
    <mergeCell ref="A8:A9"/>
    <mergeCell ref="B8:B9"/>
    <mergeCell ref="D8:F8"/>
    <mergeCell ref="K8:M8"/>
    <mergeCell ref="R8:T8"/>
    <mergeCell ref="Y8:AA8"/>
    <mergeCell ref="AF8:AH8"/>
    <mergeCell ref="AM8:AO8"/>
    <mergeCell ref="AT8:AV8"/>
    <mergeCell ref="AT9:AV9"/>
    <mergeCell ref="D9:F9"/>
    <mergeCell ref="K9:M9"/>
    <mergeCell ref="R9:T9"/>
    <mergeCell ref="Y9:AA9"/>
    <mergeCell ref="AF9:AH9"/>
    <mergeCell ref="AM9:AO9"/>
    <mergeCell ref="A3:B4"/>
    <mergeCell ref="A6:A7"/>
    <mergeCell ref="B6:B7"/>
    <mergeCell ref="G6:H6"/>
    <mergeCell ref="N6:O6"/>
    <mergeCell ref="U6:V6"/>
    <mergeCell ref="AB6:AC6"/>
    <mergeCell ref="AI6:AJ6"/>
    <mergeCell ref="AP6:AQ6"/>
  </mergeCells>
  <phoneticPr fontId="4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O192"/>
  <sheetViews>
    <sheetView zoomScale="70" zoomScaleNormal="70" zoomScaleSheetLayoutView="75" workbookViewId="0">
      <pane xSplit="5" ySplit="5" topLeftCell="F126" activePane="bottomRight" state="frozen"/>
      <selection activeCell="AE30" sqref="AE30:AG31"/>
      <selection pane="topRight" activeCell="AE30" sqref="AE30:AG31"/>
      <selection pane="bottomLeft" activeCell="AE30" sqref="AE30:AG31"/>
      <selection pane="bottomRight" activeCell="G138" sqref="G138"/>
    </sheetView>
  </sheetViews>
  <sheetFormatPr defaultColWidth="9.140625" defaultRowHeight="13.5" x14ac:dyDescent="0.25"/>
  <cols>
    <col min="1" max="1" width="9.140625" style="136"/>
    <col min="2" max="2" width="13.140625" style="136" customWidth="1"/>
    <col min="3" max="5" width="12.7109375" style="136" customWidth="1"/>
    <col min="6" max="6" width="23" style="183" customWidth="1"/>
    <col min="7" max="7" width="13.7109375" style="183" customWidth="1"/>
    <col min="8" max="8" width="23" style="183" customWidth="1"/>
    <col min="9" max="9" width="13.7109375" style="183" customWidth="1"/>
    <col min="10" max="10" width="23" style="183" customWidth="1"/>
    <col min="11" max="11" width="13.7109375" style="183" customWidth="1"/>
    <col min="12" max="12" width="23" style="183" customWidth="1"/>
    <col min="13" max="13" width="13.7109375" style="183" customWidth="1"/>
    <col min="14" max="14" width="23" style="183" customWidth="1"/>
    <col min="15" max="15" width="13.7109375" style="183" customWidth="1"/>
    <col min="16" max="16384" width="9.140625" style="136"/>
  </cols>
  <sheetData>
    <row r="1" spans="1:15" ht="31.5" x14ac:dyDescent="0.25">
      <c r="A1" s="135" t="s">
        <v>51</v>
      </c>
      <c r="B1" s="135"/>
      <c r="F1" s="137"/>
      <c r="G1" s="138"/>
      <c r="H1" s="136"/>
      <c r="I1" s="138"/>
      <c r="J1" s="136"/>
      <c r="K1" s="138"/>
      <c r="L1" s="139"/>
      <c r="M1" s="138"/>
      <c r="N1" s="139"/>
      <c r="O1" s="138"/>
    </row>
    <row r="2" spans="1:15" x14ac:dyDescent="0.25">
      <c r="F2" s="136"/>
      <c r="G2" s="136"/>
      <c r="H2" s="136"/>
      <c r="I2" s="136"/>
      <c r="J2" s="136"/>
      <c r="K2" s="136"/>
      <c r="L2" s="136"/>
      <c r="M2" s="136"/>
      <c r="N2" s="136"/>
      <c r="O2" s="136"/>
    </row>
    <row r="3" spans="1:15" ht="30" customHeight="1" thickBot="1" x14ac:dyDescent="0.3">
      <c r="A3" s="1047" t="str">
        <f>'0.기초및고정비'!C4&amp;'0.기초및고정비'!D4</f>
        <v>2026년4월</v>
      </c>
      <c r="B3" s="1047"/>
      <c r="C3" s="140"/>
      <c r="D3" s="140"/>
      <c r="E3" s="141"/>
      <c r="F3" s="142"/>
      <c r="G3" s="143"/>
      <c r="H3" s="142"/>
      <c r="I3" s="143"/>
      <c r="J3" s="142"/>
      <c r="K3" s="143"/>
      <c r="L3" s="142"/>
      <c r="M3" s="143"/>
      <c r="N3" s="142"/>
      <c r="O3" s="143"/>
    </row>
    <row r="4" spans="1:15" ht="29.25" customHeight="1" x14ac:dyDescent="0.25">
      <c r="A4" s="1040" t="s">
        <v>26</v>
      </c>
      <c r="B4" s="1042" t="s">
        <v>107</v>
      </c>
      <c r="C4" s="1042" t="s">
        <v>106</v>
      </c>
      <c r="D4" s="1042" t="s">
        <v>476</v>
      </c>
      <c r="E4" s="1042" t="s">
        <v>475</v>
      </c>
      <c r="F4" s="1051" t="s">
        <v>183</v>
      </c>
      <c r="G4" s="1052"/>
      <c r="H4" s="1053" t="s">
        <v>195</v>
      </c>
      <c r="I4" s="1052"/>
      <c r="J4" s="1053" t="s">
        <v>195</v>
      </c>
      <c r="K4" s="1052"/>
      <c r="L4" s="1044" t="s">
        <v>474</v>
      </c>
      <c r="M4" s="1045"/>
      <c r="N4" s="1044" t="s">
        <v>473</v>
      </c>
      <c r="O4" s="1045"/>
    </row>
    <row r="5" spans="1:15" ht="28.5" customHeight="1" thickBot="1" x14ac:dyDescent="0.3">
      <c r="A5" s="1041"/>
      <c r="B5" s="1043"/>
      <c r="C5" s="1043"/>
      <c r="D5" s="1043"/>
      <c r="E5" s="1043"/>
      <c r="F5" s="144" t="s">
        <v>92</v>
      </c>
      <c r="G5" s="145" t="s">
        <v>81</v>
      </c>
      <c r="H5" s="146" t="s">
        <v>92</v>
      </c>
      <c r="I5" s="145" t="s">
        <v>81</v>
      </c>
      <c r="J5" s="146" t="s">
        <v>254</v>
      </c>
      <c r="K5" s="147" t="s">
        <v>81</v>
      </c>
      <c r="L5" s="148" t="s">
        <v>92</v>
      </c>
      <c r="M5" s="149" t="s">
        <v>81</v>
      </c>
      <c r="N5" s="148" t="s">
        <v>92</v>
      </c>
      <c r="O5" s="149" t="s">
        <v>81</v>
      </c>
    </row>
    <row r="6" spans="1:15" ht="20.100000000000001" customHeight="1" x14ac:dyDescent="0.25">
      <c r="A6" s="1048">
        <v>1</v>
      </c>
      <c r="B6" s="1046">
        <f>G11</f>
        <v>105000</v>
      </c>
      <c r="C6" s="1046">
        <f>I11+K11</f>
        <v>0</v>
      </c>
      <c r="D6" s="1046">
        <f>M11</f>
        <v>0</v>
      </c>
      <c r="E6" s="1046">
        <f>O11</f>
        <v>0</v>
      </c>
      <c r="F6" s="150" t="s">
        <v>545</v>
      </c>
      <c r="G6" s="154">
        <v>105000</v>
      </c>
      <c r="H6" s="151"/>
      <c r="I6" s="154"/>
      <c r="J6" s="151"/>
      <c r="K6" s="155"/>
      <c r="L6" s="152"/>
      <c r="M6" s="153"/>
      <c r="N6" s="152"/>
      <c r="O6" s="153"/>
    </row>
    <row r="7" spans="1:15" ht="20.100000000000001" customHeight="1" x14ac:dyDescent="0.25">
      <c r="A7" s="1049"/>
      <c r="B7" s="1036"/>
      <c r="C7" s="1036"/>
      <c r="D7" s="1036"/>
      <c r="E7" s="1036"/>
      <c r="F7" s="150"/>
      <c r="G7" s="154"/>
      <c r="H7" s="151"/>
      <c r="I7" s="154"/>
      <c r="J7" s="151"/>
      <c r="K7" s="155"/>
      <c r="L7" s="152"/>
      <c r="M7" s="153"/>
      <c r="N7" s="152"/>
      <c r="O7" s="153"/>
    </row>
    <row r="8" spans="1:15" ht="20.100000000000001" customHeight="1" x14ac:dyDescent="0.25">
      <c r="A8" s="1049"/>
      <c r="B8" s="1036"/>
      <c r="C8" s="1036"/>
      <c r="D8" s="1036"/>
      <c r="E8" s="1036"/>
      <c r="F8" s="150"/>
      <c r="G8" s="154"/>
      <c r="H8" s="151"/>
      <c r="I8" s="154"/>
      <c r="J8" s="151"/>
      <c r="K8" s="155"/>
      <c r="L8" s="152"/>
      <c r="M8" s="153"/>
      <c r="N8" s="152"/>
      <c r="O8" s="153"/>
    </row>
    <row r="9" spans="1:15" ht="20.100000000000001" customHeight="1" x14ac:dyDescent="0.25">
      <c r="A9" s="1050"/>
      <c r="B9" s="1036"/>
      <c r="C9" s="1036"/>
      <c r="D9" s="1036"/>
      <c r="E9" s="1036"/>
      <c r="F9" s="156"/>
      <c r="G9" s="157"/>
      <c r="H9" s="158"/>
      <c r="I9" s="157"/>
      <c r="J9" s="158"/>
      <c r="K9" s="159"/>
      <c r="L9" s="160"/>
      <c r="M9" s="161"/>
      <c r="N9" s="160"/>
      <c r="O9" s="161"/>
    </row>
    <row r="10" spans="1:15" ht="20.100000000000001" customHeight="1" x14ac:dyDescent="0.25">
      <c r="A10" s="1038"/>
      <c r="B10" s="1036"/>
      <c r="C10" s="1036"/>
      <c r="D10" s="1036"/>
      <c r="E10" s="1036"/>
      <c r="F10" s="163"/>
      <c r="G10" s="164"/>
      <c r="H10" s="165"/>
      <c r="I10" s="164"/>
      <c r="J10" s="165"/>
      <c r="K10" s="166"/>
      <c r="L10" s="167"/>
      <c r="M10" s="168"/>
      <c r="N10" s="167"/>
      <c r="O10" s="168"/>
    </row>
    <row r="11" spans="1:15" ht="20.100000000000001" customHeight="1" x14ac:dyDescent="0.25">
      <c r="A11" s="1038"/>
      <c r="B11" s="1037"/>
      <c r="C11" s="1037"/>
      <c r="D11" s="1037"/>
      <c r="E11" s="1037"/>
      <c r="F11" s="169" t="s">
        <v>86</v>
      </c>
      <c r="G11" s="170">
        <f>SUM(G6:G10)</f>
        <v>105000</v>
      </c>
      <c r="H11" s="171" t="s">
        <v>86</v>
      </c>
      <c r="I11" s="170">
        <f>SUM(I6:I10)</f>
        <v>0</v>
      </c>
      <c r="J11" s="171" t="s">
        <v>86</v>
      </c>
      <c r="K11" s="172">
        <f>SUM(K6:K10)</f>
        <v>0</v>
      </c>
      <c r="L11" s="173" t="s">
        <v>86</v>
      </c>
      <c r="M11" s="174">
        <f>SUM(M6:M10)</f>
        <v>0</v>
      </c>
      <c r="N11" s="173" t="s">
        <v>86</v>
      </c>
      <c r="O11" s="174">
        <f>SUM(O6:O10)</f>
        <v>0</v>
      </c>
    </row>
    <row r="12" spans="1:15" ht="20.100000000000001" customHeight="1" x14ac:dyDescent="0.25">
      <c r="A12" s="1038">
        <v>2</v>
      </c>
      <c r="B12" s="1036">
        <f>G17</f>
        <v>88000</v>
      </c>
      <c r="C12" s="1036">
        <f>I17+K17</f>
        <v>0</v>
      </c>
      <c r="D12" s="1036">
        <f>M17</f>
        <v>0</v>
      </c>
      <c r="E12" s="1036">
        <f>O17</f>
        <v>0</v>
      </c>
      <c r="F12" s="150" t="s">
        <v>546</v>
      </c>
      <c r="G12" s="154">
        <v>88000</v>
      </c>
      <c r="H12" s="151" t="s">
        <v>28</v>
      </c>
      <c r="I12" s="154"/>
      <c r="J12" s="151"/>
      <c r="K12" s="155"/>
      <c r="L12" s="152"/>
      <c r="M12" s="153"/>
      <c r="N12" s="152"/>
      <c r="O12" s="153"/>
    </row>
    <row r="13" spans="1:15" ht="20.100000000000001" customHeight="1" x14ac:dyDescent="0.25">
      <c r="A13" s="1038"/>
      <c r="B13" s="1036"/>
      <c r="C13" s="1036"/>
      <c r="D13" s="1036"/>
      <c r="E13" s="1036"/>
      <c r="F13" s="150"/>
      <c r="G13" s="154"/>
      <c r="H13" s="151"/>
      <c r="I13" s="154"/>
      <c r="J13" s="151"/>
      <c r="K13" s="155"/>
      <c r="L13" s="152"/>
      <c r="M13" s="153"/>
      <c r="N13" s="152"/>
      <c r="O13" s="153"/>
    </row>
    <row r="14" spans="1:15" ht="20.100000000000001" customHeight="1" x14ac:dyDescent="0.25">
      <c r="A14" s="1038"/>
      <c r="B14" s="1036"/>
      <c r="C14" s="1036"/>
      <c r="D14" s="1036"/>
      <c r="E14" s="1036"/>
      <c r="F14" s="150"/>
      <c r="G14" s="154"/>
      <c r="H14" s="151"/>
      <c r="I14" s="154"/>
      <c r="J14" s="151"/>
      <c r="K14" s="155"/>
      <c r="L14" s="152"/>
      <c r="M14" s="153"/>
      <c r="N14" s="152"/>
      <c r="O14" s="153"/>
    </row>
    <row r="15" spans="1:15" ht="20.100000000000001" customHeight="1" x14ac:dyDescent="0.25">
      <c r="A15" s="1038"/>
      <c r="B15" s="1036"/>
      <c r="C15" s="1036"/>
      <c r="D15" s="1036"/>
      <c r="E15" s="1036"/>
      <c r="F15" s="156"/>
      <c r="G15" s="157"/>
      <c r="H15" s="158"/>
      <c r="I15" s="157"/>
      <c r="J15" s="158"/>
      <c r="K15" s="159"/>
      <c r="L15" s="160"/>
      <c r="M15" s="161"/>
      <c r="N15" s="160"/>
      <c r="O15" s="161"/>
    </row>
    <row r="16" spans="1:15" ht="20.100000000000001" customHeight="1" x14ac:dyDescent="0.25">
      <c r="A16" s="1038"/>
      <c r="B16" s="1036"/>
      <c r="C16" s="1036"/>
      <c r="D16" s="1036"/>
      <c r="E16" s="1036"/>
      <c r="F16" s="163"/>
      <c r="G16" s="164"/>
      <c r="H16" s="165"/>
      <c r="I16" s="164"/>
      <c r="J16" s="165"/>
      <c r="K16" s="166"/>
      <c r="L16" s="167"/>
      <c r="M16" s="168"/>
      <c r="N16" s="167"/>
      <c r="O16" s="168"/>
    </row>
    <row r="17" spans="1:15" ht="20.100000000000001" customHeight="1" x14ac:dyDescent="0.25">
      <c r="A17" s="1038"/>
      <c r="B17" s="1037"/>
      <c r="C17" s="1037"/>
      <c r="D17" s="1037"/>
      <c r="E17" s="1037"/>
      <c r="F17" s="169" t="s">
        <v>86</v>
      </c>
      <c r="G17" s="170">
        <f>SUM(G12:G16)</f>
        <v>88000</v>
      </c>
      <c r="H17" s="171" t="s">
        <v>86</v>
      </c>
      <c r="I17" s="170">
        <f>SUM(I12:I16)</f>
        <v>0</v>
      </c>
      <c r="J17" s="171" t="s">
        <v>86</v>
      </c>
      <c r="K17" s="172">
        <f>SUM(K12:K16)</f>
        <v>0</v>
      </c>
      <c r="L17" s="173" t="s">
        <v>86</v>
      </c>
      <c r="M17" s="174">
        <f>SUM(M12:M16)</f>
        <v>0</v>
      </c>
      <c r="N17" s="173" t="s">
        <v>86</v>
      </c>
      <c r="O17" s="174">
        <f>SUM(O12:O16)</f>
        <v>0</v>
      </c>
    </row>
    <row r="18" spans="1:15" ht="20.100000000000001" customHeight="1" x14ac:dyDescent="0.25">
      <c r="A18" s="1038">
        <v>3</v>
      </c>
      <c r="B18" s="1036">
        <f>G23</f>
        <v>0</v>
      </c>
      <c r="C18" s="1036">
        <f>I23+K23</f>
        <v>0</v>
      </c>
      <c r="D18" s="1036">
        <f>M23</f>
        <v>0</v>
      </c>
      <c r="E18" s="1036">
        <f>O23</f>
        <v>0</v>
      </c>
      <c r="F18" s="150"/>
      <c r="G18" s="154"/>
      <c r="H18" s="151"/>
      <c r="I18" s="154"/>
      <c r="J18" s="151"/>
      <c r="K18" s="155"/>
      <c r="L18" s="152"/>
      <c r="M18" s="153"/>
      <c r="N18" s="152"/>
      <c r="O18" s="153"/>
    </row>
    <row r="19" spans="1:15" ht="20.100000000000001" customHeight="1" x14ac:dyDescent="0.25">
      <c r="A19" s="1038"/>
      <c r="B19" s="1036"/>
      <c r="C19" s="1036"/>
      <c r="D19" s="1036"/>
      <c r="E19" s="1036"/>
      <c r="F19" s="150"/>
      <c r="G19" s="154"/>
      <c r="H19" s="151"/>
      <c r="I19" s="154"/>
      <c r="J19" s="151"/>
      <c r="K19" s="155"/>
      <c r="L19" s="152"/>
      <c r="M19" s="153"/>
      <c r="N19" s="152"/>
      <c r="O19" s="153"/>
    </row>
    <row r="20" spans="1:15" ht="20.100000000000001" customHeight="1" x14ac:dyDescent="0.25">
      <c r="A20" s="1038"/>
      <c r="B20" s="1036"/>
      <c r="C20" s="1036"/>
      <c r="D20" s="1036"/>
      <c r="E20" s="1036"/>
      <c r="F20" s="150"/>
      <c r="G20" s="154"/>
      <c r="H20" s="151"/>
      <c r="I20" s="154"/>
      <c r="J20" s="151"/>
      <c r="K20" s="155"/>
      <c r="L20" s="152"/>
      <c r="M20" s="153"/>
      <c r="N20" s="152"/>
      <c r="O20" s="153"/>
    </row>
    <row r="21" spans="1:15" ht="20.100000000000001" customHeight="1" x14ac:dyDescent="0.25">
      <c r="A21" s="1038"/>
      <c r="B21" s="1036"/>
      <c r="C21" s="1036"/>
      <c r="D21" s="1036"/>
      <c r="E21" s="1036"/>
      <c r="F21" s="156"/>
      <c r="G21" s="157"/>
      <c r="H21" s="158"/>
      <c r="I21" s="157"/>
      <c r="J21" s="158"/>
      <c r="K21" s="159"/>
      <c r="L21" s="160"/>
      <c r="M21" s="161"/>
      <c r="N21" s="160"/>
      <c r="O21" s="161"/>
    </row>
    <row r="22" spans="1:15" ht="20.100000000000001" customHeight="1" x14ac:dyDescent="0.25">
      <c r="A22" s="1038"/>
      <c r="B22" s="1036"/>
      <c r="C22" s="1036"/>
      <c r="D22" s="1036"/>
      <c r="E22" s="1036"/>
      <c r="F22" s="163"/>
      <c r="G22" s="164"/>
      <c r="H22" s="165"/>
      <c r="I22" s="164"/>
      <c r="J22" s="165"/>
      <c r="K22" s="166"/>
      <c r="L22" s="167"/>
      <c r="M22" s="168"/>
      <c r="N22" s="167"/>
      <c r="O22" s="168"/>
    </row>
    <row r="23" spans="1:15" ht="20.100000000000001" customHeight="1" x14ac:dyDescent="0.25">
      <c r="A23" s="1038"/>
      <c r="B23" s="1037"/>
      <c r="C23" s="1037"/>
      <c r="D23" s="1037"/>
      <c r="E23" s="1037"/>
      <c r="F23" s="169" t="s">
        <v>86</v>
      </c>
      <c r="G23" s="170">
        <f>SUM(G18:G22)</f>
        <v>0</v>
      </c>
      <c r="H23" s="171" t="s">
        <v>86</v>
      </c>
      <c r="I23" s="170">
        <f>SUM(I18:I22)</f>
        <v>0</v>
      </c>
      <c r="J23" s="171" t="s">
        <v>86</v>
      </c>
      <c r="K23" s="172">
        <f>SUM(K18:K22)</f>
        <v>0</v>
      </c>
      <c r="L23" s="173" t="s">
        <v>86</v>
      </c>
      <c r="M23" s="174">
        <f>SUM(M18:M22)</f>
        <v>0</v>
      </c>
      <c r="N23" s="173" t="s">
        <v>86</v>
      </c>
      <c r="O23" s="174">
        <f>SUM(O18:O22)</f>
        <v>0</v>
      </c>
    </row>
    <row r="24" spans="1:15" ht="20.100000000000001" customHeight="1" x14ac:dyDescent="0.25">
      <c r="A24" s="1038">
        <v>4</v>
      </c>
      <c r="B24" s="1036">
        <f>G29</f>
        <v>0</v>
      </c>
      <c r="C24" s="1036">
        <f>I29+K29</f>
        <v>0</v>
      </c>
      <c r="D24" s="1036">
        <f>M29</f>
        <v>0</v>
      </c>
      <c r="E24" s="1036">
        <f>O29</f>
        <v>0</v>
      </c>
      <c r="F24" s="150"/>
      <c r="G24" s="154"/>
      <c r="H24" s="151"/>
      <c r="I24" s="154"/>
      <c r="J24" s="151"/>
      <c r="K24" s="155"/>
      <c r="L24" s="152"/>
      <c r="M24" s="153"/>
      <c r="N24" s="152"/>
      <c r="O24" s="153"/>
    </row>
    <row r="25" spans="1:15" ht="20.100000000000001" customHeight="1" x14ac:dyDescent="0.25">
      <c r="A25" s="1038"/>
      <c r="B25" s="1036"/>
      <c r="C25" s="1036"/>
      <c r="D25" s="1036"/>
      <c r="E25" s="1036"/>
      <c r="F25" s="150"/>
      <c r="G25" s="154"/>
      <c r="H25" s="151"/>
      <c r="I25" s="154"/>
      <c r="J25" s="151"/>
      <c r="K25" s="155"/>
      <c r="L25" s="152"/>
      <c r="M25" s="153"/>
      <c r="N25" s="152"/>
      <c r="O25" s="153"/>
    </row>
    <row r="26" spans="1:15" ht="20.100000000000001" customHeight="1" x14ac:dyDescent="0.25">
      <c r="A26" s="1038"/>
      <c r="B26" s="1036"/>
      <c r="C26" s="1036"/>
      <c r="D26" s="1036"/>
      <c r="E26" s="1036"/>
      <c r="F26" s="150"/>
      <c r="G26" s="154"/>
      <c r="H26" s="151"/>
      <c r="I26" s="154"/>
      <c r="J26" s="151"/>
      <c r="K26" s="155"/>
      <c r="L26" s="152"/>
      <c r="M26" s="153"/>
      <c r="N26" s="152"/>
      <c r="O26" s="153"/>
    </row>
    <row r="27" spans="1:15" ht="20.100000000000001" customHeight="1" x14ac:dyDescent="0.25">
      <c r="A27" s="1038"/>
      <c r="B27" s="1036"/>
      <c r="C27" s="1036"/>
      <c r="D27" s="1036"/>
      <c r="E27" s="1036"/>
      <c r="F27" s="156"/>
      <c r="G27" s="157"/>
      <c r="H27" s="158"/>
      <c r="I27" s="157"/>
      <c r="J27" s="158"/>
      <c r="K27" s="159"/>
      <c r="L27" s="160"/>
      <c r="M27" s="161"/>
      <c r="N27" s="160"/>
      <c r="O27" s="161"/>
    </row>
    <row r="28" spans="1:15" ht="20.100000000000001" customHeight="1" x14ac:dyDescent="0.25">
      <c r="A28" s="1038"/>
      <c r="B28" s="1036"/>
      <c r="C28" s="1036"/>
      <c r="D28" s="1036"/>
      <c r="E28" s="1036"/>
      <c r="F28" s="163"/>
      <c r="G28" s="164"/>
      <c r="H28" s="165"/>
      <c r="I28" s="164"/>
      <c r="J28" s="165"/>
      <c r="K28" s="166"/>
      <c r="L28" s="167"/>
      <c r="M28" s="168"/>
      <c r="N28" s="167"/>
      <c r="O28" s="168"/>
    </row>
    <row r="29" spans="1:15" ht="20.100000000000001" customHeight="1" x14ac:dyDescent="0.25">
      <c r="A29" s="1038"/>
      <c r="B29" s="1037"/>
      <c r="C29" s="1037"/>
      <c r="D29" s="1037"/>
      <c r="E29" s="1037"/>
      <c r="F29" s="169" t="s">
        <v>86</v>
      </c>
      <c r="G29" s="170">
        <f>SUM(G24:G28)</f>
        <v>0</v>
      </c>
      <c r="H29" s="171" t="s">
        <v>86</v>
      </c>
      <c r="I29" s="170">
        <f>SUM(I24:I28)</f>
        <v>0</v>
      </c>
      <c r="J29" s="171" t="s">
        <v>86</v>
      </c>
      <c r="K29" s="172">
        <f>SUM(K24:K28)</f>
        <v>0</v>
      </c>
      <c r="L29" s="173" t="s">
        <v>86</v>
      </c>
      <c r="M29" s="174">
        <f>SUM(M24:M28)</f>
        <v>0</v>
      </c>
      <c r="N29" s="173" t="s">
        <v>86</v>
      </c>
      <c r="O29" s="174">
        <f>SUM(O24:O28)</f>
        <v>0</v>
      </c>
    </row>
    <row r="30" spans="1:15" ht="20.100000000000001" customHeight="1" x14ac:dyDescent="0.25">
      <c r="A30" s="1038">
        <v>5</v>
      </c>
      <c r="B30" s="1036">
        <f>G35</f>
        <v>0</v>
      </c>
      <c r="C30" s="1036">
        <f>I35+K35</f>
        <v>0</v>
      </c>
      <c r="D30" s="1036">
        <f>M35</f>
        <v>0</v>
      </c>
      <c r="E30" s="1036">
        <f>O35</f>
        <v>0</v>
      </c>
      <c r="F30" s="150"/>
      <c r="G30" s="154"/>
      <c r="H30" s="151"/>
      <c r="I30" s="154"/>
      <c r="J30" s="151"/>
      <c r="K30" s="155"/>
      <c r="L30" s="152"/>
      <c r="M30" s="153"/>
      <c r="N30" s="152"/>
      <c r="O30" s="153"/>
    </row>
    <row r="31" spans="1:15" ht="20.100000000000001" customHeight="1" x14ac:dyDescent="0.25">
      <c r="A31" s="1038"/>
      <c r="B31" s="1036"/>
      <c r="C31" s="1036"/>
      <c r="D31" s="1036"/>
      <c r="E31" s="1036"/>
      <c r="F31" s="150"/>
      <c r="G31" s="154"/>
      <c r="H31" s="151"/>
      <c r="I31" s="154"/>
      <c r="J31" s="151"/>
      <c r="K31" s="155"/>
      <c r="L31" s="152"/>
      <c r="M31" s="153"/>
      <c r="N31" s="152"/>
      <c r="O31" s="153"/>
    </row>
    <row r="32" spans="1:15" ht="20.100000000000001" customHeight="1" x14ac:dyDescent="0.25">
      <c r="A32" s="1038"/>
      <c r="B32" s="1036"/>
      <c r="C32" s="1036"/>
      <c r="D32" s="1036"/>
      <c r="E32" s="1036"/>
      <c r="F32" s="150"/>
      <c r="G32" s="154"/>
      <c r="H32" s="151"/>
      <c r="I32" s="154"/>
      <c r="J32" s="151"/>
      <c r="K32" s="155"/>
      <c r="L32" s="152"/>
      <c r="M32" s="153"/>
      <c r="N32" s="152"/>
      <c r="O32" s="153"/>
    </row>
    <row r="33" spans="1:15" ht="20.100000000000001" customHeight="1" x14ac:dyDescent="0.25">
      <c r="A33" s="1038"/>
      <c r="B33" s="1036"/>
      <c r="C33" s="1036"/>
      <c r="D33" s="1036"/>
      <c r="E33" s="1036"/>
      <c r="F33" s="156"/>
      <c r="G33" s="157"/>
      <c r="H33" s="158"/>
      <c r="I33" s="157"/>
      <c r="J33" s="158"/>
      <c r="K33" s="159"/>
      <c r="L33" s="160"/>
      <c r="M33" s="161"/>
      <c r="N33" s="160"/>
      <c r="O33" s="161"/>
    </row>
    <row r="34" spans="1:15" ht="20.100000000000001" customHeight="1" x14ac:dyDescent="0.25">
      <c r="A34" s="1038"/>
      <c r="B34" s="1036"/>
      <c r="C34" s="1036"/>
      <c r="D34" s="1036"/>
      <c r="E34" s="1036"/>
      <c r="F34" s="163"/>
      <c r="G34" s="164"/>
      <c r="H34" s="165"/>
      <c r="I34" s="164"/>
      <c r="J34" s="165"/>
      <c r="K34" s="166"/>
      <c r="L34" s="167"/>
      <c r="M34" s="168"/>
      <c r="N34" s="167"/>
      <c r="O34" s="168"/>
    </row>
    <row r="35" spans="1:15" ht="20.100000000000001" customHeight="1" x14ac:dyDescent="0.25">
      <c r="A35" s="1038"/>
      <c r="B35" s="1037"/>
      <c r="C35" s="1037"/>
      <c r="D35" s="1037"/>
      <c r="E35" s="1037"/>
      <c r="F35" s="169" t="s">
        <v>86</v>
      </c>
      <c r="G35" s="170">
        <f>SUM(G30:G34)</f>
        <v>0</v>
      </c>
      <c r="H35" s="171" t="s">
        <v>86</v>
      </c>
      <c r="I35" s="170">
        <f>SUM(I30:I34)</f>
        <v>0</v>
      </c>
      <c r="J35" s="171" t="s">
        <v>86</v>
      </c>
      <c r="K35" s="172">
        <f>SUM(K30:K34)</f>
        <v>0</v>
      </c>
      <c r="L35" s="173" t="s">
        <v>86</v>
      </c>
      <c r="M35" s="174">
        <f>SUM(M30:M34)</f>
        <v>0</v>
      </c>
      <c r="N35" s="173" t="s">
        <v>86</v>
      </c>
      <c r="O35" s="174">
        <f>SUM(O30:O34)</f>
        <v>0</v>
      </c>
    </row>
    <row r="36" spans="1:15" ht="20.100000000000001" customHeight="1" x14ac:dyDescent="0.25">
      <c r="A36" s="1038">
        <v>6</v>
      </c>
      <c r="B36" s="1036">
        <f>G41</f>
        <v>375000</v>
      </c>
      <c r="C36" s="1036">
        <f>I41+K41</f>
        <v>0</v>
      </c>
      <c r="D36" s="1036">
        <f>M41</f>
        <v>0</v>
      </c>
      <c r="E36" s="1036">
        <f>O41</f>
        <v>0</v>
      </c>
      <c r="F36" s="150" t="s">
        <v>548</v>
      </c>
      <c r="G36" s="154">
        <v>140000</v>
      </c>
      <c r="H36" s="151"/>
      <c r="I36" s="154"/>
      <c r="J36" s="151"/>
      <c r="K36" s="155"/>
      <c r="L36" s="152"/>
      <c r="M36" s="153"/>
      <c r="N36" s="152"/>
      <c r="O36" s="153"/>
    </row>
    <row r="37" spans="1:15" ht="20.100000000000001" customHeight="1" x14ac:dyDescent="0.25">
      <c r="A37" s="1038"/>
      <c r="B37" s="1036"/>
      <c r="C37" s="1036"/>
      <c r="D37" s="1036"/>
      <c r="E37" s="1036"/>
      <c r="F37" s="150" t="s">
        <v>549</v>
      </c>
      <c r="G37" s="154">
        <v>99000</v>
      </c>
      <c r="H37" s="151"/>
      <c r="I37" s="154"/>
      <c r="J37" s="151"/>
      <c r="K37" s="155"/>
      <c r="L37" s="152"/>
      <c r="M37" s="153"/>
      <c r="N37" s="152"/>
      <c r="O37" s="153"/>
    </row>
    <row r="38" spans="1:15" ht="20.100000000000001" customHeight="1" x14ac:dyDescent="0.25">
      <c r="A38" s="1038"/>
      <c r="B38" s="1036"/>
      <c r="C38" s="1036"/>
      <c r="D38" s="1036"/>
      <c r="E38" s="1036"/>
      <c r="F38" s="150" t="s">
        <v>549</v>
      </c>
      <c r="G38" s="154">
        <v>136000</v>
      </c>
      <c r="H38" s="151"/>
      <c r="I38" s="154"/>
      <c r="J38" s="151"/>
      <c r="K38" s="155"/>
      <c r="L38" s="152"/>
      <c r="M38" s="153"/>
      <c r="N38" s="152"/>
      <c r="O38" s="153"/>
    </row>
    <row r="39" spans="1:15" ht="20.100000000000001" customHeight="1" x14ac:dyDescent="0.25">
      <c r="A39" s="1038"/>
      <c r="B39" s="1036"/>
      <c r="C39" s="1036"/>
      <c r="D39" s="1036"/>
      <c r="E39" s="1036"/>
      <c r="F39" s="156"/>
      <c r="G39" s="157"/>
      <c r="H39" s="158"/>
      <c r="I39" s="157"/>
      <c r="J39" s="158"/>
      <c r="K39" s="159"/>
      <c r="L39" s="160"/>
      <c r="M39" s="161"/>
      <c r="N39" s="160"/>
      <c r="O39" s="161"/>
    </row>
    <row r="40" spans="1:15" ht="20.100000000000001" customHeight="1" x14ac:dyDescent="0.25">
      <c r="A40" s="1038"/>
      <c r="B40" s="1036"/>
      <c r="C40" s="1036"/>
      <c r="D40" s="1036"/>
      <c r="E40" s="1036"/>
      <c r="F40" s="163"/>
      <c r="G40" s="164"/>
      <c r="H40" s="165"/>
      <c r="I40" s="164"/>
      <c r="J40" s="165"/>
      <c r="K40" s="166"/>
      <c r="L40" s="167"/>
      <c r="M40" s="168"/>
      <c r="N40" s="167"/>
      <c r="O40" s="168"/>
    </row>
    <row r="41" spans="1:15" ht="19.5" customHeight="1" x14ac:dyDescent="0.25">
      <c r="A41" s="1038"/>
      <c r="B41" s="1037"/>
      <c r="C41" s="1037"/>
      <c r="D41" s="1037"/>
      <c r="E41" s="1037"/>
      <c r="F41" s="169" t="s">
        <v>86</v>
      </c>
      <c r="G41" s="170">
        <f>SUM(G36:G40)</f>
        <v>375000</v>
      </c>
      <c r="H41" s="171" t="s">
        <v>86</v>
      </c>
      <c r="I41" s="170">
        <f>SUM(I36:I40)</f>
        <v>0</v>
      </c>
      <c r="J41" s="171" t="s">
        <v>86</v>
      </c>
      <c r="K41" s="172">
        <f>SUM(K36:K40)</f>
        <v>0</v>
      </c>
      <c r="L41" s="173" t="s">
        <v>86</v>
      </c>
      <c r="M41" s="174">
        <f>SUM(M36:M40)</f>
        <v>0</v>
      </c>
      <c r="N41" s="173" t="s">
        <v>86</v>
      </c>
      <c r="O41" s="174">
        <f>SUM(O36:O40)</f>
        <v>0</v>
      </c>
    </row>
    <row r="42" spans="1:15" ht="20.100000000000001" customHeight="1" x14ac:dyDescent="0.25">
      <c r="A42" s="1038">
        <v>7</v>
      </c>
      <c r="B42" s="1036">
        <f>G47</f>
        <v>79000</v>
      </c>
      <c r="C42" s="1036">
        <f>I47+K47</f>
        <v>0</v>
      </c>
      <c r="D42" s="1036">
        <f>M47</f>
        <v>0</v>
      </c>
      <c r="E42" s="1036">
        <f>O47</f>
        <v>0</v>
      </c>
      <c r="F42" s="150" t="s">
        <v>550</v>
      </c>
      <c r="G42" s="154">
        <v>79000</v>
      </c>
      <c r="H42" s="151"/>
      <c r="I42" s="154"/>
      <c r="J42" s="151"/>
      <c r="K42" s="155"/>
      <c r="L42" s="152"/>
      <c r="M42" s="153"/>
      <c r="N42" s="152"/>
      <c r="O42" s="153"/>
    </row>
    <row r="43" spans="1:15" ht="20.100000000000001" customHeight="1" x14ac:dyDescent="0.25">
      <c r="A43" s="1038"/>
      <c r="B43" s="1036"/>
      <c r="C43" s="1036"/>
      <c r="D43" s="1036"/>
      <c r="E43" s="1036"/>
      <c r="F43" s="150"/>
      <c r="G43" s="154"/>
      <c r="H43" s="151"/>
      <c r="I43" s="154"/>
      <c r="J43" s="151"/>
      <c r="K43" s="155"/>
      <c r="L43" s="152"/>
      <c r="M43" s="153"/>
      <c r="N43" s="152"/>
      <c r="O43" s="153"/>
    </row>
    <row r="44" spans="1:15" ht="20.100000000000001" customHeight="1" x14ac:dyDescent="0.25">
      <c r="A44" s="1038"/>
      <c r="B44" s="1036"/>
      <c r="C44" s="1036"/>
      <c r="D44" s="1036"/>
      <c r="E44" s="1036"/>
      <c r="F44" s="150"/>
      <c r="G44" s="154"/>
      <c r="H44" s="151"/>
      <c r="I44" s="154"/>
      <c r="J44" s="151"/>
      <c r="K44" s="155"/>
      <c r="L44" s="152"/>
      <c r="M44" s="153"/>
      <c r="N44" s="152"/>
      <c r="O44" s="153"/>
    </row>
    <row r="45" spans="1:15" ht="20.100000000000001" customHeight="1" x14ac:dyDescent="0.25">
      <c r="A45" s="1038"/>
      <c r="B45" s="1036"/>
      <c r="C45" s="1036"/>
      <c r="D45" s="1036"/>
      <c r="E45" s="1036"/>
      <c r="F45" s="156"/>
      <c r="G45" s="157"/>
      <c r="H45" s="158"/>
      <c r="I45" s="157"/>
      <c r="J45" s="158"/>
      <c r="K45" s="159"/>
      <c r="L45" s="160"/>
      <c r="M45" s="161"/>
      <c r="N45" s="160"/>
      <c r="O45" s="161"/>
    </row>
    <row r="46" spans="1:15" ht="20.100000000000001" customHeight="1" x14ac:dyDescent="0.25">
      <c r="A46" s="1038"/>
      <c r="B46" s="1036"/>
      <c r="C46" s="1036"/>
      <c r="D46" s="1036"/>
      <c r="E46" s="1036"/>
      <c r="F46" s="163"/>
      <c r="G46" s="164"/>
      <c r="H46" s="165"/>
      <c r="I46" s="164"/>
      <c r="J46" s="165"/>
      <c r="K46" s="166"/>
      <c r="L46" s="167"/>
      <c r="M46" s="168"/>
      <c r="N46" s="167"/>
      <c r="O46" s="168"/>
    </row>
    <row r="47" spans="1:15" ht="20.100000000000001" customHeight="1" x14ac:dyDescent="0.25">
      <c r="A47" s="1038"/>
      <c r="B47" s="1037"/>
      <c r="C47" s="1037"/>
      <c r="D47" s="1037"/>
      <c r="E47" s="1037"/>
      <c r="F47" s="169" t="s">
        <v>86</v>
      </c>
      <c r="G47" s="170">
        <f>SUM(G42:G46)</f>
        <v>79000</v>
      </c>
      <c r="H47" s="171" t="s">
        <v>86</v>
      </c>
      <c r="I47" s="170">
        <f>SUM(I42:I46)</f>
        <v>0</v>
      </c>
      <c r="J47" s="171" t="s">
        <v>86</v>
      </c>
      <c r="K47" s="172">
        <f>SUM(K42:K46)</f>
        <v>0</v>
      </c>
      <c r="L47" s="173" t="s">
        <v>86</v>
      </c>
      <c r="M47" s="174">
        <f>SUM(M42:M46)</f>
        <v>0</v>
      </c>
      <c r="N47" s="173" t="s">
        <v>86</v>
      </c>
      <c r="O47" s="174">
        <f>SUM(O42:O46)</f>
        <v>0</v>
      </c>
    </row>
    <row r="48" spans="1:15" ht="20.100000000000001" customHeight="1" x14ac:dyDescent="0.25">
      <c r="A48" s="1038">
        <v>8</v>
      </c>
      <c r="B48" s="1036">
        <f>G53</f>
        <v>0</v>
      </c>
      <c r="C48" s="1036">
        <f>I53+K53</f>
        <v>0</v>
      </c>
      <c r="D48" s="1036">
        <f>M53</f>
        <v>0</v>
      </c>
      <c r="E48" s="1036">
        <f>O53</f>
        <v>0</v>
      </c>
      <c r="F48" s="150"/>
      <c r="G48" s="154"/>
      <c r="H48" s="151"/>
      <c r="I48" s="154"/>
      <c r="J48" s="151"/>
      <c r="K48" s="155"/>
      <c r="L48" s="152"/>
      <c r="M48" s="153"/>
      <c r="N48" s="152"/>
      <c r="O48" s="153"/>
    </row>
    <row r="49" spans="1:15" ht="20.100000000000001" customHeight="1" x14ac:dyDescent="0.25">
      <c r="A49" s="1038"/>
      <c r="B49" s="1036"/>
      <c r="C49" s="1036"/>
      <c r="D49" s="1036"/>
      <c r="E49" s="1036"/>
      <c r="F49" s="150"/>
      <c r="G49" s="154"/>
      <c r="H49" s="151"/>
      <c r="I49" s="154"/>
      <c r="J49" s="151"/>
      <c r="K49" s="155"/>
      <c r="L49" s="152"/>
      <c r="M49" s="153"/>
      <c r="N49" s="152"/>
      <c r="O49" s="153"/>
    </row>
    <row r="50" spans="1:15" ht="20.100000000000001" customHeight="1" x14ac:dyDescent="0.25">
      <c r="A50" s="1038"/>
      <c r="B50" s="1036"/>
      <c r="C50" s="1036"/>
      <c r="D50" s="1036"/>
      <c r="E50" s="1036"/>
      <c r="F50" s="150"/>
      <c r="G50" s="154"/>
      <c r="H50" s="151"/>
      <c r="I50" s="154"/>
      <c r="J50" s="151"/>
      <c r="K50" s="155"/>
      <c r="L50" s="152"/>
      <c r="M50" s="153"/>
      <c r="N50" s="152"/>
      <c r="O50" s="153"/>
    </row>
    <row r="51" spans="1:15" ht="20.100000000000001" customHeight="1" x14ac:dyDescent="0.25">
      <c r="A51" s="1038"/>
      <c r="B51" s="1036"/>
      <c r="C51" s="1036"/>
      <c r="D51" s="1036"/>
      <c r="E51" s="1036"/>
      <c r="F51" s="156"/>
      <c r="G51" s="157"/>
      <c r="H51" s="158"/>
      <c r="I51" s="157"/>
      <c r="J51" s="158"/>
      <c r="K51" s="159"/>
      <c r="L51" s="160"/>
      <c r="M51" s="161"/>
      <c r="N51" s="160"/>
      <c r="O51" s="161"/>
    </row>
    <row r="52" spans="1:15" ht="20.100000000000001" customHeight="1" x14ac:dyDescent="0.25">
      <c r="A52" s="1038"/>
      <c r="B52" s="1036"/>
      <c r="C52" s="1036"/>
      <c r="D52" s="1036"/>
      <c r="E52" s="1036"/>
      <c r="F52" s="163"/>
      <c r="G52" s="164"/>
      <c r="H52" s="165"/>
      <c r="I52" s="164"/>
      <c r="J52" s="165"/>
      <c r="K52" s="166"/>
      <c r="L52" s="167"/>
      <c r="M52" s="168"/>
      <c r="N52" s="167"/>
      <c r="O52" s="168"/>
    </row>
    <row r="53" spans="1:15" ht="20.100000000000001" customHeight="1" x14ac:dyDescent="0.25">
      <c r="A53" s="1038"/>
      <c r="B53" s="1037"/>
      <c r="C53" s="1037"/>
      <c r="D53" s="1037"/>
      <c r="E53" s="1037"/>
      <c r="F53" s="169" t="s">
        <v>86</v>
      </c>
      <c r="G53" s="170">
        <f>SUM(G48:G52)</f>
        <v>0</v>
      </c>
      <c r="H53" s="171" t="s">
        <v>86</v>
      </c>
      <c r="I53" s="170">
        <f>SUM(I48:I52)</f>
        <v>0</v>
      </c>
      <c r="J53" s="171" t="s">
        <v>86</v>
      </c>
      <c r="K53" s="172">
        <f>SUM(K48:K52)</f>
        <v>0</v>
      </c>
      <c r="L53" s="173" t="s">
        <v>86</v>
      </c>
      <c r="M53" s="174">
        <f>SUM(M48:M52)</f>
        <v>0</v>
      </c>
      <c r="N53" s="173" t="s">
        <v>86</v>
      </c>
      <c r="O53" s="174">
        <f>SUM(O48:O52)</f>
        <v>0</v>
      </c>
    </row>
    <row r="54" spans="1:15" ht="20.100000000000001" customHeight="1" x14ac:dyDescent="0.25">
      <c r="A54" s="1038">
        <v>9</v>
      </c>
      <c r="B54" s="1036">
        <f>G59</f>
        <v>0</v>
      </c>
      <c r="C54" s="1036">
        <f>I59+K59</f>
        <v>0</v>
      </c>
      <c r="D54" s="1036">
        <f>M59</f>
        <v>0</v>
      </c>
      <c r="E54" s="1036">
        <f>O59</f>
        <v>0</v>
      </c>
      <c r="F54" s="150"/>
      <c r="G54" s="154"/>
      <c r="H54" s="151"/>
      <c r="I54" s="154"/>
      <c r="J54" s="151"/>
      <c r="K54" s="155"/>
      <c r="L54" s="152"/>
      <c r="M54" s="153"/>
      <c r="N54" s="152"/>
      <c r="O54" s="153"/>
    </row>
    <row r="55" spans="1:15" ht="20.100000000000001" customHeight="1" x14ac:dyDescent="0.25">
      <c r="A55" s="1038"/>
      <c r="B55" s="1036"/>
      <c r="C55" s="1036"/>
      <c r="D55" s="1036"/>
      <c r="E55" s="1036"/>
      <c r="F55" s="150"/>
      <c r="G55" s="154"/>
      <c r="H55" s="151"/>
      <c r="I55" s="154"/>
      <c r="J55" s="151"/>
      <c r="K55" s="155"/>
      <c r="L55" s="152"/>
      <c r="M55" s="153"/>
      <c r="N55" s="152"/>
      <c r="O55" s="153"/>
    </row>
    <row r="56" spans="1:15" ht="20.100000000000001" customHeight="1" x14ac:dyDescent="0.25">
      <c r="A56" s="1038"/>
      <c r="B56" s="1036"/>
      <c r="C56" s="1036"/>
      <c r="D56" s="1036"/>
      <c r="E56" s="1036"/>
      <c r="F56" s="150"/>
      <c r="G56" s="154"/>
      <c r="H56" s="151"/>
      <c r="I56" s="154"/>
      <c r="J56" s="151"/>
      <c r="K56" s="155"/>
      <c r="L56" s="152"/>
      <c r="M56" s="153"/>
      <c r="N56" s="152"/>
      <c r="O56" s="153"/>
    </row>
    <row r="57" spans="1:15" ht="20.100000000000001" customHeight="1" x14ac:dyDescent="0.25">
      <c r="A57" s="1038"/>
      <c r="B57" s="1036"/>
      <c r="C57" s="1036"/>
      <c r="D57" s="1036"/>
      <c r="E57" s="1036"/>
      <c r="F57" s="156"/>
      <c r="G57" s="157"/>
      <c r="H57" s="158"/>
      <c r="I57" s="157"/>
      <c r="J57" s="158"/>
      <c r="K57" s="159"/>
      <c r="L57" s="160"/>
      <c r="M57" s="161"/>
      <c r="N57" s="160"/>
      <c r="O57" s="161"/>
    </row>
    <row r="58" spans="1:15" ht="20.100000000000001" customHeight="1" x14ac:dyDescent="0.25">
      <c r="A58" s="1038"/>
      <c r="B58" s="1036"/>
      <c r="C58" s="1036"/>
      <c r="D58" s="1036"/>
      <c r="E58" s="1036"/>
      <c r="F58" s="163"/>
      <c r="G58" s="164"/>
      <c r="H58" s="165"/>
      <c r="I58" s="164"/>
      <c r="J58" s="165"/>
      <c r="K58" s="166"/>
      <c r="L58" s="167"/>
      <c r="M58" s="168"/>
      <c r="N58" s="167"/>
      <c r="O58" s="168"/>
    </row>
    <row r="59" spans="1:15" ht="20.100000000000001" customHeight="1" x14ac:dyDescent="0.25">
      <c r="A59" s="1038"/>
      <c r="B59" s="1037"/>
      <c r="C59" s="1037"/>
      <c r="D59" s="1037"/>
      <c r="E59" s="1037"/>
      <c r="F59" s="169" t="s">
        <v>86</v>
      </c>
      <c r="G59" s="170">
        <f>SUM(G54:G58)</f>
        <v>0</v>
      </c>
      <c r="H59" s="171" t="s">
        <v>86</v>
      </c>
      <c r="I59" s="170">
        <f>SUM(I54:I58)</f>
        <v>0</v>
      </c>
      <c r="J59" s="171" t="s">
        <v>86</v>
      </c>
      <c r="K59" s="172">
        <f>SUM(K54:K58)</f>
        <v>0</v>
      </c>
      <c r="L59" s="173" t="s">
        <v>86</v>
      </c>
      <c r="M59" s="174">
        <f>SUM(M54:M58)</f>
        <v>0</v>
      </c>
      <c r="N59" s="173" t="s">
        <v>86</v>
      </c>
      <c r="O59" s="174">
        <f>SUM(O54:O58)</f>
        <v>0</v>
      </c>
    </row>
    <row r="60" spans="1:15" ht="20.100000000000001" customHeight="1" x14ac:dyDescent="0.25">
      <c r="A60" s="1038">
        <v>10</v>
      </c>
      <c r="B60" s="1036">
        <f>G65</f>
        <v>0</v>
      </c>
      <c r="C60" s="1036">
        <f>I65+K65</f>
        <v>0</v>
      </c>
      <c r="D60" s="1036">
        <f>M65</f>
        <v>0</v>
      </c>
      <c r="E60" s="1036">
        <f>O65</f>
        <v>0</v>
      </c>
      <c r="F60" s="150"/>
      <c r="G60" s="154"/>
      <c r="H60" s="151"/>
      <c r="I60" s="154"/>
      <c r="J60" s="151"/>
      <c r="K60" s="155"/>
      <c r="L60" s="152"/>
      <c r="M60" s="153"/>
      <c r="N60" s="152"/>
      <c r="O60" s="153"/>
    </row>
    <row r="61" spans="1:15" ht="20.100000000000001" customHeight="1" x14ac:dyDescent="0.25">
      <c r="A61" s="1038"/>
      <c r="B61" s="1036"/>
      <c r="C61" s="1036"/>
      <c r="D61" s="1036"/>
      <c r="E61" s="1036"/>
      <c r="F61" s="150"/>
      <c r="G61" s="154"/>
      <c r="H61" s="151"/>
      <c r="I61" s="154"/>
      <c r="J61" s="151"/>
      <c r="K61" s="155"/>
      <c r="L61" s="152"/>
      <c r="M61" s="153"/>
      <c r="N61" s="152"/>
      <c r="O61" s="153"/>
    </row>
    <row r="62" spans="1:15" ht="20.100000000000001" customHeight="1" x14ac:dyDescent="0.25">
      <c r="A62" s="1038"/>
      <c r="B62" s="1036"/>
      <c r="C62" s="1036"/>
      <c r="D62" s="1036"/>
      <c r="E62" s="1036"/>
      <c r="F62" s="150"/>
      <c r="G62" s="154"/>
      <c r="H62" s="151"/>
      <c r="I62" s="154"/>
      <c r="J62" s="151"/>
      <c r="K62" s="155"/>
      <c r="L62" s="152"/>
      <c r="M62" s="153"/>
      <c r="N62" s="152"/>
      <c r="O62" s="153"/>
    </row>
    <row r="63" spans="1:15" ht="20.100000000000001" customHeight="1" x14ac:dyDescent="0.25">
      <c r="A63" s="1038"/>
      <c r="B63" s="1036"/>
      <c r="C63" s="1036"/>
      <c r="D63" s="1036"/>
      <c r="E63" s="1036"/>
      <c r="F63" s="156"/>
      <c r="G63" s="157"/>
      <c r="H63" s="158"/>
      <c r="I63" s="157"/>
      <c r="J63" s="158"/>
      <c r="K63" s="159"/>
      <c r="L63" s="160"/>
      <c r="M63" s="161"/>
      <c r="N63" s="160"/>
      <c r="O63" s="161"/>
    </row>
    <row r="64" spans="1:15" ht="20.100000000000001" customHeight="1" x14ac:dyDescent="0.25">
      <c r="A64" s="1038"/>
      <c r="B64" s="1036"/>
      <c r="C64" s="1036"/>
      <c r="D64" s="1036"/>
      <c r="E64" s="1036"/>
      <c r="F64" s="163"/>
      <c r="G64" s="164"/>
      <c r="H64" s="165"/>
      <c r="I64" s="164"/>
      <c r="J64" s="165"/>
      <c r="K64" s="166"/>
      <c r="L64" s="167"/>
      <c r="M64" s="168"/>
      <c r="N64" s="167"/>
      <c r="O64" s="168"/>
    </row>
    <row r="65" spans="1:15" ht="20.100000000000001" customHeight="1" x14ac:dyDescent="0.25">
      <c r="A65" s="1038"/>
      <c r="B65" s="1037"/>
      <c r="C65" s="1037"/>
      <c r="D65" s="1037"/>
      <c r="E65" s="1037"/>
      <c r="F65" s="169" t="s">
        <v>86</v>
      </c>
      <c r="G65" s="170">
        <f>SUM(G60:G64)</f>
        <v>0</v>
      </c>
      <c r="H65" s="171" t="s">
        <v>86</v>
      </c>
      <c r="I65" s="170">
        <f>SUM(I60:I64)</f>
        <v>0</v>
      </c>
      <c r="J65" s="171" t="s">
        <v>86</v>
      </c>
      <c r="K65" s="172">
        <f>SUM(K60:K64)</f>
        <v>0</v>
      </c>
      <c r="L65" s="173" t="s">
        <v>86</v>
      </c>
      <c r="M65" s="174">
        <f>SUM(M60:M64)</f>
        <v>0</v>
      </c>
      <c r="N65" s="173" t="s">
        <v>86</v>
      </c>
      <c r="O65" s="174">
        <f>SUM(O60:O64)</f>
        <v>0</v>
      </c>
    </row>
    <row r="66" spans="1:15" ht="20.100000000000001" customHeight="1" x14ac:dyDescent="0.25">
      <c r="A66" s="1038">
        <v>11</v>
      </c>
      <c r="B66" s="1036">
        <f>G71</f>
        <v>0</v>
      </c>
      <c r="C66" s="1036">
        <f>I71+K71</f>
        <v>0</v>
      </c>
      <c r="D66" s="1036">
        <f>M71</f>
        <v>0</v>
      </c>
      <c r="E66" s="1036">
        <f>O71</f>
        <v>0</v>
      </c>
      <c r="F66" s="150"/>
      <c r="G66" s="154"/>
      <c r="H66" s="151"/>
      <c r="I66" s="154"/>
      <c r="J66" s="151"/>
      <c r="K66" s="155"/>
      <c r="L66" s="152"/>
      <c r="M66" s="153"/>
      <c r="N66" s="152"/>
      <c r="O66" s="153"/>
    </row>
    <row r="67" spans="1:15" ht="20.100000000000001" customHeight="1" x14ac:dyDescent="0.25">
      <c r="A67" s="1038"/>
      <c r="B67" s="1036"/>
      <c r="C67" s="1036"/>
      <c r="D67" s="1036"/>
      <c r="E67" s="1036"/>
      <c r="F67" s="150"/>
      <c r="G67" s="154"/>
      <c r="H67" s="151"/>
      <c r="I67" s="154"/>
      <c r="J67" s="151"/>
      <c r="K67" s="155"/>
      <c r="L67" s="152"/>
      <c r="M67" s="153"/>
      <c r="N67" s="152"/>
      <c r="O67" s="153"/>
    </row>
    <row r="68" spans="1:15" ht="20.100000000000001" customHeight="1" x14ac:dyDescent="0.25">
      <c r="A68" s="1038"/>
      <c r="B68" s="1036"/>
      <c r="C68" s="1036"/>
      <c r="D68" s="1036"/>
      <c r="E68" s="1036"/>
      <c r="F68" s="150"/>
      <c r="G68" s="154"/>
      <c r="H68" s="151"/>
      <c r="I68" s="154"/>
      <c r="J68" s="151"/>
      <c r="K68" s="155"/>
      <c r="L68" s="152"/>
      <c r="M68" s="153"/>
      <c r="N68" s="152"/>
      <c r="O68" s="153"/>
    </row>
    <row r="69" spans="1:15" ht="20.100000000000001" customHeight="1" x14ac:dyDescent="0.25">
      <c r="A69" s="1038"/>
      <c r="B69" s="1036"/>
      <c r="C69" s="1036"/>
      <c r="D69" s="1036"/>
      <c r="E69" s="1036"/>
      <c r="F69" s="156"/>
      <c r="G69" s="157"/>
      <c r="H69" s="158"/>
      <c r="I69" s="157"/>
      <c r="J69" s="158"/>
      <c r="K69" s="159"/>
      <c r="L69" s="160"/>
      <c r="M69" s="161"/>
      <c r="N69" s="160"/>
      <c r="O69" s="161"/>
    </row>
    <row r="70" spans="1:15" ht="20.100000000000001" customHeight="1" x14ac:dyDescent="0.25">
      <c r="A70" s="1038"/>
      <c r="B70" s="1036"/>
      <c r="C70" s="1036"/>
      <c r="D70" s="1036"/>
      <c r="E70" s="1036"/>
      <c r="F70" s="163"/>
      <c r="G70" s="164"/>
      <c r="H70" s="165"/>
      <c r="I70" s="164"/>
      <c r="J70" s="165"/>
      <c r="K70" s="166"/>
      <c r="L70" s="167"/>
      <c r="M70" s="168"/>
      <c r="N70" s="167"/>
      <c r="O70" s="168"/>
    </row>
    <row r="71" spans="1:15" ht="20.100000000000001" customHeight="1" x14ac:dyDescent="0.25">
      <c r="A71" s="1038"/>
      <c r="B71" s="1037"/>
      <c r="C71" s="1037"/>
      <c r="D71" s="1037"/>
      <c r="E71" s="1037"/>
      <c r="F71" s="169" t="s">
        <v>86</v>
      </c>
      <c r="G71" s="170">
        <f>SUM(G66:G70)</f>
        <v>0</v>
      </c>
      <c r="H71" s="171" t="s">
        <v>86</v>
      </c>
      <c r="I71" s="170">
        <f>SUM(I66:I70)</f>
        <v>0</v>
      </c>
      <c r="J71" s="171" t="s">
        <v>86</v>
      </c>
      <c r="K71" s="172">
        <f>SUM(K66:K70)</f>
        <v>0</v>
      </c>
      <c r="L71" s="173" t="s">
        <v>86</v>
      </c>
      <c r="M71" s="174">
        <f>SUM(M66:M70)</f>
        <v>0</v>
      </c>
      <c r="N71" s="173" t="s">
        <v>86</v>
      </c>
      <c r="O71" s="174">
        <f>SUM(O66:O70)</f>
        <v>0</v>
      </c>
    </row>
    <row r="72" spans="1:15" ht="20.100000000000001" customHeight="1" x14ac:dyDescent="0.25">
      <c r="A72" s="1038">
        <v>12</v>
      </c>
      <c r="B72" s="1036">
        <f>G77</f>
        <v>148350</v>
      </c>
      <c r="C72" s="1036">
        <f>I77+K77</f>
        <v>0</v>
      </c>
      <c r="D72" s="1036">
        <f>M77</f>
        <v>0</v>
      </c>
      <c r="E72" s="1036">
        <f>O77</f>
        <v>0</v>
      </c>
      <c r="F72" s="150" t="s">
        <v>554</v>
      </c>
      <c r="G72" s="154">
        <v>148350</v>
      </c>
      <c r="H72" s="151"/>
      <c r="I72" s="154"/>
      <c r="J72" s="151"/>
      <c r="K72" s="155"/>
      <c r="L72" s="152"/>
      <c r="M72" s="153"/>
      <c r="N72" s="152"/>
      <c r="O72" s="153"/>
    </row>
    <row r="73" spans="1:15" ht="20.100000000000001" customHeight="1" x14ac:dyDescent="0.25">
      <c r="A73" s="1038"/>
      <c r="B73" s="1036"/>
      <c r="C73" s="1036"/>
      <c r="D73" s="1036"/>
      <c r="E73" s="1036"/>
      <c r="F73" s="150"/>
      <c r="G73" s="154"/>
      <c r="H73" s="151"/>
      <c r="I73" s="154"/>
      <c r="J73" s="151"/>
      <c r="K73" s="155"/>
      <c r="L73" s="152"/>
      <c r="M73" s="153"/>
      <c r="N73" s="152"/>
      <c r="O73" s="153"/>
    </row>
    <row r="74" spans="1:15" ht="20.100000000000001" customHeight="1" x14ac:dyDescent="0.25">
      <c r="A74" s="1038"/>
      <c r="B74" s="1036"/>
      <c r="C74" s="1036"/>
      <c r="D74" s="1036"/>
      <c r="E74" s="1036"/>
      <c r="F74" s="150"/>
      <c r="G74" s="154"/>
      <c r="H74" s="151"/>
      <c r="I74" s="154"/>
      <c r="J74" s="151"/>
      <c r="K74" s="155"/>
      <c r="L74" s="152"/>
      <c r="M74" s="153"/>
      <c r="N74" s="152"/>
      <c r="O74" s="153"/>
    </row>
    <row r="75" spans="1:15" ht="20.100000000000001" customHeight="1" x14ac:dyDescent="0.25">
      <c r="A75" s="1038"/>
      <c r="B75" s="1036"/>
      <c r="C75" s="1036"/>
      <c r="D75" s="1036"/>
      <c r="E75" s="1036"/>
      <c r="F75" s="156"/>
      <c r="G75" s="157"/>
      <c r="H75" s="158"/>
      <c r="I75" s="157"/>
      <c r="J75" s="158"/>
      <c r="K75" s="159"/>
      <c r="L75" s="160"/>
      <c r="M75" s="161"/>
      <c r="N75" s="160"/>
      <c r="O75" s="161"/>
    </row>
    <row r="76" spans="1:15" ht="20.100000000000001" customHeight="1" x14ac:dyDescent="0.25">
      <c r="A76" s="1038"/>
      <c r="B76" s="1036"/>
      <c r="C76" s="1036"/>
      <c r="D76" s="1036"/>
      <c r="E76" s="1036"/>
      <c r="F76" s="163"/>
      <c r="G76" s="164"/>
      <c r="H76" s="165"/>
      <c r="I76" s="164"/>
      <c r="J76" s="165"/>
      <c r="K76" s="166"/>
      <c r="L76" s="167"/>
      <c r="M76" s="168"/>
      <c r="N76" s="167"/>
      <c r="O76" s="168"/>
    </row>
    <row r="77" spans="1:15" ht="20.100000000000001" customHeight="1" x14ac:dyDescent="0.25">
      <c r="A77" s="1038"/>
      <c r="B77" s="1037"/>
      <c r="C77" s="1037"/>
      <c r="D77" s="1037"/>
      <c r="E77" s="1037"/>
      <c r="F77" s="169" t="s">
        <v>86</v>
      </c>
      <c r="G77" s="170">
        <f>SUM(G72:G76)</f>
        <v>148350</v>
      </c>
      <c r="H77" s="171" t="s">
        <v>86</v>
      </c>
      <c r="I77" s="170">
        <f>SUM(I72:I76)</f>
        <v>0</v>
      </c>
      <c r="J77" s="171" t="s">
        <v>86</v>
      </c>
      <c r="K77" s="172">
        <f>SUM(K72:K76)</f>
        <v>0</v>
      </c>
      <c r="L77" s="173" t="s">
        <v>86</v>
      </c>
      <c r="M77" s="174">
        <f>SUM(M72:M76)</f>
        <v>0</v>
      </c>
      <c r="N77" s="173" t="s">
        <v>86</v>
      </c>
      <c r="O77" s="174">
        <f>SUM(O72:O76)</f>
        <v>0</v>
      </c>
    </row>
    <row r="78" spans="1:15" ht="20.100000000000001" customHeight="1" x14ac:dyDescent="0.25">
      <c r="A78" s="1038">
        <v>13</v>
      </c>
      <c r="B78" s="1036">
        <f>G83</f>
        <v>0</v>
      </c>
      <c r="C78" s="1036">
        <f>I83+K83</f>
        <v>0</v>
      </c>
      <c r="D78" s="1036">
        <f>M83</f>
        <v>0</v>
      </c>
      <c r="E78" s="1036">
        <f>O83</f>
        <v>0</v>
      </c>
      <c r="F78" s="150"/>
      <c r="G78" s="154"/>
      <c r="H78" s="151"/>
      <c r="I78" s="154"/>
      <c r="J78" s="151"/>
      <c r="K78" s="155"/>
      <c r="L78" s="152"/>
      <c r="M78" s="153"/>
      <c r="N78" s="152"/>
      <c r="O78" s="153"/>
    </row>
    <row r="79" spans="1:15" ht="20.100000000000001" customHeight="1" x14ac:dyDescent="0.25">
      <c r="A79" s="1038"/>
      <c r="B79" s="1036"/>
      <c r="C79" s="1036"/>
      <c r="D79" s="1036"/>
      <c r="E79" s="1036"/>
      <c r="F79" s="150"/>
      <c r="G79" s="154"/>
      <c r="H79" s="151"/>
      <c r="I79" s="154"/>
      <c r="J79" s="151"/>
      <c r="K79" s="155"/>
      <c r="L79" s="152"/>
      <c r="M79" s="153"/>
      <c r="N79" s="152"/>
      <c r="O79" s="153"/>
    </row>
    <row r="80" spans="1:15" ht="20.100000000000001" customHeight="1" x14ac:dyDescent="0.25">
      <c r="A80" s="1038"/>
      <c r="B80" s="1036"/>
      <c r="C80" s="1036"/>
      <c r="D80" s="1036"/>
      <c r="E80" s="1036"/>
      <c r="F80" s="150"/>
      <c r="G80" s="154"/>
      <c r="H80" s="151"/>
      <c r="I80" s="154"/>
      <c r="J80" s="151"/>
      <c r="K80" s="155"/>
      <c r="L80" s="152"/>
      <c r="M80" s="153"/>
      <c r="N80" s="152"/>
      <c r="O80" s="153"/>
    </row>
    <row r="81" spans="1:15" ht="20.100000000000001" customHeight="1" x14ac:dyDescent="0.25">
      <c r="A81" s="1038"/>
      <c r="B81" s="1036"/>
      <c r="C81" s="1036"/>
      <c r="D81" s="1036"/>
      <c r="E81" s="1036"/>
      <c r="F81" s="156"/>
      <c r="G81" s="157"/>
      <c r="H81" s="158"/>
      <c r="I81" s="157"/>
      <c r="J81" s="158"/>
      <c r="K81" s="159"/>
      <c r="L81" s="160"/>
      <c r="M81" s="161"/>
      <c r="N81" s="160"/>
      <c r="O81" s="161"/>
    </row>
    <row r="82" spans="1:15" ht="20.100000000000001" customHeight="1" x14ac:dyDescent="0.25">
      <c r="A82" s="1038"/>
      <c r="B82" s="1036"/>
      <c r="C82" s="1036"/>
      <c r="D82" s="1036"/>
      <c r="E82" s="1036"/>
      <c r="F82" s="163"/>
      <c r="G82" s="164"/>
      <c r="H82" s="165"/>
      <c r="I82" s="164"/>
      <c r="J82" s="165"/>
      <c r="K82" s="166"/>
      <c r="L82" s="167"/>
      <c r="M82" s="168"/>
      <c r="N82" s="167"/>
      <c r="O82" s="168"/>
    </row>
    <row r="83" spans="1:15" ht="20.100000000000001" customHeight="1" x14ac:dyDescent="0.25">
      <c r="A83" s="1038"/>
      <c r="B83" s="1037"/>
      <c r="C83" s="1037"/>
      <c r="D83" s="1037"/>
      <c r="E83" s="1037"/>
      <c r="F83" s="169" t="s">
        <v>86</v>
      </c>
      <c r="G83" s="170">
        <f>SUM(G78:G82)</f>
        <v>0</v>
      </c>
      <c r="H83" s="171" t="s">
        <v>86</v>
      </c>
      <c r="I83" s="170">
        <f>SUM(I78:I82)</f>
        <v>0</v>
      </c>
      <c r="J83" s="171" t="s">
        <v>86</v>
      </c>
      <c r="K83" s="172">
        <f>SUM(K78:K82)</f>
        <v>0</v>
      </c>
      <c r="L83" s="173" t="s">
        <v>86</v>
      </c>
      <c r="M83" s="174">
        <f>SUM(M78:M82)</f>
        <v>0</v>
      </c>
      <c r="N83" s="173" t="s">
        <v>86</v>
      </c>
      <c r="O83" s="174">
        <f>SUM(O78:O82)</f>
        <v>0</v>
      </c>
    </row>
    <row r="84" spans="1:15" ht="20.100000000000001" customHeight="1" x14ac:dyDescent="0.25">
      <c r="A84" s="1038">
        <v>14</v>
      </c>
      <c r="B84" s="1036">
        <f>G89</f>
        <v>0</v>
      </c>
      <c r="C84" s="1036">
        <f>I89+K89</f>
        <v>0</v>
      </c>
      <c r="D84" s="1036">
        <f>M89</f>
        <v>0</v>
      </c>
      <c r="E84" s="1036">
        <f>O89</f>
        <v>0</v>
      </c>
      <c r="F84" s="150"/>
      <c r="G84" s="154"/>
      <c r="H84" s="151"/>
      <c r="I84" s="154"/>
      <c r="J84" s="151"/>
      <c r="K84" s="155"/>
      <c r="L84" s="152"/>
      <c r="M84" s="153"/>
      <c r="N84" s="152"/>
      <c r="O84" s="153"/>
    </row>
    <row r="85" spans="1:15" ht="20.100000000000001" customHeight="1" x14ac:dyDescent="0.25">
      <c r="A85" s="1038"/>
      <c r="B85" s="1036"/>
      <c r="C85" s="1036"/>
      <c r="D85" s="1036"/>
      <c r="E85" s="1036"/>
      <c r="F85" s="150"/>
      <c r="G85" s="154"/>
      <c r="H85" s="151"/>
      <c r="I85" s="154"/>
      <c r="J85" s="151"/>
      <c r="K85" s="155"/>
      <c r="L85" s="152"/>
      <c r="M85" s="153"/>
      <c r="N85" s="152"/>
      <c r="O85" s="153"/>
    </row>
    <row r="86" spans="1:15" ht="20.100000000000001" customHeight="1" x14ac:dyDescent="0.25">
      <c r="A86" s="1038"/>
      <c r="B86" s="1036"/>
      <c r="C86" s="1036"/>
      <c r="D86" s="1036"/>
      <c r="E86" s="1036"/>
      <c r="F86" s="150"/>
      <c r="G86" s="154"/>
      <c r="H86" s="151"/>
      <c r="I86" s="154"/>
      <c r="J86" s="151"/>
      <c r="K86" s="155"/>
      <c r="L86" s="152"/>
      <c r="M86" s="153"/>
      <c r="N86" s="152"/>
      <c r="O86" s="153"/>
    </row>
    <row r="87" spans="1:15" ht="20.100000000000001" customHeight="1" x14ac:dyDescent="0.25">
      <c r="A87" s="1038"/>
      <c r="B87" s="1036"/>
      <c r="C87" s="1036"/>
      <c r="D87" s="1036"/>
      <c r="E87" s="1036"/>
      <c r="F87" s="156"/>
      <c r="G87" s="157"/>
      <c r="H87" s="158"/>
      <c r="I87" s="157"/>
      <c r="J87" s="158"/>
      <c r="K87" s="159"/>
      <c r="L87" s="160"/>
      <c r="M87" s="161"/>
      <c r="N87" s="160"/>
      <c r="O87" s="161"/>
    </row>
    <row r="88" spans="1:15" ht="20.100000000000001" customHeight="1" x14ac:dyDescent="0.25">
      <c r="A88" s="1038"/>
      <c r="B88" s="1036"/>
      <c r="C88" s="1036"/>
      <c r="D88" s="1036"/>
      <c r="E88" s="1036"/>
      <c r="F88" s="163"/>
      <c r="G88" s="164"/>
      <c r="H88" s="165"/>
      <c r="I88" s="164"/>
      <c r="J88" s="165"/>
      <c r="K88" s="166"/>
      <c r="L88" s="167"/>
      <c r="M88" s="168"/>
      <c r="N88" s="167"/>
      <c r="O88" s="168"/>
    </row>
    <row r="89" spans="1:15" ht="20.100000000000001" customHeight="1" x14ac:dyDescent="0.25">
      <c r="A89" s="1038"/>
      <c r="B89" s="1037"/>
      <c r="C89" s="1037"/>
      <c r="D89" s="1037"/>
      <c r="E89" s="1037"/>
      <c r="F89" s="169" t="s">
        <v>86</v>
      </c>
      <c r="G89" s="170">
        <f>SUM(G84:G88)</f>
        <v>0</v>
      </c>
      <c r="H89" s="171" t="s">
        <v>86</v>
      </c>
      <c r="I89" s="170">
        <f>SUM(I84:I88)</f>
        <v>0</v>
      </c>
      <c r="J89" s="171" t="s">
        <v>86</v>
      </c>
      <c r="K89" s="172">
        <f>SUM(K84:K88)</f>
        <v>0</v>
      </c>
      <c r="L89" s="173" t="s">
        <v>86</v>
      </c>
      <c r="M89" s="174">
        <f>SUM(M84:M88)</f>
        <v>0</v>
      </c>
      <c r="N89" s="173" t="s">
        <v>86</v>
      </c>
      <c r="O89" s="174">
        <f>SUM(O84:O88)</f>
        <v>0</v>
      </c>
    </row>
    <row r="90" spans="1:15" ht="20.100000000000001" customHeight="1" x14ac:dyDescent="0.25">
      <c r="A90" s="1038">
        <v>15</v>
      </c>
      <c r="B90" s="1036">
        <f>G95</f>
        <v>0</v>
      </c>
      <c r="C90" s="1036">
        <f>I95+K95</f>
        <v>0</v>
      </c>
      <c r="D90" s="1036">
        <f>M95</f>
        <v>0</v>
      </c>
      <c r="E90" s="1036">
        <f>O95</f>
        <v>0</v>
      </c>
      <c r="F90" s="150"/>
      <c r="G90" s="154"/>
      <c r="H90" s="151"/>
      <c r="I90" s="154"/>
      <c r="J90" s="151"/>
      <c r="K90" s="155"/>
      <c r="L90" s="152"/>
      <c r="M90" s="153"/>
      <c r="N90" s="152"/>
      <c r="O90" s="153"/>
    </row>
    <row r="91" spans="1:15" ht="20.100000000000001" customHeight="1" x14ac:dyDescent="0.25">
      <c r="A91" s="1038"/>
      <c r="B91" s="1036"/>
      <c r="C91" s="1036"/>
      <c r="D91" s="1036"/>
      <c r="E91" s="1036"/>
      <c r="F91" s="150"/>
      <c r="G91" s="154"/>
      <c r="H91" s="151"/>
      <c r="I91" s="154"/>
      <c r="J91" s="151"/>
      <c r="K91" s="155"/>
      <c r="L91" s="152"/>
      <c r="M91" s="153"/>
      <c r="N91" s="152"/>
      <c r="O91" s="153"/>
    </row>
    <row r="92" spans="1:15" ht="20.100000000000001" customHeight="1" x14ac:dyDescent="0.25">
      <c r="A92" s="1038"/>
      <c r="B92" s="1036"/>
      <c r="C92" s="1036"/>
      <c r="D92" s="1036"/>
      <c r="E92" s="1036"/>
      <c r="F92" s="150"/>
      <c r="G92" s="154"/>
      <c r="H92" s="151"/>
      <c r="I92" s="154"/>
      <c r="J92" s="151"/>
      <c r="K92" s="155"/>
      <c r="L92" s="152"/>
      <c r="M92" s="153"/>
      <c r="N92" s="152"/>
      <c r="O92" s="153"/>
    </row>
    <row r="93" spans="1:15" ht="20.100000000000001" customHeight="1" x14ac:dyDescent="0.25">
      <c r="A93" s="1038"/>
      <c r="B93" s="1036"/>
      <c r="C93" s="1036"/>
      <c r="D93" s="1036"/>
      <c r="E93" s="1036"/>
      <c r="F93" s="156"/>
      <c r="G93" s="157"/>
      <c r="H93" s="158"/>
      <c r="I93" s="157"/>
      <c r="J93" s="158"/>
      <c r="K93" s="159"/>
      <c r="L93" s="160"/>
      <c r="M93" s="161"/>
      <c r="N93" s="160"/>
      <c r="O93" s="161"/>
    </row>
    <row r="94" spans="1:15" ht="20.100000000000001" customHeight="1" x14ac:dyDescent="0.25">
      <c r="A94" s="1038"/>
      <c r="B94" s="1036"/>
      <c r="C94" s="1036"/>
      <c r="D94" s="1036"/>
      <c r="E94" s="1036"/>
      <c r="F94" s="163"/>
      <c r="G94" s="164"/>
      <c r="H94" s="165"/>
      <c r="I94" s="164"/>
      <c r="J94" s="165"/>
      <c r="K94" s="166"/>
      <c r="L94" s="167"/>
      <c r="M94" s="168"/>
      <c r="N94" s="167"/>
      <c r="O94" s="168"/>
    </row>
    <row r="95" spans="1:15" ht="20.100000000000001" customHeight="1" x14ac:dyDescent="0.25">
      <c r="A95" s="1038"/>
      <c r="B95" s="1037"/>
      <c r="C95" s="1037"/>
      <c r="D95" s="1037"/>
      <c r="E95" s="1037"/>
      <c r="F95" s="169" t="s">
        <v>86</v>
      </c>
      <c r="G95" s="170">
        <f>SUM(G90:G94)</f>
        <v>0</v>
      </c>
      <c r="H95" s="171" t="s">
        <v>86</v>
      </c>
      <c r="I95" s="170">
        <f>SUM(I90:I94)</f>
        <v>0</v>
      </c>
      <c r="J95" s="171" t="s">
        <v>86</v>
      </c>
      <c r="K95" s="172">
        <f>SUM(K90:K94)</f>
        <v>0</v>
      </c>
      <c r="L95" s="173" t="s">
        <v>86</v>
      </c>
      <c r="M95" s="174">
        <f>SUM(M90:M94)</f>
        <v>0</v>
      </c>
      <c r="N95" s="173" t="s">
        <v>86</v>
      </c>
      <c r="O95" s="174">
        <f>SUM(O90:O94)</f>
        <v>0</v>
      </c>
    </row>
    <row r="96" spans="1:15" ht="20.100000000000001" customHeight="1" x14ac:dyDescent="0.25">
      <c r="A96" s="1038">
        <v>16</v>
      </c>
      <c r="B96" s="1036">
        <f>G101</f>
        <v>0</v>
      </c>
      <c r="C96" s="1036">
        <f>I101+K101</f>
        <v>0</v>
      </c>
      <c r="D96" s="1036">
        <f>M101</f>
        <v>0</v>
      </c>
      <c r="E96" s="1036">
        <f>O101</f>
        <v>0</v>
      </c>
      <c r="F96" s="150"/>
      <c r="G96" s="154"/>
      <c r="H96" s="151"/>
      <c r="I96" s="154"/>
      <c r="J96" s="151"/>
      <c r="K96" s="155"/>
      <c r="L96" s="152"/>
      <c r="M96" s="153"/>
      <c r="N96" s="152"/>
      <c r="O96" s="153"/>
    </row>
    <row r="97" spans="1:15" ht="20.100000000000001" customHeight="1" x14ac:dyDescent="0.25">
      <c r="A97" s="1038"/>
      <c r="B97" s="1036"/>
      <c r="C97" s="1036"/>
      <c r="D97" s="1036"/>
      <c r="E97" s="1036"/>
      <c r="F97" s="150"/>
      <c r="G97" s="154"/>
      <c r="H97" s="151"/>
      <c r="I97" s="154"/>
      <c r="J97" s="151"/>
      <c r="K97" s="155"/>
      <c r="L97" s="152"/>
      <c r="M97" s="153"/>
      <c r="N97" s="152"/>
      <c r="O97" s="153"/>
    </row>
    <row r="98" spans="1:15" ht="20.100000000000001" customHeight="1" x14ac:dyDescent="0.25">
      <c r="A98" s="1038"/>
      <c r="B98" s="1036"/>
      <c r="C98" s="1036"/>
      <c r="D98" s="1036"/>
      <c r="E98" s="1036"/>
      <c r="F98" s="150"/>
      <c r="G98" s="154"/>
      <c r="H98" s="151"/>
      <c r="I98" s="154"/>
      <c r="J98" s="151"/>
      <c r="K98" s="155"/>
      <c r="L98" s="152"/>
      <c r="M98" s="153"/>
      <c r="N98" s="152"/>
      <c r="O98" s="153"/>
    </row>
    <row r="99" spans="1:15" ht="20.100000000000001" customHeight="1" x14ac:dyDescent="0.25">
      <c r="A99" s="1038"/>
      <c r="B99" s="1036"/>
      <c r="C99" s="1036"/>
      <c r="D99" s="1036"/>
      <c r="E99" s="1036"/>
      <c r="F99" s="156"/>
      <c r="G99" s="157"/>
      <c r="H99" s="158"/>
      <c r="I99" s="157"/>
      <c r="J99" s="158"/>
      <c r="K99" s="159"/>
      <c r="L99" s="160"/>
      <c r="M99" s="161"/>
      <c r="N99" s="160"/>
      <c r="O99" s="161"/>
    </row>
    <row r="100" spans="1:15" ht="20.100000000000001" customHeight="1" x14ac:dyDescent="0.25">
      <c r="A100" s="1038"/>
      <c r="B100" s="1036"/>
      <c r="C100" s="1036"/>
      <c r="D100" s="1036"/>
      <c r="E100" s="1036"/>
      <c r="F100" s="163"/>
      <c r="G100" s="164"/>
      <c r="H100" s="165"/>
      <c r="I100" s="164"/>
      <c r="J100" s="165"/>
      <c r="K100" s="166"/>
      <c r="L100" s="167"/>
      <c r="M100" s="168"/>
      <c r="N100" s="167"/>
      <c r="O100" s="168"/>
    </row>
    <row r="101" spans="1:15" ht="20.100000000000001" customHeight="1" x14ac:dyDescent="0.25">
      <c r="A101" s="1038"/>
      <c r="B101" s="1037"/>
      <c r="C101" s="1037"/>
      <c r="D101" s="1037"/>
      <c r="E101" s="1037"/>
      <c r="F101" s="169" t="s">
        <v>86</v>
      </c>
      <c r="G101" s="170">
        <f>SUM(G96:G100)</f>
        <v>0</v>
      </c>
      <c r="H101" s="171" t="s">
        <v>86</v>
      </c>
      <c r="I101" s="170">
        <f>SUM(I96:I100)</f>
        <v>0</v>
      </c>
      <c r="J101" s="171" t="s">
        <v>86</v>
      </c>
      <c r="K101" s="172">
        <f>SUM(K96:K100)</f>
        <v>0</v>
      </c>
      <c r="L101" s="173" t="s">
        <v>86</v>
      </c>
      <c r="M101" s="174">
        <f>SUM(M96:M100)</f>
        <v>0</v>
      </c>
      <c r="N101" s="173" t="s">
        <v>86</v>
      </c>
      <c r="O101" s="174">
        <f>SUM(O96:O100)</f>
        <v>0</v>
      </c>
    </row>
    <row r="102" spans="1:15" ht="20.100000000000001" customHeight="1" x14ac:dyDescent="0.25">
      <c r="A102" s="1038">
        <v>17</v>
      </c>
      <c r="B102" s="1036">
        <f>G107</f>
        <v>0</v>
      </c>
      <c r="C102" s="1036">
        <f>I107+K107</f>
        <v>0</v>
      </c>
      <c r="D102" s="1036">
        <f>M107</f>
        <v>0</v>
      </c>
      <c r="E102" s="1036">
        <f>O107</f>
        <v>0</v>
      </c>
      <c r="F102" s="150"/>
      <c r="G102" s="154"/>
      <c r="H102" s="151"/>
      <c r="I102" s="154"/>
      <c r="J102" s="151"/>
      <c r="K102" s="155"/>
      <c r="L102" s="152"/>
      <c r="M102" s="153"/>
      <c r="N102" s="152"/>
      <c r="O102" s="153"/>
    </row>
    <row r="103" spans="1:15" ht="20.100000000000001" customHeight="1" x14ac:dyDescent="0.25">
      <c r="A103" s="1038"/>
      <c r="B103" s="1036"/>
      <c r="C103" s="1036"/>
      <c r="D103" s="1036"/>
      <c r="E103" s="1036"/>
      <c r="F103" s="150"/>
      <c r="G103" s="154"/>
      <c r="H103" s="151"/>
      <c r="I103" s="154"/>
      <c r="J103" s="151"/>
      <c r="K103" s="155"/>
      <c r="L103" s="152"/>
      <c r="M103" s="153"/>
      <c r="N103" s="152"/>
      <c r="O103" s="153"/>
    </row>
    <row r="104" spans="1:15" ht="20.100000000000001" customHeight="1" x14ac:dyDescent="0.25">
      <c r="A104" s="1038"/>
      <c r="B104" s="1036"/>
      <c r="C104" s="1036"/>
      <c r="D104" s="1036"/>
      <c r="E104" s="1036"/>
      <c r="F104" s="150"/>
      <c r="G104" s="154"/>
      <c r="H104" s="151"/>
      <c r="I104" s="154"/>
      <c r="J104" s="151"/>
      <c r="K104" s="155"/>
      <c r="L104" s="152"/>
      <c r="M104" s="153"/>
      <c r="N104" s="152"/>
      <c r="O104" s="153"/>
    </row>
    <row r="105" spans="1:15" ht="20.100000000000001" customHeight="1" x14ac:dyDescent="0.25">
      <c r="A105" s="1038"/>
      <c r="B105" s="1036"/>
      <c r="C105" s="1036"/>
      <c r="D105" s="1036"/>
      <c r="E105" s="1036"/>
      <c r="F105" s="156"/>
      <c r="G105" s="157"/>
      <c r="H105" s="158"/>
      <c r="I105" s="157"/>
      <c r="J105" s="158"/>
      <c r="K105" s="159"/>
      <c r="L105" s="160"/>
      <c r="M105" s="161"/>
      <c r="N105" s="160"/>
      <c r="O105" s="161"/>
    </row>
    <row r="106" spans="1:15" ht="20.100000000000001" customHeight="1" x14ac:dyDescent="0.25">
      <c r="A106" s="1038"/>
      <c r="B106" s="1036"/>
      <c r="C106" s="1036"/>
      <c r="D106" s="1036"/>
      <c r="E106" s="1036"/>
      <c r="F106" s="163"/>
      <c r="G106" s="164"/>
      <c r="H106" s="165"/>
      <c r="I106" s="164"/>
      <c r="J106" s="165"/>
      <c r="K106" s="166"/>
      <c r="L106" s="167"/>
      <c r="M106" s="168"/>
      <c r="N106" s="167"/>
      <c r="O106" s="168"/>
    </row>
    <row r="107" spans="1:15" ht="20.100000000000001" customHeight="1" x14ac:dyDescent="0.25">
      <c r="A107" s="1038"/>
      <c r="B107" s="1037"/>
      <c r="C107" s="1037"/>
      <c r="D107" s="1037"/>
      <c r="E107" s="1037"/>
      <c r="F107" s="169" t="s">
        <v>86</v>
      </c>
      <c r="G107" s="170">
        <f>SUM(G102:G106)</f>
        <v>0</v>
      </c>
      <c r="H107" s="171" t="s">
        <v>86</v>
      </c>
      <c r="I107" s="170">
        <f>SUM(I102:I106)</f>
        <v>0</v>
      </c>
      <c r="J107" s="171" t="s">
        <v>86</v>
      </c>
      <c r="K107" s="172">
        <f>SUM(K102:K106)</f>
        <v>0</v>
      </c>
      <c r="L107" s="173" t="s">
        <v>86</v>
      </c>
      <c r="M107" s="174">
        <f>SUM(M102:M106)</f>
        <v>0</v>
      </c>
      <c r="N107" s="173" t="s">
        <v>86</v>
      </c>
      <c r="O107" s="174">
        <f>SUM(O102:O106)</f>
        <v>0</v>
      </c>
    </row>
    <row r="108" spans="1:15" ht="20.100000000000001" customHeight="1" x14ac:dyDescent="0.25">
      <c r="A108" s="1038">
        <v>18</v>
      </c>
      <c r="B108" s="1036">
        <f>G113</f>
        <v>0</v>
      </c>
      <c r="C108" s="1036">
        <f>I113+K113</f>
        <v>0</v>
      </c>
      <c r="D108" s="1036">
        <f>M113</f>
        <v>0</v>
      </c>
      <c r="E108" s="1036">
        <f>O113</f>
        <v>0</v>
      </c>
      <c r="F108" s="150"/>
      <c r="G108" s="154"/>
      <c r="H108" s="151"/>
      <c r="I108" s="154"/>
      <c r="J108" s="151"/>
      <c r="K108" s="155"/>
      <c r="L108" s="152"/>
      <c r="M108" s="153"/>
      <c r="N108" s="152"/>
      <c r="O108" s="153"/>
    </row>
    <row r="109" spans="1:15" ht="20.100000000000001" customHeight="1" x14ac:dyDescent="0.25">
      <c r="A109" s="1038"/>
      <c r="B109" s="1036"/>
      <c r="C109" s="1036"/>
      <c r="D109" s="1036"/>
      <c r="E109" s="1036"/>
      <c r="F109" s="150"/>
      <c r="G109" s="154"/>
      <c r="H109" s="151"/>
      <c r="I109" s="154"/>
      <c r="J109" s="151"/>
      <c r="K109" s="155"/>
      <c r="L109" s="152"/>
      <c r="M109" s="153"/>
      <c r="N109" s="152"/>
      <c r="O109" s="153"/>
    </row>
    <row r="110" spans="1:15" ht="20.100000000000001" customHeight="1" x14ac:dyDescent="0.25">
      <c r="A110" s="1038"/>
      <c r="B110" s="1036"/>
      <c r="C110" s="1036"/>
      <c r="D110" s="1036"/>
      <c r="E110" s="1036"/>
      <c r="F110" s="150"/>
      <c r="G110" s="154"/>
      <c r="H110" s="151"/>
      <c r="I110" s="154"/>
      <c r="J110" s="151"/>
      <c r="K110" s="155"/>
      <c r="L110" s="152"/>
      <c r="M110" s="153"/>
      <c r="N110" s="152"/>
      <c r="O110" s="153"/>
    </row>
    <row r="111" spans="1:15" ht="20.100000000000001" customHeight="1" x14ac:dyDescent="0.25">
      <c r="A111" s="1038"/>
      <c r="B111" s="1036"/>
      <c r="C111" s="1036"/>
      <c r="D111" s="1036"/>
      <c r="E111" s="1036"/>
      <c r="F111" s="156"/>
      <c r="G111" s="157"/>
      <c r="H111" s="158"/>
      <c r="I111" s="157"/>
      <c r="J111" s="158"/>
      <c r="K111" s="159"/>
      <c r="L111" s="160"/>
      <c r="M111" s="161"/>
      <c r="N111" s="160"/>
      <c r="O111" s="161"/>
    </row>
    <row r="112" spans="1:15" ht="20.100000000000001" customHeight="1" x14ac:dyDescent="0.25">
      <c r="A112" s="1038"/>
      <c r="B112" s="1036"/>
      <c r="C112" s="1036"/>
      <c r="D112" s="1036"/>
      <c r="E112" s="1036"/>
      <c r="F112" s="163"/>
      <c r="G112" s="164"/>
      <c r="H112" s="165"/>
      <c r="I112" s="164"/>
      <c r="J112" s="165"/>
      <c r="K112" s="166"/>
      <c r="L112" s="167"/>
      <c r="M112" s="168"/>
      <c r="N112" s="167"/>
      <c r="O112" s="168"/>
    </row>
    <row r="113" spans="1:15" ht="20.100000000000001" customHeight="1" x14ac:dyDescent="0.25">
      <c r="A113" s="1038"/>
      <c r="B113" s="1037"/>
      <c r="C113" s="1037"/>
      <c r="D113" s="1037"/>
      <c r="E113" s="1037"/>
      <c r="F113" s="169" t="s">
        <v>86</v>
      </c>
      <c r="G113" s="170">
        <f>SUM(G108:G112)</f>
        <v>0</v>
      </c>
      <c r="H113" s="171" t="s">
        <v>86</v>
      </c>
      <c r="I113" s="170">
        <f>SUM(I108:I112)</f>
        <v>0</v>
      </c>
      <c r="J113" s="171" t="s">
        <v>86</v>
      </c>
      <c r="K113" s="172">
        <f>SUM(K108:K112)</f>
        <v>0</v>
      </c>
      <c r="L113" s="173" t="s">
        <v>86</v>
      </c>
      <c r="M113" s="174">
        <f>SUM(M108:M112)</f>
        <v>0</v>
      </c>
      <c r="N113" s="173" t="s">
        <v>86</v>
      </c>
      <c r="O113" s="174">
        <f>SUM(O108:O112)</f>
        <v>0</v>
      </c>
    </row>
    <row r="114" spans="1:15" ht="20.100000000000001" customHeight="1" x14ac:dyDescent="0.25">
      <c r="A114" s="1038">
        <v>19</v>
      </c>
      <c r="B114" s="1036">
        <f>G119</f>
        <v>0</v>
      </c>
      <c r="C114" s="1036">
        <f>I119+K119</f>
        <v>0</v>
      </c>
      <c r="D114" s="1036">
        <f>M119</f>
        <v>0</v>
      </c>
      <c r="E114" s="1036">
        <f>O119</f>
        <v>0</v>
      </c>
      <c r="F114" s="150"/>
      <c r="G114" s="154"/>
      <c r="H114" s="151"/>
      <c r="I114" s="154"/>
      <c r="J114" s="151"/>
      <c r="K114" s="155"/>
      <c r="L114" s="152"/>
      <c r="M114" s="153"/>
      <c r="N114" s="152"/>
      <c r="O114" s="153"/>
    </row>
    <row r="115" spans="1:15" ht="20.100000000000001" customHeight="1" x14ac:dyDescent="0.25">
      <c r="A115" s="1038"/>
      <c r="B115" s="1036"/>
      <c r="C115" s="1036"/>
      <c r="D115" s="1036"/>
      <c r="E115" s="1036"/>
      <c r="F115" s="150"/>
      <c r="G115" s="154"/>
      <c r="H115" s="151"/>
      <c r="I115" s="154"/>
      <c r="J115" s="151"/>
      <c r="K115" s="155"/>
      <c r="L115" s="152"/>
      <c r="M115" s="153"/>
      <c r="N115" s="152"/>
      <c r="O115" s="153"/>
    </row>
    <row r="116" spans="1:15" ht="20.100000000000001" customHeight="1" x14ac:dyDescent="0.25">
      <c r="A116" s="1038"/>
      <c r="B116" s="1036"/>
      <c r="C116" s="1036"/>
      <c r="D116" s="1036"/>
      <c r="E116" s="1036"/>
      <c r="F116" s="150"/>
      <c r="G116" s="154"/>
      <c r="H116" s="151"/>
      <c r="I116" s="154"/>
      <c r="J116" s="151"/>
      <c r="K116" s="155"/>
      <c r="L116" s="152"/>
      <c r="M116" s="153"/>
      <c r="N116" s="152"/>
      <c r="O116" s="153"/>
    </row>
    <row r="117" spans="1:15" ht="20.100000000000001" customHeight="1" x14ac:dyDescent="0.25">
      <c r="A117" s="1038"/>
      <c r="B117" s="1036"/>
      <c r="C117" s="1036"/>
      <c r="D117" s="1036"/>
      <c r="E117" s="1036"/>
      <c r="F117" s="156"/>
      <c r="G117" s="157"/>
      <c r="H117" s="158"/>
      <c r="I117" s="157"/>
      <c r="J117" s="158"/>
      <c r="K117" s="159"/>
      <c r="L117" s="160"/>
      <c r="M117" s="161"/>
      <c r="N117" s="160"/>
      <c r="O117" s="161"/>
    </row>
    <row r="118" spans="1:15" ht="20.100000000000001" customHeight="1" x14ac:dyDescent="0.25">
      <c r="A118" s="1038"/>
      <c r="B118" s="1036"/>
      <c r="C118" s="1036"/>
      <c r="D118" s="1036"/>
      <c r="E118" s="1036"/>
      <c r="F118" s="163"/>
      <c r="G118" s="164"/>
      <c r="H118" s="165"/>
      <c r="I118" s="164"/>
      <c r="J118" s="165"/>
      <c r="K118" s="166"/>
      <c r="L118" s="167"/>
      <c r="M118" s="168"/>
      <c r="N118" s="167"/>
      <c r="O118" s="168"/>
    </row>
    <row r="119" spans="1:15" ht="20.100000000000001" customHeight="1" x14ac:dyDescent="0.25">
      <c r="A119" s="1038"/>
      <c r="B119" s="1037"/>
      <c r="C119" s="1037"/>
      <c r="D119" s="1037"/>
      <c r="E119" s="1037"/>
      <c r="F119" s="169" t="s">
        <v>86</v>
      </c>
      <c r="G119" s="170">
        <f>SUM(G114:G118)</f>
        <v>0</v>
      </c>
      <c r="H119" s="171" t="s">
        <v>86</v>
      </c>
      <c r="I119" s="170">
        <f>SUM(I114:I118)</f>
        <v>0</v>
      </c>
      <c r="J119" s="171" t="s">
        <v>86</v>
      </c>
      <c r="K119" s="172">
        <f>SUM(K114:K118)</f>
        <v>0</v>
      </c>
      <c r="L119" s="173" t="s">
        <v>86</v>
      </c>
      <c r="M119" s="174">
        <f>SUM(M114:M118)</f>
        <v>0</v>
      </c>
      <c r="N119" s="173" t="s">
        <v>86</v>
      </c>
      <c r="O119" s="174">
        <f>SUM(O114:O118)</f>
        <v>0</v>
      </c>
    </row>
    <row r="120" spans="1:15" ht="20.100000000000001" customHeight="1" x14ac:dyDescent="0.25">
      <c r="A120" s="1038">
        <v>20</v>
      </c>
      <c r="B120" s="1036">
        <f>G125</f>
        <v>0</v>
      </c>
      <c r="C120" s="1036">
        <f>I125+K125</f>
        <v>0</v>
      </c>
      <c r="D120" s="1036">
        <f>M125</f>
        <v>0</v>
      </c>
      <c r="E120" s="1036">
        <f>O125</f>
        <v>0</v>
      </c>
      <c r="F120" s="150"/>
      <c r="G120" s="154"/>
      <c r="H120" s="151"/>
      <c r="I120" s="154"/>
      <c r="J120" s="151"/>
      <c r="K120" s="155"/>
      <c r="L120" s="152"/>
      <c r="M120" s="153"/>
      <c r="N120" s="152"/>
      <c r="O120" s="153"/>
    </row>
    <row r="121" spans="1:15" ht="20.100000000000001" customHeight="1" x14ac:dyDescent="0.25">
      <c r="A121" s="1038"/>
      <c r="B121" s="1036"/>
      <c r="C121" s="1036"/>
      <c r="D121" s="1036"/>
      <c r="E121" s="1036"/>
      <c r="F121" s="150"/>
      <c r="G121" s="154"/>
      <c r="H121" s="151"/>
      <c r="I121" s="154"/>
      <c r="J121" s="151"/>
      <c r="K121" s="155"/>
      <c r="L121" s="152"/>
      <c r="M121" s="153"/>
      <c r="N121" s="152"/>
      <c r="O121" s="153"/>
    </row>
    <row r="122" spans="1:15" ht="20.100000000000001" customHeight="1" x14ac:dyDescent="0.25">
      <c r="A122" s="1038"/>
      <c r="B122" s="1036"/>
      <c r="C122" s="1036"/>
      <c r="D122" s="1036"/>
      <c r="E122" s="1036"/>
      <c r="F122" s="150"/>
      <c r="G122" s="154"/>
      <c r="H122" s="151"/>
      <c r="I122" s="154"/>
      <c r="J122" s="151"/>
      <c r="K122" s="155"/>
      <c r="L122" s="152"/>
      <c r="M122" s="153"/>
      <c r="N122" s="152"/>
      <c r="O122" s="153"/>
    </row>
    <row r="123" spans="1:15" ht="20.100000000000001" customHeight="1" x14ac:dyDescent="0.25">
      <c r="A123" s="1038"/>
      <c r="B123" s="1036"/>
      <c r="C123" s="1036"/>
      <c r="D123" s="1036"/>
      <c r="E123" s="1036"/>
      <c r="F123" s="156"/>
      <c r="G123" s="157"/>
      <c r="H123" s="158"/>
      <c r="I123" s="157"/>
      <c r="J123" s="158"/>
      <c r="K123" s="159"/>
      <c r="L123" s="160"/>
      <c r="M123" s="161"/>
      <c r="N123" s="160"/>
      <c r="O123" s="161"/>
    </row>
    <row r="124" spans="1:15" ht="20.100000000000001" customHeight="1" x14ac:dyDescent="0.25">
      <c r="A124" s="1038"/>
      <c r="B124" s="1036"/>
      <c r="C124" s="1036"/>
      <c r="D124" s="1036"/>
      <c r="E124" s="1036"/>
      <c r="F124" s="163"/>
      <c r="G124" s="164"/>
      <c r="H124" s="165"/>
      <c r="I124" s="164"/>
      <c r="J124" s="165"/>
      <c r="K124" s="166"/>
      <c r="L124" s="167"/>
      <c r="M124" s="168"/>
      <c r="N124" s="167"/>
      <c r="O124" s="168"/>
    </row>
    <row r="125" spans="1:15" ht="20.100000000000001" customHeight="1" x14ac:dyDescent="0.25">
      <c r="A125" s="1038"/>
      <c r="B125" s="1037"/>
      <c r="C125" s="1037"/>
      <c r="D125" s="1037"/>
      <c r="E125" s="1037"/>
      <c r="F125" s="169" t="s">
        <v>86</v>
      </c>
      <c r="G125" s="170">
        <f>SUM(G120:G124)</f>
        <v>0</v>
      </c>
      <c r="H125" s="171" t="s">
        <v>86</v>
      </c>
      <c r="I125" s="170">
        <f>SUM(I120:I124)</f>
        <v>0</v>
      </c>
      <c r="J125" s="171" t="s">
        <v>86</v>
      </c>
      <c r="K125" s="172">
        <f>SUM(K120:K124)</f>
        <v>0</v>
      </c>
      <c r="L125" s="173" t="s">
        <v>86</v>
      </c>
      <c r="M125" s="174">
        <f>SUM(M120:M124)</f>
        <v>0</v>
      </c>
      <c r="N125" s="173" t="s">
        <v>86</v>
      </c>
      <c r="O125" s="174">
        <f>SUM(O120:O124)</f>
        <v>0</v>
      </c>
    </row>
    <row r="126" spans="1:15" ht="20.100000000000001" customHeight="1" x14ac:dyDescent="0.25">
      <c r="A126" s="1038">
        <v>21</v>
      </c>
      <c r="B126" s="1036">
        <f>G131</f>
        <v>0</v>
      </c>
      <c r="C126" s="1036">
        <f>I131+K131</f>
        <v>0</v>
      </c>
      <c r="D126" s="1036">
        <f>M131</f>
        <v>0</v>
      </c>
      <c r="E126" s="1036">
        <f>O131</f>
        <v>0</v>
      </c>
      <c r="F126" s="150"/>
      <c r="G126" s="154"/>
      <c r="H126" s="151"/>
      <c r="I126" s="154"/>
      <c r="J126" s="151"/>
      <c r="K126" s="155"/>
      <c r="L126" s="152"/>
      <c r="M126" s="153"/>
      <c r="N126" s="152"/>
      <c r="O126" s="153"/>
    </row>
    <row r="127" spans="1:15" ht="20.100000000000001" customHeight="1" x14ac:dyDescent="0.25">
      <c r="A127" s="1038"/>
      <c r="B127" s="1036"/>
      <c r="C127" s="1036"/>
      <c r="D127" s="1036"/>
      <c r="E127" s="1036"/>
      <c r="F127" s="150"/>
      <c r="G127" s="154"/>
      <c r="H127" s="151"/>
      <c r="I127" s="154"/>
      <c r="J127" s="151"/>
      <c r="K127" s="155"/>
      <c r="L127" s="152"/>
      <c r="M127" s="153"/>
      <c r="N127" s="152"/>
      <c r="O127" s="153"/>
    </row>
    <row r="128" spans="1:15" ht="20.100000000000001" customHeight="1" x14ac:dyDescent="0.25">
      <c r="A128" s="1038"/>
      <c r="B128" s="1036"/>
      <c r="C128" s="1036"/>
      <c r="D128" s="1036"/>
      <c r="E128" s="1036"/>
      <c r="F128" s="150"/>
      <c r="G128" s="154"/>
      <c r="H128" s="151"/>
      <c r="I128" s="154"/>
      <c r="J128" s="151"/>
      <c r="K128" s="155"/>
      <c r="L128" s="152"/>
      <c r="M128" s="153"/>
      <c r="N128" s="152"/>
      <c r="O128" s="153"/>
    </row>
    <row r="129" spans="1:15" ht="20.100000000000001" customHeight="1" x14ac:dyDescent="0.25">
      <c r="A129" s="1038"/>
      <c r="B129" s="1036"/>
      <c r="C129" s="1036"/>
      <c r="D129" s="1036"/>
      <c r="E129" s="1036"/>
      <c r="F129" s="156"/>
      <c r="G129" s="157"/>
      <c r="H129" s="158"/>
      <c r="I129" s="157"/>
      <c r="J129" s="158"/>
      <c r="K129" s="159"/>
      <c r="L129" s="160"/>
      <c r="M129" s="161"/>
      <c r="N129" s="160"/>
      <c r="O129" s="161"/>
    </row>
    <row r="130" spans="1:15" ht="20.100000000000001" customHeight="1" x14ac:dyDescent="0.25">
      <c r="A130" s="1038"/>
      <c r="B130" s="1036"/>
      <c r="C130" s="1036"/>
      <c r="D130" s="1036"/>
      <c r="E130" s="1036"/>
      <c r="F130" s="163"/>
      <c r="G130" s="164"/>
      <c r="H130" s="165"/>
      <c r="I130" s="164"/>
      <c r="J130" s="165"/>
      <c r="K130" s="166"/>
      <c r="L130" s="167"/>
      <c r="M130" s="168"/>
      <c r="N130" s="167"/>
      <c r="O130" s="168"/>
    </row>
    <row r="131" spans="1:15" ht="20.100000000000001" customHeight="1" x14ac:dyDescent="0.25">
      <c r="A131" s="1038"/>
      <c r="B131" s="1037"/>
      <c r="C131" s="1037"/>
      <c r="D131" s="1037"/>
      <c r="E131" s="1037"/>
      <c r="F131" s="169" t="s">
        <v>86</v>
      </c>
      <c r="G131" s="170">
        <f>SUM(G126:G130)</f>
        <v>0</v>
      </c>
      <c r="H131" s="171" t="s">
        <v>86</v>
      </c>
      <c r="I131" s="170">
        <f>SUM(I126:I130)</f>
        <v>0</v>
      </c>
      <c r="J131" s="171" t="s">
        <v>86</v>
      </c>
      <c r="K131" s="172">
        <f>SUM(K126:K130)</f>
        <v>0</v>
      </c>
      <c r="L131" s="173" t="s">
        <v>86</v>
      </c>
      <c r="M131" s="174">
        <f>SUM(M126:M130)</f>
        <v>0</v>
      </c>
      <c r="N131" s="173" t="s">
        <v>86</v>
      </c>
      <c r="O131" s="174">
        <f>SUM(O126:O130)</f>
        <v>0</v>
      </c>
    </row>
    <row r="132" spans="1:15" ht="20.100000000000001" customHeight="1" x14ac:dyDescent="0.25">
      <c r="A132" s="1038">
        <v>22</v>
      </c>
      <c r="B132" s="1036">
        <f>G137</f>
        <v>0</v>
      </c>
      <c r="C132" s="1036">
        <f>I137+K137</f>
        <v>0</v>
      </c>
      <c r="D132" s="1036">
        <f>M137</f>
        <v>0</v>
      </c>
      <c r="E132" s="1036">
        <f>O137</f>
        <v>0</v>
      </c>
      <c r="F132" s="150"/>
      <c r="G132" s="154"/>
      <c r="H132" s="151"/>
      <c r="I132" s="154"/>
      <c r="J132" s="151"/>
      <c r="K132" s="155"/>
      <c r="L132" s="152"/>
      <c r="M132" s="153"/>
      <c r="N132" s="152"/>
      <c r="O132" s="153"/>
    </row>
    <row r="133" spans="1:15" ht="20.100000000000001" customHeight="1" x14ac:dyDescent="0.25">
      <c r="A133" s="1038"/>
      <c r="B133" s="1036"/>
      <c r="C133" s="1036"/>
      <c r="D133" s="1036"/>
      <c r="E133" s="1036"/>
      <c r="F133" s="150"/>
      <c r="G133" s="154"/>
      <c r="H133" s="151"/>
      <c r="I133" s="154"/>
      <c r="J133" s="151"/>
      <c r="K133" s="155"/>
      <c r="L133" s="152"/>
      <c r="M133" s="153"/>
      <c r="N133" s="152"/>
      <c r="O133" s="153"/>
    </row>
    <row r="134" spans="1:15" ht="20.100000000000001" customHeight="1" x14ac:dyDescent="0.25">
      <c r="A134" s="1038"/>
      <c r="B134" s="1036"/>
      <c r="C134" s="1036"/>
      <c r="D134" s="1036"/>
      <c r="E134" s="1036"/>
      <c r="F134" s="150"/>
      <c r="G134" s="154"/>
      <c r="H134" s="151"/>
      <c r="I134" s="154"/>
      <c r="J134" s="151"/>
      <c r="K134" s="155"/>
      <c r="L134" s="152"/>
      <c r="M134" s="153"/>
      <c r="N134" s="152"/>
      <c r="O134" s="153"/>
    </row>
    <row r="135" spans="1:15" ht="20.100000000000001" customHeight="1" x14ac:dyDescent="0.25">
      <c r="A135" s="1038"/>
      <c r="B135" s="1036"/>
      <c r="C135" s="1036"/>
      <c r="D135" s="1036"/>
      <c r="E135" s="1036"/>
      <c r="F135" s="156"/>
      <c r="G135" s="157"/>
      <c r="H135" s="158"/>
      <c r="I135" s="157"/>
      <c r="J135" s="158"/>
      <c r="K135" s="159"/>
      <c r="L135" s="160"/>
      <c r="M135" s="161"/>
      <c r="N135" s="160"/>
      <c r="O135" s="161"/>
    </row>
    <row r="136" spans="1:15" ht="20.100000000000001" customHeight="1" x14ac:dyDescent="0.25">
      <c r="A136" s="1038"/>
      <c r="B136" s="1036"/>
      <c r="C136" s="1036"/>
      <c r="D136" s="1036"/>
      <c r="E136" s="1036"/>
      <c r="F136" s="163"/>
      <c r="G136" s="164"/>
      <c r="H136" s="165"/>
      <c r="I136" s="164"/>
      <c r="J136" s="165"/>
      <c r="K136" s="166"/>
      <c r="L136" s="167"/>
      <c r="M136" s="168"/>
      <c r="N136" s="167"/>
      <c r="O136" s="168"/>
    </row>
    <row r="137" spans="1:15" ht="20.100000000000001" customHeight="1" x14ac:dyDescent="0.25">
      <c r="A137" s="1038"/>
      <c r="B137" s="1037"/>
      <c r="C137" s="1037"/>
      <c r="D137" s="1037"/>
      <c r="E137" s="1037"/>
      <c r="F137" s="169" t="s">
        <v>86</v>
      </c>
      <c r="G137" s="170">
        <f>SUM(G132:G136)</f>
        <v>0</v>
      </c>
      <c r="H137" s="171" t="s">
        <v>86</v>
      </c>
      <c r="I137" s="170">
        <f>SUM(I132:I136)</f>
        <v>0</v>
      </c>
      <c r="J137" s="171" t="s">
        <v>86</v>
      </c>
      <c r="K137" s="172">
        <f>SUM(K132:K136)</f>
        <v>0</v>
      </c>
      <c r="L137" s="173" t="s">
        <v>86</v>
      </c>
      <c r="M137" s="174">
        <f>SUM(M132:M136)</f>
        <v>0</v>
      </c>
      <c r="N137" s="173" t="s">
        <v>86</v>
      </c>
      <c r="O137" s="174">
        <f>SUM(O132:O136)</f>
        <v>0</v>
      </c>
    </row>
    <row r="138" spans="1:15" ht="20.100000000000001" customHeight="1" x14ac:dyDescent="0.25">
      <c r="A138" s="1038">
        <v>23</v>
      </c>
      <c r="B138" s="1036">
        <f>G143</f>
        <v>63600</v>
      </c>
      <c r="C138" s="1036">
        <f>I143+K143</f>
        <v>0</v>
      </c>
      <c r="D138" s="1036">
        <f>M143</f>
        <v>0</v>
      </c>
      <c r="E138" s="1036">
        <f>O143</f>
        <v>0</v>
      </c>
      <c r="F138" s="150" t="s">
        <v>566</v>
      </c>
      <c r="G138" s="154">
        <v>63600</v>
      </c>
      <c r="H138" s="151"/>
      <c r="I138" s="154"/>
      <c r="J138" s="151"/>
      <c r="K138" s="155"/>
      <c r="L138" s="152"/>
      <c r="M138" s="153"/>
      <c r="N138" s="152"/>
      <c r="O138" s="153"/>
    </row>
    <row r="139" spans="1:15" ht="20.100000000000001" customHeight="1" x14ac:dyDescent="0.25">
      <c r="A139" s="1038"/>
      <c r="B139" s="1036"/>
      <c r="C139" s="1036"/>
      <c r="D139" s="1036"/>
      <c r="E139" s="1036"/>
      <c r="F139" s="150"/>
      <c r="G139" s="154"/>
      <c r="H139" s="151"/>
      <c r="I139" s="154"/>
      <c r="J139" s="151"/>
      <c r="K139" s="155"/>
      <c r="L139" s="152"/>
      <c r="M139" s="153"/>
      <c r="N139" s="152"/>
      <c r="O139" s="153"/>
    </row>
    <row r="140" spans="1:15" ht="20.100000000000001" customHeight="1" x14ac:dyDescent="0.25">
      <c r="A140" s="1038"/>
      <c r="B140" s="1036"/>
      <c r="C140" s="1036"/>
      <c r="D140" s="1036"/>
      <c r="E140" s="1036"/>
      <c r="F140" s="150"/>
      <c r="G140" s="154"/>
      <c r="H140" s="151"/>
      <c r="I140" s="154"/>
      <c r="J140" s="151"/>
      <c r="K140" s="155"/>
      <c r="L140" s="152"/>
      <c r="M140" s="153"/>
      <c r="N140" s="152"/>
      <c r="O140" s="153"/>
    </row>
    <row r="141" spans="1:15" ht="20.100000000000001" customHeight="1" x14ac:dyDescent="0.25">
      <c r="A141" s="1038"/>
      <c r="B141" s="1036"/>
      <c r="C141" s="1036"/>
      <c r="D141" s="1036"/>
      <c r="E141" s="1036"/>
      <c r="F141" s="156"/>
      <c r="G141" s="157"/>
      <c r="H141" s="158"/>
      <c r="I141" s="157"/>
      <c r="J141" s="158"/>
      <c r="K141" s="159"/>
      <c r="L141" s="160"/>
      <c r="M141" s="161"/>
      <c r="N141" s="160"/>
      <c r="O141" s="161"/>
    </row>
    <row r="142" spans="1:15" ht="19.5" customHeight="1" x14ac:dyDescent="0.25">
      <c r="A142" s="1038"/>
      <c r="B142" s="1036"/>
      <c r="C142" s="1036"/>
      <c r="D142" s="1036"/>
      <c r="E142" s="1036"/>
      <c r="F142" s="163"/>
      <c r="G142" s="164"/>
      <c r="H142" s="165"/>
      <c r="I142" s="164"/>
      <c r="J142" s="165"/>
      <c r="K142" s="166"/>
      <c r="L142" s="167"/>
      <c r="M142" s="168"/>
      <c r="N142" s="167"/>
      <c r="O142" s="168"/>
    </row>
    <row r="143" spans="1:15" ht="20.100000000000001" customHeight="1" x14ac:dyDescent="0.25">
      <c r="A143" s="1038"/>
      <c r="B143" s="1037"/>
      <c r="C143" s="1037"/>
      <c r="D143" s="1037"/>
      <c r="E143" s="1037"/>
      <c r="F143" s="169" t="s">
        <v>86</v>
      </c>
      <c r="G143" s="170">
        <f>SUM(G138:G142)</f>
        <v>63600</v>
      </c>
      <c r="H143" s="171" t="s">
        <v>86</v>
      </c>
      <c r="I143" s="170">
        <f>SUM(I138:I142)</f>
        <v>0</v>
      </c>
      <c r="J143" s="171" t="s">
        <v>86</v>
      </c>
      <c r="K143" s="172">
        <f>SUM(K138:K142)</f>
        <v>0</v>
      </c>
      <c r="L143" s="173" t="s">
        <v>86</v>
      </c>
      <c r="M143" s="174">
        <f>SUM(M138:M142)</f>
        <v>0</v>
      </c>
      <c r="N143" s="173" t="s">
        <v>86</v>
      </c>
      <c r="O143" s="174">
        <f>SUM(O138:O142)</f>
        <v>0</v>
      </c>
    </row>
    <row r="144" spans="1:15" ht="20.100000000000001" customHeight="1" x14ac:dyDescent="0.25">
      <c r="A144" s="1038">
        <v>24</v>
      </c>
      <c r="B144" s="1036">
        <f>G149</f>
        <v>0</v>
      </c>
      <c r="C144" s="1036">
        <f>I149+K149</f>
        <v>0</v>
      </c>
      <c r="D144" s="1036">
        <f>M149</f>
        <v>0</v>
      </c>
      <c r="E144" s="1036">
        <f>O149</f>
        <v>0</v>
      </c>
      <c r="F144" s="150"/>
      <c r="G144" s="154"/>
      <c r="H144" s="151"/>
      <c r="I144" s="154"/>
      <c r="J144" s="151"/>
      <c r="K144" s="155"/>
      <c r="L144" s="152"/>
      <c r="M144" s="153"/>
      <c r="N144" s="152"/>
      <c r="O144" s="153"/>
    </row>
    <row r="145" spans="1:15" ht="20.100000000000001" customHeight="1" x14ac:dyDescent="0.25">
      <c r="A145" s="1038"/>
      <c r="B145" s="1036"/>
      <c r="C145" s="1036"/>
      <c r="D145" s="1036"/>
      <c r="E145" s="1036"/>
      <c r="F145" s="150"/>
      <c r="G145" s="154"/>
      <c r="H145" s="151"/>
      <c r="I145" s="154"/>
      <c r="J145" s="151"/>
      <c r="K145" s="155"/>
      <c r="L145" s="152"/>
      <c r="M145" s="153"/>
      <c r="N145" s="152"/>
      <c r="O145" s="153"/>
    </row>
    <row r="146" spans="1:15" ht="20.100000000000001" customHeight="1" x14ac:dyDescent="0.25">
      <c r="A146" s="1038"/>
      <c r="B146" s="1036"/>
      <c r="C146" s="1036"/>
      <c r="D146" s="1036"/>
      <c r="E146" s="1036"/>
      <c r="F146" s="150"/>
      <c r="G146" s="154"/>
      <c r="H146" s="151"/>
      <c r="I146" s="154"/>
      <c r="J146" s="151"/>
      <c r="K146" s="155"/>
      <c r="L146" s="152"/>
      <c r="M146" s="153"/>
      <c r="N146" s="152"/>
      <c r="O146" s="153"/>
    </row>
    <row r="147" spans="1:15" ht="20.100000000000001" customHeight="1" x14ac:dyDescent="0.25">
      <c r="A147" s="1038"/>
      <c r="B147" s="1036"/>
      <c r="C147" s="1036"/>
      <c r="D147" s="1036"/>
      <c r="E147" s="1036"/>
      <c r="F147" s="156"/>
      <c r="G147" s="157"/>
      <c r="H147" s="158"/>
      <c r="I147" s="157"/>
      <c r="J147" s="158"/>
      <c r="K147" s="159"/>
      <c r="L147" s="160"/>
      <c r="M147" s="161"/>
      <c r="N147" s="160"/>
      <c r="O147" s="161"/>
    </row>
    <row r="148" spans="1:15" ht="20.100000000000001" customHeight="1" x14ac:dyDescent="0.25">
      <c r="A148" s="1038"/>
      <c r="B148" s="1036"/>
      <c r="C148" s="1036"/>
      <c r="D148" s="1036"/>
      <c r="E148" s="1036"/>
      <c r="F148" s="163"/>
      <c r="G148" s="164"/>
      <c r="H148" s="165"/>
      <c r="I148" s="164"/>
      <c r="J148" s="165"/>
      <c r="K148" s="166"/>
      <c r="L148" s="167"/>
      <c r="M148" s="168"/>
      <c r="N148" s="167"/>
      <c r="O148" s="168"/>
    </row>
    <row r="149" spans="1:15" ht="20.100000000000001" customHeight="1" x14ac:dyDescent="0.25">
      <c r="A149" s="1038"/>
      <c r="B149" s="1037"/>
      <c r="C149" s="1037"/>
      <c r="D149" s="1037"/>
      <c r="E149" s="1037"/>
      <c r="F149" s="169" t="s">
        <v>86</v>
      </c>
      <c r="G149" s="170">
        <f>SUM(G144:G148)</f>
        <v>0</v>
      </c>
      <c r="H149" s="171" t="s">
        <v>86</v>
      </c>
      <c r="I149" s="170">
        <f>SUM(I144:I148)</f>
        <v>0</v>
      </c>
      <c r="J149" s="171" t="s">
        <v>86</v>
      </c>
      <c r="K149" s="172">
        <f>SUM(K144:K148)</f>
        <v>0</v>
      </c>
      <c r="L149" s="173" t="s">
        <v>86</v>
      </c>
      <c r="M149" s="174">
        <f>SUM(M144:M148)</f>
        <v>0</v>
      </c>
      <c r="N149" s="173" t="s">
        <v>86</v>
      </c>
      <c r="O149" s="174">
        <f>SUM(O144:O148)</f>
        <v>0</v>
      </c>
    </row>
    <row r="150" spans="1:15" ht="20.100000000000001" customHeight="1" x14ac:dyDescent="0.25">
      <c r="A150" s="1038">
        <v>25</v>
      </c>
      <c r="B150" s="1036">
        <f>G155</f>
        <v>0</v>
      </c>
      <c r="C150" s="1036">
        <f>I155+K155</f>
        <v>0</v>
      </c>
      <c r="D150" s="1036">
        <f>M155</f>
        <v>0</v>
      </c>
      <c r="E150" s="1036">
        <f>O155</f>
        <v>0</v>
      </c>
      <c r="F150" s="150"/>
      <c r="G150" s="154"/>
      <c r="H150" s="151"/>
      <c r="I150" s="154"/>
      <c r="J150" s="151"/>
      <c r="K150" s="155"/>
      <c r="L150" s="152"/>
      <c r="M150" s="153"/>
      <c r="N150" s="152"/>
      <c r="O150" s="153"/>
    </row>
    <row r="151" spans="1:15" ht="20.100000000000001" customHeight="1" x14ac:dyDescent="0.25">
      <c r="A151" s="1038"/>
      <c r="B151" s="1036"/>
      <c r="C151" s="1036"/>
      <c r="D151" s="1036"/>
      <c r="E151" s="1036"/>
      <c r="F151" s="150"/>
      <c r="G151" s="154"/>
      <c r="H151" s="151"/>
      <c r="I151" s="154"/>
      <c r="J151" s="151"/>
      <c r="K151" s="155"/>
      <c r="L151" s="152"/>
      <c r="M151" s="153"/>
      <c r="N151" s="152"/>
      <c r="O151" s="153"/>
    </row>
    <row r="152" spans="1:15" ht="20.100000000000001" customHeight="1" x14ac:dyDescent="0.25">
      <c r="A152" s="1038"/>
      <c r="B152" s="1036"/>
      <c r="C152" s="1036"/>
      <c r="D152" s="1036"/>
      <c r="E152" s="1036"/>
      <c r="F152" s="150"/>
      <c r="G152" s="154"/>
      <c r="H152" s="151"/>
      <c r="I152" s="154"/>
      <c r="J152" s="151"/>
      <c r="K152" s="155"/>
      <c r="L152" s="152"/>
      <c r="M152" s="153"/>
      <c r="N152" s="152"/>
      <c r="O152" s="153"/>
    </row>
    <row r="153" spans="1:15" ht="20.100000000000001" customHeight="1" x14ac:dyDescent="0.25">
      <c r="A153" s="1038"/>
      <c r="B153" s="1036"/>
      <c r="C153" s="1036"/>
      <c r="D153" s="1036"/>
      <c r="E153" s="1036"/>
      <c r="F153" s="156"/>
      <c r="G153" s="157"/>
      <c r="H153" s="158"/>
      <c r="I153" s="157"/>
      <c r="J153" s="158"/>
      <c r="K153" s="159"/>
      <c r="L153" s="160"/>
      <c r="M153" s="161"/>
      <c r="N153" s="160"/>
      <c r="O153" s="161"/>
    </row>
    <row r="154" spans="1:15" ht="20.100000000000001" customHeight="1" x14ac:dyDescent="0.25">
      <c r="A154" s="1038"/>
      <c r="B154" s="1036"/>
      <c r="C154" s="1036"/>
      <c r="D154" s="1036"/>
      <c r="E154" s="1036"/>
      <c r="F154" s="163"/>
      <c r="G154" s="164"/>
      <c r="H154" s="165"/>
      <c r="I154" s="164"/>
      <c r="J154" s="165"/>
      <c r="K154" s="166"/>
      <c r="L154" s="167"/>
      <c r="M154" s="168"/>
      <c r="N154" s="167"/>
      <c r="O154" s="168"/>
    </row>
    <row r="155" spans="1:15" ht="20.100000000000001" customHeight="1" x14ac:dyDescent="0.25">
      <c r="A155" s="1038"/>
      <c r="B155" s="1037"/>
      <c r="C155" s="1037"/>
      <c r="D155" s="1037"/>
      <c r="E155" s="1037"/>
      <c r="F155" s="169" t="s">
        <v>86</v>
      </c>
      <c r="G155" s="170">
        <f>SUM(G150:G154)</f>
        <v>0</v>
      </c>
      <c r="H155" s="171" t="s">
        <v>86</v>
      </c>
      <c r="I155" s="170">
        <f>SUM(I150:I154)</f>
        <v>0</v>
      </c>
      <c r="J155" s="171" t="s">
        <v>86</v>
      </c>
      <c r="K155" s="172">
        <f>SUM(K150:K154)</f>
        <v>0</v>
      </c>
      <c r="L155" s="173" t="s">
        <v>86</v>
      </c>
      <c r="M155" s="174">
        <f>SUM(M150:M154)</f>
        <v>0</v>
      </c>
      <c r="N155" s="173" t="s">
        <v>86</v>
      </c>
      <c r="O155" s="174">
        <f>SUM(O150:O154)</f>
        <v>0</v>
      </c>
    </row>
    <row r="156" spans="1:15" ht="20.100000000000001" customHeight="1" x14ac:dyDescent="0.25">
      <c r="A156" s="1038">
        <v>26</v>
      </c>
      <c r="B156" s="1036">
        <f>G161</f>
        <v>0</v>
      </c>
      <c r="C156" s="1036">
        <f>I161+K161</f>
        <v>0</v>
      </c>
      <c r="D156" s="1036">
        <f>M161</f>
        <v>0</v>
      </c>
      <c r="E156" s="1036">
        <f>O161</f>
        <v>0</v>
      </c>
      <c r="F156" s="150"/>
      <c r="G156" s="154"/>
      <c r="H156" s="151"/>
      <c r="I156" s="154"/>
      <c r="J156" s="151"/>
      <c r="K156" s="155"/>
      <c r="L156" s="152"/>
      <c r="M156" s="153"/>
      <c r="N156" s="152"/>
      <c r="O156" s="153"/>
    </row>
    <row r="157" spans="1:15" ht="20.100000000000001" customHeight="1" x14ac:dyDescent="0.25">
      <c r="A157" s="1038"/>
      <c r="B157" s="1036"/>
      <c r="C157" s="1036"/>
      <c r="D157" s="1036"/>
      <c r="E157" s="1036"/>
      <c r="F157" s="150"/>
      <c r="G157" s="154"/>
      <c r="H157" s="151"/>
      <c r="I157" s="154"/>
      <c r="J157" s="151"/>
      <c r="K157" s="155"/>
      <c r="L157" s="152"/>
      <c r="M157" s="153"/>
      <c r="N157" s="152"/>
      <c r="O157" s="153"/>
    </row>
    <row r="158" spans="1:15" ht="20.100000000000001" customHeight="1" x14ac:dyDescent="0.25">
      <c r="A158" s="1038"/>
      <c r="B158" s="1036"/>
      <c r="C158" s="1036"/>
      <c r="D158" s="1036"/>
      <c r="E158" s="1036"/>
      <c r="F158" s="150"/>
      <c r="G158" s="154"/>
      <c r="H158" s="151"/>
      <c r="I158" s="154"/>
      <c r="J158" s="151"/>
      <c r="K158" s="155"/>
      <c r="L158" s="152"/>
      <c r="M158" s="153"/>
      <c r="N158" s="152"/>
      <c r="O158" s="153"/>
    </row>
    <row r="159" spans="1:15" ht="20.100000000000001" customHeight="1" x14ac:dyDescent="0.25">
      <c r="A159" s="1038"/>
      <c r="B159" s="1036"/>
      <c r="C159" s="1036"/>
      <c r="D159" s="1036"/>
      <c r="E159" s="1036"/>
      <c r="F159" s="156"/>
      <c r="G159" s="157"/>
      <c r="H159" s="158"/>
      <c r="I159" s="157"/>
      <c r="J159" s="158"/>
      <c r="K159" s="159"/>
      <c r="L159" s="160"/>
      <c r="M159" s="161"/>
      <c r="N159" s="160"/>
      <c r="O159" s="161"/>
    </row>
    <row r="160" spans="1:15" ht="20.100000000000001" customHeight="1" x14ac:dyDescent="0.25">
      <c r="A160" s="1038"/>
      <c r="B160" s="1036"/>
      <c r="C160" s="1036"/>
      <c r="D160" s="1036"/>
      <c r="E160" s="1036"/>
      <c r="F160" s="163"/>
      <c r="G160" s="164"/>
      <c r="H160" s="165"/>
      <c r="I160" s="164"/>
      <c r="J160" s="165"/>
      <c r="K160" s="166"/>
      <c r="L160" s="167"/>
      <c r="M160" s="168"/>
      <c r="N160" s="167"/>
      <c r="O160" s="168"/>
    </row>
    <row r="161" spans="1:15" ht="20.100000000000001" customHeight="1" x14ac:dyDescent="0.25">
      <c r="A161" s="1038"/>
      <c r="B161" s="1037"/>
      <c r="C161" s="1037"/>
      <c r="D161" s="1037"/>
      <c r="E161" s="1037"/>
      <c r="F161" s="169" t="s">
        <v>86</v>
      </c>
      <c r="G161" s="170">
        <f>SUM(G156:G160)</f>
        <v>0</v>
      </c>
      <c r="H161" s="171" t="s">
        <v>86</v>
      </c>
      <c r="I161" s="170">
        <f>SUM(I156:I160)</f>
        <v>0</v>
      </c>
      <c r="J161" s="171" t="s">
        <v>86</v>
      </c>
      <c r="K161" s="172">
        <f>SUM(K156:K160)</f>
        <v>0</v>
      </c>
      <c r="L161" s="173" t="s">
        <v>86</v>
      </c>
      <c r="M161" s="174">
        <f>SUM(M156:M160)</f>
        <v>0</v>
      </c>
      <c r="N161" s="173" t="s">
        <v>86</v>
      </c>
      <c r="O161" s="174">
        <f>SUM(O156:O160)</f>
        <v>0</v>
      </c>
    </row>
    <row r="162" spans="1:15" ht="20.100000000000001" customHeight="1" x14ac:dyDescent="0.25">
      <c r="A162" s="1038">
        <v>27</v>
      </c>
      <c r="B162" s="1036">
        <f>G167</f>
        <v>0</v>
      </c>
      <c r="C162" s="1036">
        <f>I167+K167</f>
        <v>0</v>
      </c>
      <c r="D162" s="1036">
        <f>M167</f>
        <v>0</v>
      </c>
      <c r="E162" s="1036">
        <f>O167</f>
        <v>0</v>
      </c>
      <c r="F162" s="150"/>
      <c r="G162" s="154"/>
      <c r="H162" s="151"/>
      <c r="I162" s="154"/>
      <c r="J162" s="151"/>
      <c r="K162" s="155"/>
      <c r="L162" s="152"/>
      <c r="M162" s="153"/>
      <c r="N162" s="152"/>
      <c r="O162" s="153"/>
    </row>
    <row r="163" spans="1:15" ht="20.100000000000001" customHeight="1" x14ac:dyDescent="0.25">
      <c r="A163" s="1038"/>
      <c r="B163" s="1036"/>
      <c r="C163" s="1036"/>
      <c r="D163" s="1036"/>
      <c r="E163" s="1036"/>
      <c r="F163" s="150"/>
      <c r="G163" s="154"/>
      <c r="H163" s="151"/>
      <c r="I163" s="154"/>
      <c r="J163" s="151"/>
      <c r="K163" s="155"/>
      <c r="L163" s="152"/>
      <c r="M163" s="153"/>
      <c r="N163" s="152"/>
      <c r="O163" s="153"/>
    </row>
    <row r="164" spans="1:15" ht="20.100000000000001" customHeight="1" x14ac:dyDescent="0.25">
      <c r="A164" s="1038"/>
      <c r="B164" s="1036"/>
      <c r="C164" s="1036"/>
      <c r="D164" s="1036"/>
      <c r="E164" s="1036"/>
      <c r="F164" s="150"/>
      <c r="G164" s="154"/>
      <c r="H164" s="151"/>
      <c r="I164" s="154"/>
      <c r="J164" s="151"/>
      <c r="K164" s="155"/>
      <c r="L164" s="152"/>
      <c r="M164" s="153"/>
      <c r="N164" s="152"/>
      <c r="O164" s="153"/>
    </row>
    <row r="165" spans="1:15" ht="20.100000000000001" customHeight="1" x14ac:dyDescent="0.25">
      <c r="A165" s="1038"/>
      <c r="B165" s="1036"/>
      <c r="C165" s="1036"/>
      <c r="D165" s="1036"/>
      <c r="E165" s="1036"/>
      <c r="F165" s="156"/>
      <c r="G165" s="157"/>
      <c r="H165" s="158"/>
      <c r="I165" s="157"/>
      <c r="J165" s="158"/>
      <c r="K165" s="159"/>
      <c r="L165" s="160"/>
      <c r="M165" s="161"/>
      <c r="N165" s="160"/>
      <c r="O165" s="161"/>
    </row>
    <row r="166" spans="1:15" ht="20.100000000000001" customHeight="1" x14ac:dyDescent="0.25">
      <c r="A166" s="1038"/>
      <c r="B166" s="1036"/>
      <c r="C166" s="1036"/>
      <c r="D166" s="1036"/>
      <c r="E166" s="1036"/>
      <c r="F166" s="163"/>
      <c r="G166" s="164"/>
      <c r="H166" s="165"/>
      <c r="I166" s="164"/>
      <c r="J166" s="165"/>
      <c r="K166" s="166"/>
      <c r="L166" s="167"/>
      <c r="M166" s="168"/>
      <c r="N166" s="167"/>
      <c r="O166" s="168"/>
    </row>
    <row r="167" spans="1:15" ht="20.100000000000001" customHeight="1" x14ac:dyDescent="0.25">
      <c r="A167" s="1038"/>
      <c r="B167" s="1037"/>
      <c r="C167" s="1037"/>
      <c r="D167" s="1037"/>
      <c r="E167" s="1037"/>
      <c r="F167" s="169" t="s">
        <v>86</v>
      </c>
      <c r="G167" s="170">
        <f>SUM(G162:G166)</f>
        <v>0</v>
      </c>
      <c r="H167" s="171" t="s">
        <v>86</v>
      </c>
      <c r="I167" s="170">
        <f>SUM(I162:I166)</f>
        <v>0</v>
      </c>
      <c r="J167" s="171" t="s">
        <v>86</v>
      </c>
      <c r="K167" s="172">
        <f>SUM(K162:K166)</f>
        <v>0</v>
      </c>
      <c r="L167" s="173" t="s">
        <v>86</v>
      </c>
      <c r="M167" s="174">
        <f>SUM(M162:M166)</f>
        <v>0</v>
      </c>
      <c r="N167" s="173" t="s">
        <v>86</v>
      </c>
      <c r="O167" s="174">
        <f>SUM(O162:O166)</f>
        <v>0</v>
      </c>
    </row>
    <row r="168" spans="1:15" ht="20.100000000000001" customHeight="1" x14ac:dyDescent="0.25">
      <c r="A168" s="1038">
        <v>28</v>
      </c>
      <c r="B168" s="1036">
        <f>G173</f>
        <v>0</v>
      </c>
      <c r="C168" s="1036">
        <f>I173+K173</f>
        <v>0</v>
      </c>
      <c r="D168" s="1036">
        <f>M173</f>
        <v>0</v>
      </c>
      <c r="E168" s="1036">
        <f>O173</f>
        <v>0</v>
      </c>
      <c r="F168" s="150"/>
      <c r="G168" s="154"/>
      <c r="H168" s="151"/>
      <c r="I168" s="154"/>
      <c r="J168" s="151"/>
      <c r="K168" s="155"/>
      <c r="L168" s="152"/>
      <c r="M168" s="153"/>
      <c r="N168" s="152"/>
      <c r="O168" s="153"/>
    </row>
    <row r="169" spans="1:15" ht="20.100000000000001" customHeight="1" x14ac:dyDescent="0.25">
      <c r="A169" s="1038"/>
      <c r="B169" s="1036"/>
      <c r="C169" s="1036"/>
      <c r="D169" s="1036"/>
      <c r="E169" s="1036"/>
      <c r="F169" s="150"/>
      <c r="G169" s="154"/>
      <c r="H169" s="151"/>
      <c r="I169" s="154"/>
      <c r="J169" s="151"/>
      <c r="K169" s="155"/>
      <c r="L169" s="152"/>
      <c r="M169" s="153"/>
      <c r="N169" s="152"/>
      <c r="O169" s="153"/>
    </row>
    <row r="170" spans="1:15" ht="20.100000000000001" customHeight="1" x14ac:dyDescent="0.25">
      <c r="A170" s="1038"/>
      <c r="B170" s="1036"/>
      <c r="C170" s="1036"/>
      <c r="D170" s="1036"/>
      <c r="E170" s="1036"/>
      <c r="F170" s="150"/>
      <c r="G170" s="154"/>
      <c r="H170" s="151"/>
      <c r="I170" s="154"/>
      <c r="J170" s="151"/>
      <c r="K170" s="155"/>
      <c r="L170" s="152"/>
      <c r="M170" s="153"/>
      <c r="N170" s="152"/>
      <c r="O170" s="153"/>
    </row>
    <row r="171" spans="1:15" ht="20.100000000000001" customHeight="1" x14ac:dyDescent="0.25">
      <c r="A171" s="1038"/>
      <c r="B171" s="1036"/>
      <c r="C171" s="1036"/>
      <c r="D171" s="1036"/>
      <c r="E171" s="1036"/>
      <c r="F171" s="156"/>
      <c r="G171" s="157"/>
      <c r="H171" s="158"/>
      <c r="I171" s="157"/>
      <c r="J171" s="158"/>
      <c r="K171" s="159"/>
      <c r="L171" s="160"/>
      <c r="M171" s="161"/>
      <c r="N171" s="160"/>
      <c r="O171" s="161"/>
    </row>
    <row r="172" spans="1:15" ht="20.100000000000001" customHeight="1" x14ac:dyDescent="0.25">
      <c r="A172" s="1038"/>
      <c r="B172" s="1036"/>
      <c r="C172" s="1036"/>
      <c r="D172" s="1036"/>
      <c r="E172" s="1036"/>
      <c r="F172" s="163"/>
      <c r="G172" s="164"/>
      <c r="H172" s="165"/>
      <c r="I172" s="164"/>
      <c r="J172" s="165"/>
      <c r="K172" s="166"/>
      <c r="L172" s="167"/>
      <c r="M172" s="168"/>
      <c r="N172" s="167"/>
      <c r="O172" s="168"/>
    </row>
    <row r="173" spans="1:15" ht="20.100000000000001" customHeight="1" x14ac:dyDescent="0.25">
      <c r="A173" s="1038"/>
      <c r="B173" s="1037"/>
      <c r="C173" s="1037"/>
      <c r="D173" s="1037"/>
      <c r="E173" s="1037"/>
      <c r="F173" s="169" t="s">
        <v>86</v>
      </c>
      <c r="G173" s="170">
        <f>SUM(G168:G172)</f>
        <v>0</v>
      </c>
      <c r="H173" s="171" t="s">
        <v>86</v>
      </c>
      <c r="I173" s="170">
        <f>SUM(I168:I172)</f>
        <v>0</v>
      </c>
      <c r="J173" s="171" t="s">
        <v>86</v>
      </c>
      <c r="K173" s="172">
        <f>SUM(K168:K172)</f>
        <v>0</v>
      </c>
      <c r="L173" s="173" t="s">
        <v>86</v>
      </c>
      <c r="M173" s="174">
        <f>SUM(M168:M172)</f>
        <v>0</v>
      </c>
      <c r="N173" s="173" t="s">
        <v>86</v>
      </c>
      <c r="O173" s="174">
        <f>SUM(O168:O172)</f>
        <v>0</v>
      </c>
    </row>
    <row r="174" spans="1:15" ht="20.100000000000001" customHeight="1" x14ac:dyDescent="0.25">
      <c r="A174" s="1038">
        <v>29</v>
      </c>
      <c r="B174" s="1036">
        <f>G179</f>
        <v>0</v>
      </c>
      <c r="C174" s="1036">
        <f>I179+K179</f>
        <v>0</v>
      </c>
      <c r="D174" s="1036">
        <f>M179</f>
        <v>0</v>
      </c>
      <c r="E174" s="1036">
        <f>O179</f>
        <v>0</v>
      </c>
      <c r="F174" s="150"/>
      <c r="G174" s="154"/>
      <c r="H174" s="151"/>
      <c r="I174" s="154"/>
      <c r="J174" s="151"/>
      <c r="K174" s="155"/>
      <c r="L174" s="152"/>
      <c r="M174" s="153"/>
      <c r="N174" s="152"/>
      <c r="O174" s="153"/>
    </row>
    <row r="175" spans="1:15" ht="20.100000000000001" customHeight="1" x14ac:dyDescent="0.25">
      <c r="A175" s="1038"/>
      <c r="B175" s="1036"/>
      <c r="C175" s="1036"/>
      <c r="D175" s="1036"/>
      <c r="E175" s="1036"/>
      <c r="F175" s="150"/>
      <c r="G175" s="154"/>
      <c r="H175" s="151"/>
      <c r="I175" s="154"/>
      <c r="J175" s="151"/>
      <c r="K175" s="155"/>
      <c r="L175" s="152"/>
      <c r="M175" s="153"/>
      <c r="N175" s="152"/>
      <c r="O175" s="153"/>
    </row>
    <row r="176" spans="1:15" ht="20.100000000000001" customHeight="1" x14ac:dyDescent="0.25">
      <c r="A176" s="1038"/>
      <c r="B176" s="1036"/>
      <c r="C176" s="1036"/>
      <c r="D176" s="1036"/>
      <c r="E176" s="1036"/>
      <c r="F176" s="150"/>
      <c r="G176" s="154"/>
      <c r="H176" s="151"/>
      <c r="I176" s="154"/>
      <c r="J176" s="151"/>
      <c r="K176" s="155"/>
      <c r="L176" s="152"/>
      <c r="M176" s="153"/>
      <c r="N176" s="152"/>
      <c r="O176" s="153"/>
    </row>
    <row r="177" spans="1:15" ht="20.100000000000001" customHeight="1" x14ac:dyDescent="0.25">
      <c r="A177" s="1038"/>
      <c r="B177" s="1036"/>
      <c r="C177" s="1036"/>
      <c r="D177" s="1036"/>
      <c r="E177" s="1036"/>
      <c r="F177" s="156"/>
      <c r="G177" s="157"/>
      <c r="H177" s="158"/>
      <c r="I177" s="157"/>
      <c r="J177" s="158"/>
      <c r="K177" s="159"/>
      <c r="L177" s="160"/>
      <c r="M177" s="161"/>
      <c r="N177" s="160"/>
      <c r="O177" s="161"/>
    </row>
    <row r="178" spans="1:15" ht="20.100000000000001" customHeight="1" x14ac:dyDescent="0.25">
      <c r="A178" s="1038"/>
      <c r="B178" s="1036"/>
      <c r="C178" s="1036"/>
      <c r="D178" s="1036"/>
      <c r="E178" s="1036"/>
      <c r="F178" s="163"/>
      <c r="G178" s="164"/>
      <c r="H178" s="165"/>
      <c r="I178" s="164"/>
      <c r="J178" s="165"/>
      <c r="K178" s="166"/>
      <c r="L178" s="167"/>
      <c r="M178" s="168"/>
      <c r="N178" s="167"/>
      <c r="O178" s="168"/>
    </row>
    <row r="179" spans="1:15" ht="20.100000000000001" customHeight="1" x14ac:dyDescent="0.25">
      <c r="A179" s="1038"/>
      <c r="B179" s="1037"/>
      <c r="C179" s="1037"/>
      <c r="D179" s="1037"/>
      <c r="E179" s="1037"/>
      <c r="F179" s="169" t="s">
        <v>86</v>
      </c>
      <c r="G179" s="170">
        <f>SUM(G174:G178)</f>
        <v>0</v>
      </c>
      <c r="H179" s="171" t="s">
        <v>86</v>
      </c>
      <c r="I179" s="170">
        <f>SUM(I174:I178)</f>
        <v>0</v>
      </c>
      <c r="J179" s="171" t="s">
        <v>86</v>
      </c>
      <c r="K179" s="172">
        <f>SUM(K174:K178)</f>
        <v>0</v>
      </c>
      <c r="L179" s="173" t="s">
        <v>86</v>
      </c>
      <c r="M179" s="174">
        <f>SUM(M174:M178)</f>
        <v>0</v>
      </c>
      <c r="N179" s="173" t="s">
        <v>86</v>
      </c>
      <c r="O179" s="174">
        <f>SUM(O174:O178)</f>
        <v>0</v>
      </c>
    </row>
    <row r="180" spans="1:15" ht="20.100000000000001" customHeight="1" x14ac:dyDescent="0.25">
      <c r="A180" s="1038">
        <v>30</v>
      </c>
      <c r="B180" s="1036">
        <f>G185</f>
        <v>0</v>
      </c>
      <c r="C180" s="1036">
        <f>I185+K185</f>
        <v>0</v>
      </c>
      <c r="D180" s="1036">
        <f>M185</f>
        <v>0</v>
      </c>
      <c r="E180" s="1036">
        <f>O185</f>
        <v>0</v>
      </c>
      <c r="F180" s="150"/>
      <c r="G180" s="154"/>
      <c r="H180" s="151"/>
      <c r="I180" s="154"/>
      <c r="J180" s="151"/>
      <c r="K180" s="155"/>
      <c r="L180" s="152"/>
      <c r="M180" s="153"/>
      <c r="N180" s="152"/>
      <c r="O180" s="153"/>
    </row>
    <row r="181" spans="1:15" ht="20.100000000000001" customHeight="1" x14ac:dyDescent="0.25">
      <c r="A181" s="1038"/>
      <c r="B181" s="1036"/>
      <c r="C181" s="1036"/>
      <c r="D181" s="1036"/>
      <c r="E181" s="1036"/>
      <c r="F181" s="150"/>
      <c r="G181" s="154"/>
      <c r="H181" s="151"/>
      <c r="I181" s="154"/>
      <c r="J181" s="151"/>
      <c r="K181" s="155"/>
      <c r="L181" s="152"/>
      <c r="M181" s="153"/>
      <c r="N181" s="152"/>
      <c r="O181" s="153"/>
    </row>
    <row r="182" spans="1:15" ht="20.100000000000001" customHeight="1" x14ac:dyDescent="0.25">
      <c r="A182" s="1038"/>
      <c r="B182" s="1036"/>
      <c r="C182" s="1036"/>
      <c r="D182" s="1036"/>
      <c r="E182" s="1036"/>
      <c r="F182" s="150"/>
      <c r="G182" s="154"/>
      <c r="H182" s="151"/>
      <c r="I182" s="154"/>
      <c r="J182" s="151"/>
      <c r="K182" s="155"/>
      <c r="L182" s="152"/>
      <c r="M182" s="153"/>
      <c r="N182" s="152"/>
      <c r="O182" s="153"/>
    </row>
    <row r="183" spans="1:15" ht="20.100000000000001" customHeight="1" x14ac:dyDescent="0.25">
      <c r="A183" s="1038"/>
      <c r="B183" s="1036"/>
      <c r="C183" s="1036"/>
      <c r="D183" s="1036"/>
      <c r="E183" s="1036"/>
      <c r="F183" s="156"/>
      <c r="G183" s="157"/>
      <c r="H183" s="158"/>
      <c r="I183" s="157"/>
      <c r="J183" s="158"/>
      <c r="K183" s="159"/>
      <c r="L183" s="160"/>
      <c r="M183" s="161"/>
      <c r="N183" s="160"/>
      <c r="O183" s="161"/>
    </row>
    <row r="184" spans="1:15" ht="20.100000000000001" customHeight="1" x14ac:dyDescent="0.25">
      <c r="A184" s="1038"/>
      <c r="B184" s="1036"/>
      <c r="C184" s="1036"/>
      <c r="D184" s="1036"/>
      <c r="E184" s="1036"/>
      <c r="F184" s="163"/>
      <c r="G184" s="164"/>
      <c r="H184" s="165"/>
      <c r="I184" s="164"/>
      <c r="J184" s="165"/>
      <c r="K184" s="166"/>
      <c r="L184" s="167"/>
      <c r="M184" s="168"/>
      <c r="N184" s="167"/>
      <c r="O184" s="168"/>
    </row>
    <row r="185" spans="1:15" ht="20.100000000000001" customHeight="1" x14ac:dyDescent="0.25">
      <c r="A185" s="1038"/>
      <c r="B185" s="1037"/>
      <c r="C185" s="1037"/>
      <c r="D185" s="1037"/>
      <c r="E185" s="1037"/>
      <c r="F185" s="169" t="s">
        <v>86</v>
      </c>
      <c r="G185" s="170">
        <f>SUM(G180:G184)</f>
        <v>0</v>
      </c>
      <c r="H185" s="171" t="s">
        <v>86</v>
      </c>
      <c r="I185" s="170">
        <f>SUM(I180:I184)</f>
        <v>0</v>
      </c>
      <c r="J185" s="171" t="s">
        <v>86</v>
      </c>
      <c r="K185" s="172">
        <f>SUM(K180:K184)</f>
        <v>0</v>
      </c>
      <c r="L185" s="173" t="s">
        <v>86</v>
      </c>
      <c r="M185" s="174">
        <f>SUM(M180:M184)</f>
        <v>0</v>
      </c>
      <c r="N185" s="173" t="s">
        <v>86</v>
      </c>
      <c r="O185" s="174">
        <f>SUM(O180:O184)</f>
        <v>0</v>
      </c>
    </row>
    <row r="186" spans="1:15" ht="20.100000000000001" customHeight="1" x14ac:dyDescent="0.25">
      <c r="A186" s="1038">
        <v>31</v>
      </c>
      <c r="B186" s="1036">
        <f>G191</f>
        <v>0</v>
      </c>
      <c r="C186" s="1036">
        <f>I191+K191</f>
        <v>0</v>
      </c>
      <c r="D186" s="1036">
        <f>M191</f>
        <v>0</v>
      </c>
      <c r="E186" s="1036">
        <f>O191</f>
        <v>0</v>
      </c>
      <c r="F186" s="150"/>
      <c r="G186" s="154"/>
      <c r="H186" s="151"/>
      <c r="I186" s="154"/>
      <c r="J186" s="151"/>
      <c r="K186" s="155"/>
      <c r="L186" s="152"/>
      <c r="M186" s="153"/>
      <c r="N186" s="152"/>
      <c r="O186" s="153"/>
    </row>
    <row r="187" spans="1:15" ht="20.100000000000001" customHeight="1" x14ac:dyDescent="0.25">
      <c r="A187" s="1038"/>
      <c r="B187" s="1036"/>
      <c r="C187" s="1036"/>
      <c r="D187" s="1036"/>
      <c r="E187" s="1036"/>
      <c r="F187" s="150"/>
      <c r="G187" s="154"/>
      <c r="H187" s="151"/>
      <c r="I187" s="154"/>
      <c r="J187" s="151"/>
      <c r="K187" s="155"/>
      <c r="L187" s="152"/>
      <c r="M187" s="153"/>
      <c r="N187" s="152"/>
      <c r="O187" s="153"/>
    </row>
    <row r="188" spans="1:15" ht="20.100000000000001" customHeight="1" x14ac:dyDescent="0.25">
      <c r="A188" s="1038"/>
      <c r="B188" s="1036"/>
      <c r="C188" s="1036"/>
      <c r="D188" s="1036"/>
      <c r="E188" s="1036"/>
      <c r="F188" s="150"/>
      <c r="G188" s="154"/>
      <c r="H188" s="151"/>
      <c r="I188" s="154"/>
      <c r="J188" s="151"/>
      <c r="K188" s="155"/>
      <c r="L188" s="152"/>
      <c r="M188" s="153"/>
      <c r="N188" s="152"/>
      <c r="O188" s="153"/>
    </row>
    <row r="189" spans="1:15" ht="20.100000000000001" customHeight="1" x14ac:dyDescent="0.25">
      <c r="A189" s="1038"/>
      <c r="B189" s="1036"/>
      <c r="C189" s="1036"/>
      <c r="D189" s="1036"/>
      <c r="E189" s="1036"/>
      <c r="F189" s="156"/>
      <c r="G189" s="157"/>
      <c r="H189" s="158"/>
      <c r="I189" s="157"/>
      <c r="J189" s="158"/>
      <c r="K189" s="159"/>
      <c r="L189" s="160"/>
      <c r="M189" s="161"/>
      <c r="N189" s="160"/>
      <c r="O189" s="161"/>
    </row>
    <row r="190" spans="1:15" ht="20.100000000000001" customHeight="1" x14ac:dyDescent="0.25">
      <c r="A190" s="1038"/>
      <c r="B190" s="1036"/>
      <c r="C190" s="1036"/>
      <c r="D190" s="1036"/>
      <c r="E190" s="1036"/>
      <c r="F190" s="163"/>
      <c r="G190" s="164"/>
      <c r="H190" s="165"/>
      <c r="I190" s="164"/>
      <c r="J190" s="165"/>
      <c r="K190" s="166"/>
      <c r="L190" s="167"/>
      <c r="M190" s="168"/>
      <c r="N190" s="167"/>
      <c r="O190" s="168"/>
    </row>
    <row r="191" spans="1:15" ht="20.100000000000001" customHeight="1" thickBot="1" x14ac:dyDescent="0.3">
      <c r="A191" s="1039"/>
      <c r="B191" s="1037"/>
      <c r="C191" s="1037"/>
      <c r="D191" s="1037"/>
      <c r="E191" s="1037"/>
      <c r="F191" s="169" t="s">
        <v>86</v>
      </c>
      <c r="G191" s="170">
        <f>SUM(G186:G190)</f>
        <v>0</v>
      </c>
      <c r="H191" s="171" t="s">
        <v>86</v>
      </c>
      <c r="I191" s="170">
        <f>SUM(I186:I190)</f>
        <v>0</v>
      </c>
      <c r="J191" s="171" t="s">
        <v>86</v>
      </c>
      <c r="K191" s="172">
        <f>SUM(K186:K190)</f>
        <v>0</v>
      </c>
      <c r="L191" s="173" t="s">
        <v>86</v>
      </c>
      <c r="M191" s="174">
        <f>SUM(M186:M190)</f>
        <v>0</v>
      </c>
      <c r="N191" s="173" t="s">
        <v>86</v>
      </c>
      <c r="O191" s="174">
        <f>SUM(O186:O190)</f>
        <v>0</v>
      </c>
    </row>
    <row r="192" spans="1:15" ht="27" customHeight="1" thickBot="1" x14ac:dyDescent="0.3">
      <c r="A192" s="176" t="s">
        <v>27</v>
      </c>
      <c r="B192" s="177">
        <f>SUM(B6:B191)</f>
        <v>858950</v>
      </c>
      <c r="C192" s="177">
        <f>SUM(C6:C191)</f>
        <v>0</v>
      </c>
      <c r="D192" s="177">
        <f>SUM(D6:D191)</f>
        <v>0</v>
      </c>
      <c r="E192" s="177">
        <f>SUM(E6:E191)</f>
        <v>0</v>
      </c>
      <c r="F192" s="178"/>
      <c r="G192" s="179">
        <f>SUM(G191,G185,G179,G173,G167,G161,G155,G149,G143,G137,G131,G125,G119,G113,G107,G101,G95,G89,G83,G77,G71,G65,G59,G53,G47,G41,G35,G29,G23,G17,G11)</f>
        <v>858950</v>
      </c>
      <c r="H192" s="178"/>
      <c r="I192" s="179">
        <f>SUM(I191,I185,I179,I173,I167,I161,I155,I149,I143,I137,I131,I125,I119,I113,I107,I101,I95,I89,I83,I77,I71,I65,I59,I53,I47,I41,I35,I29,I23,I17,I11)</f>
        <v>0</v>
      </c>
      <c r="J192" s="178"/>
      <c r="K192" s="180">
        <f>SUM(K191,K185,K179,K173,K167,K161,K155,K149,K143,K137,K131,K125,K119,K113,K107,K101,K95,K89,K83,K77,K71,K65,K59,K53,K47,K41,K35,K29,K23,K17,K11)</f>
        <v>0</v>
      </c>
      <c r="L192" s="181"/>
      <c r="M192" s="182">
        <f>SUM(M191,M185,M179,M173,M167,M161,M155,M149,M143,M137,M131,M125,M119,M113,M107,M101,M95,M89,M83,M77,M71,M65,M59,M53,M47,M41,M35,M29,M23,M17,M11)</f>
        <v>0</v>
      </c>
      <c r="N192" s="181"/>
      <c r="O192" s="182">
        <f>SUM(O191,O185,O179,O173,O167,O161,O155,O149,O143,O137,O131,O125,O119,O113,O107,O101,O95,O89,O83,O77,O71,O65,O59,O53,O47,O41,O35,O29,O23,O17,O11)</f>
        <v>0</v>
      </c>
    </row>
  </sheetData>
  <protectedRanges>
    <protectedRange sqref="F13:O191 H6:O12" name="범위1"/>
    <protectedRange sqref="F6:G12" name="범위1_1"/>
  </protectedRanges>
  <mergeCells count="166">
    <mergeCell ref="D180:D185"/>
    <mergeCell ref="D186:D191"/>
    <mergeCell ref="N4:O4"/>
    <mergeCell ref="D4:D5"/>
    <mergeCell ref="D6:D11"/>
    <mergeCell ref="D12:D17"/>
    <mergeCell ref="D18:D23"/>
    <mergeCell ref="D24:D29"/>
    <mergeCell ref="D30:D35"/>
    <mergeCell ref="D36:D41"/>
    <mergeCell ref="D42:D47"/>
    <mergeCell ref="F4:G4"/>
    <mergeCell ref="H4:I4"/>
    <mergeCell ref="J4:K4"/>
    <mergeCell ref="E18:E23"/>
    <mergeCell ref="E42:E47"/>
    <mergeCell ref="E102:E107"/>
    <mergeCell ref="E150:E155"/>
    <mergeCell ref="E168:E173"/>
    <mergeCell ref="E174:E179"/>
    <mergeCell ref="E186:E191"/>
    <mergeCell ref="E180:E185"/>
    <mergeCell ref="D168:D173"/>
    <mergeCell ref="D174:D179"/>
    <mergeCell ref="A4:A5"/>
    <mergeCell ref="C4:C5"/>
    <mergeCell ref="L4:M4"/>
    <mergeCell ref="E4:E5"/>
    <mergeCell ref="E6:E11"/>
    <mergeCell ref="B4:B5"/>
    <mergeCell ref="B6:B11"/>
    <mergeCell ref="A3:B3"/>
    <mergeCell ref="A12:A17"/>
    <mergeCell ref="C12:C17"/>
    <mergeCell ref="A6:A11"/>
    <mergeCell ref="C6:C11"/>
    <mergeCell ref="E12:E17"/>
    <mergeCell ref="B12:B17"/>
    <mergeCell ref="A24:A29"/>
    <mergeCell ref="C24:C29"/>
    <mergeCell ref="A18:A23"/>
    <mergeCell ref="C18:C23"/>
    <mergeCell ref="E24:E29"/>
    <mergeCell ref="E30:E35"/>
    <mergeCell ref="B18:B23"/>
    <mergeCell ref="B24:B29"/>
    <mergeCell ref="A36:A41"/>
    <mergeCell ref="C36:C41"/>
    <mergeCell ref="A30:A35"/>
    <mergeCell ref="C30:C35"/>
    <mergeCell ref="E36:E41"/>
    <mergeCell ref="B30:B35"/>
    <mergeCell ref="B36:B41"/>
    <mergeCell ref="B42:B47"/>
    <mergeCell ref="A48:A53"/>
    <mergeCell ref="C48:C53"/>
    <mergeCell ref="A42:A47"/>
    <mergeCell ref="C42:C47"/>
    <mergeCell ref="E54:E59"/>
    <mergeCell ref="E48:E53"/>
    <mergeCell ref="B48:B53"/>
    <mergeCell ref="B54:B59"/>
    <mergeCell ref="A60:A65"/>
    <mergeCell ref="C60:C65"/>
    <mergeCell ref="A54:A59"/>
    <mergeCell ref="C54:C59"/>
    <mergeCell ref="E60:E65"/>
    <mergeCell ref="D48:D53"/>
    <mergeCell ref="D54:D59"/>
    <mergeCell ref="D60:D65"/>
    <mergeCell ref="E66:E71"/>
    <mergeCell ref="B60:B65"/>
    <mergeCell ref="B66:B71"/>
    <mergeCell ref="A72:A77"/>
    <mergeCell ref="C72:C77"/>
    <mergeCell ref="A66:A71"/>
    <mergeCell ref="C66:C71"/>
    <mergeCell ref="E72:E77"/>
    <mergeCell ref="E78:E83"/>
    <mergeCell ref="B72:B77"/>
    <mergeCell ref="B78:B83"/>
    <mergeCell ref="D66:D71"/>
    <mergeCell ref="D72:D77"/>
    <mergeCell ref="D78:D83"/>
    <mergeCell ref="A84:A89"/>
    <mergeCell ref="C84:C89"/>
    <mergeCell ref="A78:A83"/>
    <mergeCell ref="C78:C83"/>
    <mergeCell ref="E84:E89"/>
    <mergeCell ref="E90:E95"/>
    <mergeCell ref="B84:B89"/>
    <mergeCell ref="B90:B95"/>
    <mergeCell ref="A96:A101"/>
    <mergeCell ref="C96:C101"/>
    <mergeCell ref="A90:A95"/>
    <mergeCell ref="C90:C95"/>
    <mergeCell ref="D84:D89"/>
    <mergeCell ref="D90:D95"/>
    <mergeCell ref="D96:D101"/>
    <mergeCell ref="E96:E101"/>
    <mergeCell ref="B96:B101"/>
    <mergeCell ref="B102:B107"/>
    <mergeCell ref="A108:A113"/>
    <mergeCell ref="C108:C113"/>
    <mergeCell ref="A102:A107"/>
    <mergeCell ref="C102:C107"/>
    <mergeCell ref="E108:E113"/>
    <mergeCell ref="D102:D107"/>
    <mergeCell ref="D108:D113"/>
    <mergeCell ref="E114:E119"/>
    <mergeCell ref="B108:B113"/>
    <mergeCell ref="B114:B119"/>
    <mergeCell ref="A120:A125"/>
    <mergeCell ref="C120:C125"/>
    <mergeCell ref="A114:A119"/>
    <mergeCell ref="C114:C119"/>
    <mergeCell ref="E120:E125"/>
    <mergeCell ref="E126:E131"/>
    <mergeCell ref="B120:B125"/>
    <mergeCell ref="B126:B131"/>
    <mergeCell ref="D114:D119"/>
    <mergeCell ref="D120:D125"/>
    <mergeCell ref="D126:D131"/>
    <mergeCell ref="A132:A137"/>
    <mergeCell ref="C132:C137"/>
    <mergeCell ref="A126:A131"/>
    <mergeCell ref="C126:C131"/>
    <mergeCell ref="E132:E137"/>
    <mergeCell ref="E138:E143"/>
    <mergeCell ref="B132:B137"/>
    <mergeCell ref="B138:B143"/>
    <mergeCell ref="A144:A149"/>
    <mergeCell ref="C144:C149"/>
    <mergeCell ref="A138:A143"/>
    <mergeCell ref="C138:C143"/>
    <mergeCell ref="D132:D137"/>
    <mergeCell ref="D138:D143"/>
    <mergeCell ref="D144:D149"/>
    <mergeCell ref="E144:E149"/>
    <mergeCell ref="B144:B149"/>
    <mergeCell ref="B150:B155"/>
    <mergeCell ref="A156:A161"/>
    <mergeCell ref="C156:C161"/>
    <mergeCell ref="A150:A155"/>
    <mergeCell ref="C150:C155"/>
    <mergeCell ref="E156:E161"/>
    <mergeCell ref="D150:D155"/>
    <mergeCell ref="D156:D161"/>
    <mergeCell ref="E162:E167"/>
    <mergeCell ref="B156:B161"/>
    <mergeCell ref="B162:B167"/>
    <mergeCell ref="A162:A167"/>
    <mergeCell ref="C162:C167"/>
    <mergeCell ref="D162:D167"/>
    <mergeCell ref="B168:B173"/>
    <mergeCell ref="A186:A191"/>
    <mergeCell ref="C186:C191"/>
    <mergeCell ref="A180:A185"/>
    <mergeCell ref="C180:C185"/>
    <mergeCell ref="A168:A173"/>
    <mergeCell ref="C168:C173"/>
    <mergeCell ref="A174:A179"/>
    <mergeCell ref="C174:C179"/>
    <mergeCell ref="B174:B179"/>
    <mergeCell ref="B180:B185"/>
    <mergeCell ref="B186:B191"/>
  </mergeCells>
  <phoneticPr fontId="46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</vt:i4>
      </vt:variant>
    </vt:vector>
  </HeadingPairs>
  <TitlesOfParts>
    <vt:vector size="15" baseType="lpstr">
      <vt:lpstr>★보고서</vt:lpstr>
      <vt:lpstr>0.기초및고정비</vt:lpstr>
      <vt:lpstr>1.매출</vt:lpstr>
      <vt:lpstr>2-1.직원현황</vt:lpstr>
      <vt:lpstr>2-2.근무표</vt:lpstr>
      <vt:lpstr>2-3.근무시간</vt:lpstr>
      <vt:lpstr>3.원,부재료</vt:lpstr>
      <vt:lpstr>4.데일리단가원재료</vt:lpstr>
      <vt:lpstr>4.데일리단가원재료2</vt:lpstr>
      <vt:lpstr>5.법카,시재지출</vt:lpstr>
      <vt:lpstr>6.마감사항</vt:lpstr>
      <vt:lpstr>8-1.월초재고</vt:lpstr>
      <vt:lpstr>8-2.월말재고</vt:lpstr>
      <vt:lpstr>※계좌이체</vt:lpstr>
      <vt:lpstr>★보고서!Print_Area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노현철</dc:creator>
  <cp:lastModifiedBy>지용 김</cp:lastModifiedBy>
  <cp:revision>12</cp:revision>
  <cp:lastPrinted>2025-09-27T01:57:50Z</cp:lastPrinted>
  <dcterms:created xsi:type="dcterms:W3CDTF">2022-11-21T09:05:23Z</dcterms:created>
  <dcterms:modified xsi:type="dcterms:W3CDTF">2026-04-27T07:40:07Z</dcterms:modified>
  <cp:version>0906.0200.01</cp:version>
</cp:coreProperties>
</file>